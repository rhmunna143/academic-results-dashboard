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Subject Grades" sheetId="3" state="visible" r:id="rId3"/>
    <sheet name="Pivo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  <font>
      <b val="1"/>
      <color rgb="00FFFFFF"/>
      <sz val="16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70AD47"/>
        <bgColor rgb="0070AD47"/>
      </patternFill>
    </fill>
    <fill>
      <patternFill patternType="solid">
        <fgColor rgb="00FFE699"/>
        <bgColor rgb="00FFE699"/>
      </patternFill>
    </fill>
    <fill>
      <patternFill patternType="solid">
        <fgColor rgb="004472C4"/>
        <bgColor rgb="004472C4"/>
      </patternFill>
    </fill>
    <fill>
      <patternFill patternType="solid">
        <fgColor rgb="005B9BD5"/>
        <b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5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10" customWidth="1" min="5" max="5"/>
    <col width="14" customWidth="1" min="6" max="6"/>
    <col width="14" customWidth="1" min="7" max="7"/>
    <col width="12" customWidth="1" min="8" max="8"/>
    <col width="13" customWidth="1" min="9" max="9"/>
    <col width="10" customWidth="1" min="10" max="10"/>
    <col width="10" customWidth="1" min="11" max="11"/>
    <col width="12" customWidth="1" min="12" max="12"/>
    <col width="12" customWidth="1" min="13" max="13"/>
    <col width="10" customWidth="1" min="14" max="14"/>
    <col width="10" customWidth="1" min="15" max="15"/>
    <col width="8" customWidth="1" min="16" max="16"/>
    <col width="12" customWidth="1" min="17" max="17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Quran_Mazid</t>
        </is>
      </c>
      <c r="D1" s="1" t="inlineStr">
        <is>
          <t>Arabic_Combined</t>
        </is>
      </c>
      <c r="E1" s="1" t="inlineStr">
        <is>
          <t>Aqaid</t>
        </is>
      </c>
      <c r="F1" s="1" t="inlineStr">
        <is>
          <t>English_Combined</t>
        </is>
      </c>
      <c r="G1" s="1" t="inlineStr">
        <is>
          <t>Bangla_Combined</t>
        </is>
      </c>
      <c r="H1" s="1" t="inlineStr">
        <is>
          <t>Mathematics</t>
        </is>
      </c>
      <c r="I1" s="1" t="inlineStr">
        <is>
          <t>Islamic_History</t>
        </is>
      </c>
      <c r="J1" s="1" t="inlineStr">
        <is>
          <t>ICT</t>
        </is>
      </c>
      <c r="K1" s="1" t="inlineStr">
        <is>
          <t>Mantiq</t>
        </is>
      </c>
      <c r="L1" s="1" t="inlineStr">
        <is>
          <t>Career_Education</t>
        </is>
      </c>
      <c r="M1" s="1" t="inlineStr">
        <is>
          <t>Physical_Education</t>
        </is>
      </c>
      <c r="N1" s="1" t="inlineStr">
        <is>
          <t>Total</t>
        </is>
      </c>
      <c r="O1" s="1" t="inlineStr">
        <is>
          <t>Average</t>
        </is>
      </c>
      <c r="P1" s="1" t="inlineStr">
        <is>
          <t>GPA</t>
        </is>
      </c>
      <c r="Q1" s="1" t="inlineStr">
        <is>
          <t>Overall Grade</t>
        </is>
      </c>
    </row>
    <row r="2">
      <c r="A2" t="n">
        <v>1</v>
      </c>
      <c r="B2" t="inlineStr">
        <is>
          <t>Ahmed Rahman</t>
        </is>
      </c>
      <c r="C2" s="2" t="n">
        <v>170</v>
      </c>
      <c r="D2" s="3" t="n">
        <v>143</v>
      </c>
      <c r="E2" s="3" t="n">
        <v>70</v>
      </c>
      <c r="F2" s="3" t="n">
        <v>157</v>
      </c>
      <c r="G2" s="3" t="n">
        <v>146</v>
      </c>
      <c r="H2" s="2" t="n">
        <v>84</v>
      </c>
      <c r="I2" s="3" t="n">
        <v>64</v>
      </c>
      <c r="J2" s="3" t="n">
        <v>68</v>
      </c>
      <c r="K2" s="2" t="n">
        <v>82</v>
      </c>
      <c r="L2" s="3" t="n">
        <v>73</v>
      </c>
      <c r="M2" s="2" t="n">
        <v>92</v>
      </c>
      <c r="N2">
        <f>SUM(C2:J2)</f>
        <v/>
      </c>
      <c r="O2" s="4">
        <f>ROUND(N2/8,2)</f>
        <v/>
      </c>
      <c r="P2" s="5">
        <f>IF(OR(C2&lt;66,D2&lt;66,E2&lt;33,F2&lt;66,G2&lt;66,H2&lt;33,I2&lt;33,J2&lt;33,L2&lt;33,M2&lt;33),0,MIN(5,ROUND((IF(C2/200*100&gt;=80,5,IF(C2/200*100&gt;=70,4,IF(C2/200*100&gt;=60,3.5,IF(C2/200*100&gt;=50,3,IF(C2/200*100&gt;=40,2,IF(C2/200*100&gt;=33,1,0))))))+IF(D2/200*100&gt;=80,5,IF(D2/200*100&gt;=70,4,IF(D2/200*100&gt;=60,3.5,IF(D2/200*100&gt;=50,3,IF(D2/200*100&gt;=40,2,IF(D2/200*100&gt;=33,1,0))))))+IF(E2&gt;=80,5,IF(E2&gt;=70,4,IF(E2&gt;=60,3.5,IF(E2&gt;=50,3,IF(E2&gt;=40,2,IF(E2&gt;=33,1,0))))))+IF(F2/200*100&gt;=80,5,IF(F2/200*100&gt;=70,4,IF(F2/200*100&gt;=60,3.5,IF(F2/200*100&gt;=50,3,IF(F2/200*100&gt;=40,2,IF(F2/200*100&gt;=33,1,0))))))+IF(G2/200*100&gt;=80,5,IF(G2/200*100&gt;=70,4,IF(G2/200*100&gt;=60,3.5,IF(G2/200*100&gt;=50,3,IF(G2/200*100&gt;=40,2,IF(G2/200*100&gt;=33,1,0))))))+IF(H2&gt;=80,5,IF(H2&gt;=70,4,IF(H2&gt;=60,3.5,IF(H2&gt;=50,3,IF(H2&gt;=40,2,IF(H2&gt;=33,1,0))))))+IF(I2&gt;=80,5,IF(I2&gt;=70,4,IF(I2&gt;=60,3.5,IF(I2&gt;=50,3,IF(I2&gt;=40,2,IF(I2&gt;=33,1,0))))))+IF(J2&gt;=80,5,IF(J2&gt;=70,4,IF(J2&gt;=60,3.5,IF(J2&gt;=50,3,IF(J2&gt;=40,2,IF(J2&gt;=33,1,0)))))))/8+IF(IF(K2&gt;=80,5,IF(K2&gt;=70,4,IF(K2&gt;=60,3.5,IF(K2&gt;=50,3,IF(K2&gt;=40,2,IF(K2&gt;=33,1,0))))))&gt;=2,(IF(K2&gt;=80,5,IF(K2&gt;=70,4,IF(K2&gt;=60,3.5,IF(K2&gt;=50,3,IF(K2&gt;=40,2,IF(K2&gt;=33,1,0))))))-2)/8,0),2)))</f>
        <v/>
      </c>
      <c r="Q2" s="6">
        <f>IF(P2&gt;=5,"A+",IF(P2&gt;=4,"A",IF(P2&gt;=3.5,"A-",IF(P2&gt;=3,"B",IF(P2&gt;=2,"C",IF(P2&gt;=1,"D","F"))))))</f>
        <v/>
      </c>
    </row>
    <row r="3">
      <c r="A3" t="n">
        <v>2</v>
      </c>
      <c r="B3" t="inlineStr">
        <is>
          <t>Fatima Khan</t>
        </is>
      </c>
      <c r="C3" s="3" t="n">
        <v>137</v>
      </c>
      <c r="D3" s="3" t="n">
        <v>144</v>
      </c>
      <c r="E3" s="2" t="n">
        <v>87</v>
      </c>
      <c r="F3" s="2" t="n">
        <v>166</v>
      </c>
      <c r="G3" s="3" t="n">
        <v>156</v>
      </c>
      <c r="H3" s="3" t="n">
        <v>64</v>
      </c>
      <c r="I3" s="2" t="n">
        <v>80</v>
      </c>
      <c r="J3" s="2" t="n">
        <v>86</v>
      </c>
      <c r="K3" s="3" t="n">
        <v>61</v>
      </c>
      <c r="L3" s="2" t="n">
        <v>81</v>
      </c>
      <c r="M3" s="2" t="n">
        <v>80</v>
      </c>
      <c r="N3">
        <f>SUM(C3:J3)</f>
        <v/>
      </c>
      <c r="O3" s="4">
        <f>ROUND(N3/8,2)</f>
        <v/>
      </c>
      <c r="P3" s="5">
        <f>IF(OR(C3&lt;66,D3&lt;66,E3&lt;33,F3&lt;66,G3&lt;66,H3&lt;33,I3&lt;33,J3&lt;33,L3&lt;33,M3&lt;33),0,MIN(5,ROUND((IF(C3/200*100&gt;=80,5,IF(C3/200*100&gt;=70,4,IF(C3/200*100&gt;=60,3.5,IF(C3/200*100&gt;=50,3,IF(C3/200*100&gt;=40,2,IF(C3/200*100&gt;=33,1,0))))))+IF(D3/200*100&gt;=80,5,IF(D3/200*100&gt;=70,4,IF(D3/200*100&gt;=60,3.5,IF(D3/200*100&gt;=50,3,IF(D3/200*100&gt;=40,2,IF(D3/200*100&gt;=33,1,0))))))+IF(E3&gt;=80,5,IF(E3&gt;=70,4,IF(E3&gt;=60,3.5,IF(E3&gt;=50,3,IF(E3&gt;=40,2,IF(E3&gt;=33,1,0))))))+IF(F3/200*100&gt;=80,5,IF(F3/200*100&gt;=70,4,IF(F3/200*100&gt;=60,3.5,IF(F3/200*100&gt;=50,3,IF(F3/200*100&gt;=40,2,IF(F3/200*100&gt;=33,1,0))))))+IF(G3/200*100&gt;=80,5,IF(G3/200*100&gt;=70,4,IF(G3/200*100&gt;=60,3.5,IF(G3/200*100&gt;=50,3,IF(G3/200*100&gt;=40,2,IF(G3/200*100&gt;=33,1,0))))))+IF(H3&gt;=80,5,IF(H3&gt;=70,4,IF(H3&gt;=60,3.5,IF(H3&gt;=50,3,IF(H3&gt;=40,2,IF(H3&gt;=33,1,0))))))+IF(I3&gt;=80,5,IF(I3&gt;=70,4,IF(I3&gt;=60,3.5,IF(I3&gt;=50,3,IF(I3&gt;=40,2,IF(I3&gt;=33,1,0))))))+IF(J3&gt;=80,5,IF(J3&gt;=70,4,IF(J3&gt;=60,3.5,IF(J3&gt;=50,3,IF(J3&gt;=40,2,IF(J3&gt;=33,1,0)))))))/8+IF(IF(K3&gt;=80,5,IF(K3&gt;=70,4,IF(K3&gt;=60,3.5,IF(K3&gt;=50,3,IF(K3&gt;=40,2,IF(K3&gt;=33,1,0))))))&gt;=2,(IF(K3&gt;=80,5,IF(K3&gt;=70,4,IF(K3&gt;=60,3.5,IF(K3&gt;=50,3,IF(K3&gt;=40,2,IF(K3&gt;=33,1,0))))))-2)/8,0),2)))</f>
        <v/>
      </c>
      <c r="Q3" s="6">
        <f>IF(P3&gt;=5,"A+",IF(P3&gt;=4,"A",IF(P3&gt;=3.5,"A-",IF(P3&gt;=3,"B",IF(P3&gt;=2,"C",IF(P3&gt;=1,"D","F"))))))</f>
        <v/>
      </c>
    </row>
    <row r="4">
      <c r="A4" t="n">
        <v>3</v>
      </c>
      <c r="B4" t="inlineStr">
        <is>
          <t>Karim Hassan</t>
        </is>
      </c>
      <c r="C4" s="3" t="n">
        <v>131</v>
      </c>
      <c r="D4" s="2" t="n">
        <v>162</v>
      </c>
      <c r="E4" s="2" t="n">
        <v>81</v>
      </c>
      <c r="F4" s="3" t="n">
        <v>144</v>
      </c>
      <c r="G4" s="3" t="n">
        <v>145</v>
      </c>
      <c r="H4" s="3" t="n">
        <v>71</v>
      </c>
      <c r="I4" s="3" t="n">
        <v>65</v>
      </c>
      <c r="J4" s="2" t="n">
        <v>93</v>
      </c>
      <c r="K4" s="2" t="n">
        <v>82</v>
      </c>
      <c r="L4" s="2" t="n">
        <v>95</v>
      </c>
      <c r="M4" s="2" t="n">
        <v>83</v>
      </c>
      <c r="N4">
        <f>SUM(C4:J4)</f>
        <v/>
      </c>
      <c r="O4" s="4">
        <f>ROUND(N4/8,2)</f>
        <v/>
      </c>
      <c r="P4" s="5">
        <f>IF(OR(C4&lt;66,D4&lt;66,E4&lt;33,F4&lt;66,G4&lt;66,H4&lt;33,I4&lt;33,J4&lt;33,L4&lt;33,M4&lt;33),0,MIN(5,ROUND((IF(C4/200*100&gt;=80,5,IF(C4/200*100&gt;=70,4,IF(C4/200*100&gt;=60,3.5,IF(C4/200*100&gt;=50,3,IF(C4/200*100&gt;=40,2,IF(C4/200*100&gt;=33,1,0))))))+IF(D4/200*100&gt;=80,5,IF(D4/200*100&gt;=70,4,IF(D4/200*100&gt;=60,3.5,IF(D4/200*100&gt;=50,3,IF(D4/200*100&gt;=40,2,IF(D4/200*100&gt;=33,1,0))))))+IF(E4&gt;=80,5,IF(E4&gt;=70,4,IF(E4&gt;=60,3.5,IF(E4&gt;=50,3,IF(E4&gt;=40,2,IF(E4&gt;=33,1,0))))))+IF(F4/200*100&gt;=80,5,IF(F4/200*100&gt;=70,4,IF(F4/200*100&gt;=60,3.5,IF(F4/200*100&gt;=50,3,IF(F4/200*100&gt;=40,2,IF(F4/200*100&gt;=33,1,0))))))+IF(G4/200*100&gt;=80,5,IF(G4/200*100&gt;=70,4,IF(G4/200*100&gt;=60,3.5,IF(G4/200*100&gt;=50,3,IF(G4/200*100&gt;=40,2,IF(G4/200*100&gt;=33,1,0))))))+IF(H4&gt;=80,5,IF(H4&gt;=70,4,IF(H4&gt;=60,3.5,IF(H4&gt;=50,3,IF(H4&gt;=40,2,IF(H4&gt;=33,1,0))))))+IF(I4&gt;=80,5,IF(I4&gt;=70,4,IF(I4&gt;=60,3.5,IF(I4&gt;=50,3,IF(I4&gt;=40,2,IF(I4&gt;=33,1,0))))))+IF(J4&gt;=80,5,IF(J4&gt;=70,4,IF(J4&gt;=60,3.5,IF(J4&gt;=50,3,IF(J4&gt;=40,2,IF(J4&gt;=33,1,0)))))))/8+IF(IF(K4&gt;=80,5,IF(K4&gt;=70,4,IF(K4&gt;=60,3.5,IF(K4&gt;=50,3,IF(K4&gt;=40,2,IF(K4&gt;=33,1,0))))))&gt;=2,(IF(K4&gt;=80,5,IF(K4&gt;=70,4,IF(K4&gt;=60,3.5,IF(K4&gt;=50,3,IF(K4&gt;=40,2,IF(K4&gt;=33,1,0))))))-2)/8,0),2)))</f>
        <v/>
      </c>
      <c r="Q4" s="6">
        <f>IF(P4&gt;=5,"A+",IF(P4&gt;=4,"A",IF(P4&gt;=3.5,"A-",IF(P4&gt;=3,"B",IF(P4&gt;=2,"C",IF(P4&gt;=1,"D","F"))))))</f>
        <v/>
      </c>
    </row>
    <row r="5">
      <c r="A5" t="n">
        <v>4</v>
      </c>
      <c r="B5" t="inlineStr">
        <is>
          <t>Ayesha Begum</t>
        </is>
      </c>
      <c r="C5" s="2" t="n">
        <v>177</v>
      </c>
      <c r="D5" s="2" t="n">
        <v>168</v>
      </c>
      <c r="E5" s="3" t="n">
        <v>77</v>
      </c>
      <c r="F5" s="3" t="n">
        <v>128</v>
      </c>
      <c r="G5" s="2" t="n">
        <v>184</v>
      </c>
      <c r="H5" s="3" t="n">
        <v>63</v>
      </c>
      <c r="I5" s="2" t="n">
        <v>85</v>
      </c>
      <c r="J5" s="2" t="n">
        <v>82</v>
      </c>
      <c r="K5" s="7" t="n">
        <v>56</v>
      </c>
      <c r="L5" s="3" t="n">
        <v>79</v>
      </c>
      <c r="M5" s="2" t="n">
        <v>91</v>
      </c>
      <c r="N5">
        <f>SUM(C5:J5)</f>
        <v/>
      </c>
      <c r="O5" s="4">
        <f>ROUND(N5/8,2)</f>
        <v/>
      </c>
      <c r="P5" s="5">
        <f>IF(OR(C5&lt;66,D5&lt;66,E5&lt;33,F5&lt;66,G5&lt;66,H5&lt;33,I5&lt;33,J5&lt;33,L5&lt;33,M5&lt;33),0,MIN(5,ROUND((IF(C5/200*100&gt;=80,5,IF(C5/200*100&gt;=70,4,IF(C5/200*100&gt;=60,3.5,IF(C5/200*100&gt;=50,3,IF(C5/200*100&gt;=40,2,IF(C5/200*100&gt;=33,1,0))))))+IF(D5/200*100&gt;=80,5,IF(D5/200*100&gt;=70,4,IF(D5/200*100&gt;=60,3.5,IF(D5/200*100&gt;=50,3,IF(D5/200*100&gt;=40,2,IF(D5/200*100&gt;=33,1,0))))))+IF(E5&gt;=80,5,IF(E5&gt;=70,4,IF(E5&gt;=60,3.5,IF(E5&gt;=50,3,IF(E5&gt;=40,2,IF(E5&gt;=33,1,0))))))+IF(F5/200*100&gt;=80,5,IF(F5/200*100&gt;=70,4,IF(F5/200*100&gt;=60,3.5,IF(F5/200*100&gt;=50,3,IF(F5/200*100&gt;=40,2,IF(F5/200*100&gt;=33,1,0))))))+IF(G5/200*100&gt;=80,5,IF(G5/200*100&gt;=70,4,IF(G5/200*100&gt;=60,3.5,IF(G5/200*100&gt;=50,3,IF(G5/200*100&gt;=40,2,IF(G5/200*100&gt;=33,1,0))))))+IF(H5&gt;=80,5,IF(H5&gt;=70,4,IF(H5&gt;=60,3.5,IF(H5&gt;=50,3,IF(H5&gt;=40,2,IF(H5&gt;=33,1,0))))))+IF(I5&gt;=80,5,IF(I5&gt;=70,4,IF(I5&gt;=60,3.5,IF(I5&gt;=50,3,IF(I5&gt;=40,2,IF(I5&gt;=33,1,0))))))+IF(J5&gt;=80,5,IF(J5&gt;=70,4,IF(J5&gt;=60,3.5,IF(J5&gt;=50,3,IF(J5&gt;=40,2,IF(J5&gt;=33,1,0)))))))/8+IF(IF(K5&gt;=80,5,IF(K5&gt;=70,4,IF(K5&gt;=60,3.5,IF(K5&gt;=50,3,IF(K5&gt;=40,2,IF(K5&gt;=33,1,0))))))&gt;=2,(IF(K5&gt;=80,5,IF(K5&gt;=70,4,IF(K5&gt;=60,3.5,IF(K5&gt;=50,3,IF(K5&gt;=40,2,IF(K5&gt;=33,1,0))))))-2)/8,0),2)))</f>
        <v/>
      </c>
      <c r="Q5" s="6">
        <f>IF(P5&gt;=5,"A+",IF(P5&gt;=4,"A",IF(P5&gt;=3.5,"A-",IF(P5&gt;=3,"B",IF(P5&gt;=2,"C",IF(P5&gt;=1,"D","F"))))))</f>
        <v/>
      </c>
    </row>
    <row r="6">
      <c r="A6" t="n">
        <v>5</v>
      </c>
      <c r="B6" t="inlineStr">
        <is>
          <t>Rahim Uddin</t>
        </is>
      </c>
      <c r="C6" s="3" t="n">
        <v>147</v>
      </c>
      <c r="D6" s="3" t="n">
        <v>131</v>
      </c>
      <c r="E6" s="3" t="n">
        <v>69</v>
      </c>
      <c r="F6" s="3" t="n">
        <v>125</v>
      </c>
      <c r="G6" s="2" t="n">
        <v>173</v>
      </c>
      <c r="H6" s="3" t="n">
        <v>70</v>
      </c>
      <c r="I6" s="2" t="n">
        <v>81</v>
      </c>
      <c r="J6" s="2" t="n">
        <v>89</v>
      </c>
      <c r="K6" s="2" t="n">
        <v>90</v>
      </c>
      <c r="L6" s="3" t="n">
        <v>77</v>
      </c>
      <c r="M6" s="2" t="n">
        <v>94</v>
      </c>
      <c r="N6">
        <f>SUM(C6:J6)</f>
        <v/>
      </c>
      <c r="O6" s="4">
        <f>ROUND(N6/8,2)</f>
        <v/>
      </c>
      <c r="P6" s="5">
        <f>IF(OR(C6&lt;66,D6&lt;66,E6&lt;33,F6&lt;66,G6&lt;66,H6&lt;33,I6&lt;33,J6&lt;33,L6&lt;33,M6&lt;33),0,MIN(5,ROUND((IF(C6/200*100&gt;=80,5,IF(C6/200*100&gt;=70,4,IF(C6/200*100&gt;=60,3.5,IF(C6/200*100&gt;=50,3,IF(C6/200*100&gt;=40,2,IF(C6/200*100&gt;=33,1,0))))))+IF(D6/200*100&gt;=80,5,IF(D6/200*100&gt;=70,4,IF(D6/200*100&gt;=60,3.5,IF(D6/200*100&gt;=50,3,IF(D6/200*100&gt;=40,2,IF(D6/200*100&gt;=33,1,0))))))+IF(E6&gt;=80,5,IF(E6&gt;=70,4,IF(E6&gt;=60,3.5,IF(E6&gt;=50,3,IF(E6&gt;=40,2,IF(E6&gt;=33,1,0))))))+IF(F6/200*100&gt;=80,5,IF(F6/200*100&gt;=70,4,IF(F6/200*100&gt;=60,3.5,IF(F6/200*100&gt;=50,3,IF(F6/200*100&gt;=40,2,IF(F6/200*100&gt;=33,1,0))))))+IF(G6/200*100&gt;=80,5,IF(G6/200*100&gt;=70,4,IF(G6/200*100&gt;=60,3.5,IF(G6/200*100&gt;=50,3,IF(G6/200*100&gt;=40,2,IF(G6/200*100&gt;=33,1,0))))))+IF(H6&gt;=80,5,IF(H6&gt;=70,4,IF(H6&gt;=60,3.5,IF(H6&gt;=50,3,IF(H6&gt;=40,2,IF(H6&gt;=33,1,0))))))+IF(I6&gt;=80,5,IF(I6&gt;=70,4,IF(I6&gt;=60,3.5,IF(I6&gt;=50,3,IF(I6&gt;=40,2,IF(I6&gt;=33,1,0))))))+IF(J6&gt;=80,5,IF(J6&gt;=70,4,IF(J6&gt;=60,3.5,IF(J6&gt;=50,3,IF(J6&gt;=40,2,IF(J6&gt;=33,1,0)))))))/8+IF(IF(K6&gt;=80,5,IF(K6&gt;=70,4,IF(K6&gt;=60,3.5,IF(K6&gt;=50,3,IF(K6&gt;=40,2,IF(K6&gt;=33,1,0))))))&gt;=2,(IF(K6&gt;=80,5,IF(K6&gt;=70,4,IF(K6&gt;=60,3.5,IF(K6&gt;=50,3,IF(K6&gt;=40,2,IF(K6&gt;=33,1,0))))))-2)/8,0),2)))</f>
        <v/>
      </c>
      <c r="Q6" s="6">
        <f>IF(P6&gt;=5,"A+",IF(P6&gt;=4,"A",IF(P6&gt;=3.5,"A-",IF(P6&gt;=3,"B",IF(P6&gt;=2,"C",IF(P6&gt;=1,"D","F"))))))</f>
        <v/>
      </c>
    </row>
    <row r="7">
      <c r="A7" t="n">
        <v>6</v>
      </c>
      <c r="B7" t="inlineStr">
        <is>
          <t>Nadia Islam</t>
        </is>
      </c>
      <c r="C7" s="3" t="n">
        <v>145</v>
      </c>
      <c r="D7" s="2" t="n">
        <v>165</v>
      </c>
      <c r="E7" s="3" t="n">
        <v>73</v>
      </c>
      <c r="F7" s="3" t="n">
        <v>149</v>
      </c>
      <c r="G7" s="3" t="n">
        <v>159</v>
      </c>
      <c r="H7" s="2" t="n">
        <v>90</v>
      </c>
      <c r="I7" s="3" t="n">
        <v>73</v>
      </c>
      <c r="J7" s="3" t="n">
        <v>73</v>
      </c>
      <c r="K7" s="3" t="n">
        <v>69</v>
      </c>
      <c r="L7" s="3" t="n">
        <v>71</v>
      </c>
      <c r="M7" s="2" t="n">
        <v>88</v>
      </c>
      <c r="N7">
        <f>SUM(C7:J7)</f>
        <v/>
      </c>
      <c r="O7" s="4">
        <f>ROUND(N7/8,2)</f>
        <v/>
      </c>
      <c r="P7" s="5">
        <f>IF(OR(C7&lt;66,D7&lt;66,E7&lt;33,F7&lt;66,G7&lt;66,H7&lt;33,I7&lt;33,J7&lt;33,L7&lt;33,M7&lt;33),0,MIN(5,ROUND((IF(C7/200*100&gt;=80,5,IF(C7/200*100&gt;=70,4,IF(C7/200*100&gt;=60,3.5,IF(C7/200*100&gt;=50,3,IF(C7/200*100&gt;=40,2,IF(C7/200*100&gt;=33,1,0))))))+IF(D7/200*100&gt;=80,5,IF(D7/200*100&gt;=70,4,IF(D7/200*100&gt;=60,3.5,IF(D7/200*100&gt;=50,3,IF(D7/200*100&gt;=40,2,IF(D7/200*100&gt;=33,1,0))))))+IF(E7&gt;=80,5,IF(E7&gt;=70,4,IF(E7&gt;=60,3.5,IF(E7&gt;=50,3,IF(E7&gt;=40,2,IF(E7&gt;=33,1,0))))))+IF(F7/200*100&gt;=80,5,IF(F7/200*100&gt;=70,4,IF(F7/200*100&gt;=60,3.5,IF(F7/200*100&gt;=50,3,IF(F7/200*100&gt;=40,2,IF(F7/200*100&gt;=33,1,0))))))+IF(G7/200*100&gt;=80,5,IF(G7/200*100&gt;=70,4,IF(G7/200*100&gt;=60,3.5,IF(G7/200*100&gt;=50,3,IF(G7/200*100&gt;=40,2,IF(G7/200*100&gt;=33,1,0))))))+IF(H7&gt;=80,5,IF(H7&gt;=70,4,IF(H7&gt;=60,3.5,IF(H7&gt;=50,3,IF(H7&gt;=40,2,IF(H7&gt;=33,1,0))))))+IF(I7&gt;=80,5,IF(I7&gt;=70,4,IF(I7&gt;=60,3.5,IF(I7&gt;=50,3,IF(I7&gt;=40,2,IF(I7&gt;=33,1,0))))))+IF(J7&gt;=80,5,IF(J7&gt;=70,4,IF(J7&gt;=60,3.5,IF(J7&gt;=50,3,IF(J7&gt;=40,2,IF(J7&gt;=33,1,0)))))))/8+IF(IF(K7&gt;=80,5,IF(K7&gt;=70,4,IF(K7&gt;=60,3.5,IF(K7&gt;=50,3,IF(K7&gt;=40,2,IF(K7&gt;=33,1,0))))))&gt;=2,(IF(K7&gt;=80,5,IF(K7&gt;=70,4,IF(K7&gt;=60,3.5,IF(K7&gt;=50,3,IF(K7&gt;=40,2,IF(K7&gt;=33,1,0))))))-2)/8,0),2)))</f>
        <v/>
      </c>
      <c r="Q7" s="6">
        <f>IF(P7&gt;=5,"A+",IF(P7&gt;=4,"A",IF(P7&gt;=3.5,"A-",IF(P7&gt;=3,"B",IF(P7&gt;=2,"C",IF(P7&gt;=1,"D","F"))))))</f>
        <v/>
      </c>
    </row>
    <row r="8">
      <c r="A8" t="n">
        <v>7</v>
      </c>
      <c r="B8" t="inlineStr">
        <is>
          <t>Jahir Ahmed</t>
        </is>
      </c>
      <c r="C8" s="3" t="n">
        <v>144</v>
      </c>
      <c r="D8" s="3" t="n">
        <v>142</v>
      </c>
      <c r="E8" s="2" t="n">
        <v>81</v>
      </c>
      <c r="F8" s="3" t="n">
        <v>157</v>
      </c>
      <c r="G8" s="3" t="n">
        <v>153</v>
      </c>
      <c r="H8" s="2" t="n">
        <v>89</v>
      </c>
      <c r="I8" s="3" t="n">
        <v>79</v>
      </c>
      <c r="J8" s="2" t="n">
        <v>89</v>
      </c>
      <c r="K8" s="2" t="n">
        <v>90</v>
      </c>
      <c r="L8" s="3" t="n">
        <v>77</v>
      </c>
      <c r="M8" s="2" t="n">
        <v>81</v>
      </c>
      <c r="N8">
        <f>SUM(C8:J8)</f>
        <v/>
      </c>
      <c r="O8" s="4">
        <f>ROUND(N8/8,2)</f>
        <v/>
      </c>
      <c r="P8" s="5">
        <f>IF(OR(C8&lt;66,D8&lt;66,E8&lt;33,F8&lt;66,G8&lt;66,H8&lt;33,I8&lt;33,J8&lt;33,L8&lt;33,M8&lt;33),0,MIN(5,ROUND((IF(C8/200*100&gt;=80,5,IF(C8/200*100&gt;=70,4,IF(C8/200*100&gt;=60,3.5,IF(C8/200*100&gt;=50,3,IF(C8/200*100&gt;=40,2,IF(C8/200*100&gt;=33,1,0))))))+IF(D8/200*100&gt;=80,5,IF(D8/200*100&gt;=70,4,IF(D8/200*100&gt;=60,3.5,IF(D8/200*100&gt;=50,3,IF(D8/200*100&gt;=40,2,IF(D8/200*100&gt;=33,1,0))))))+IF(E8&gt;=80,5,IF(E8&gt;=70,4,IF(E8&gt;=60,3.5,IF(E8&gt;=50,3,IF(E8&gt;=40,2,IF(E8&gt;=33,1,0))))))+IF(F8/200*100&gt;=80,5,IF(F8/200*100&gt;=70,4,IF(F8/200*100&gt;=60,3.5,IF(F8/200*100&gt;=50,3,IF(F8/200*100&gt;=40,2,IF(F8/200*100&gt;=33,1,0))))))+IF(G8/200*100&gt;=80,5,IF(G8/200*100&gt;=70,4,IF(G8/200*100&gt;=60,3.5,IF(G8/200*100&gt;=50,3,IF(G8/200*100&gt;=40,2,IF(G8/200*100&gt;=33,1,0))))))+IF(H8&gt;=80,5,IF(H8&gt;=70,4,IF(H8&gt;=60,3.5,IF(H8&gt;=50,3,IF(H8&gt;=40,2,IF(H8&gt;=33,1,0))))))+IF(I8&gt;=80,5,IF(I8&gt;=70,4,IF(I8&gt;=60,3.5,IF(I8&gt;=50,3,IF(I8&gt;=40,2,IF(I8&gt;=33,1,0))))))+IF(J8&gt;=80,5,IF(J8&gt;=70,4,IF(J8&gt;=60,3.5,IF(J8&gt;=50,3,IF(J8&gt;=40,2,IF(J8&gt;=33,1,0)))))))/8+IF(IF(K8&gt;=80,5,IF(K8&gt;=70,4,IF(K8&gt;=60,3.5,IF(K8&gt;=50,3,IF(K8&gt;=40,2,IF(K8&gt;=33,1,0))))))&gt;=2,(IF(K8&gt;=80,5,IF(K8&gt;=70,4,IF(K8&gt;=60,3.5,IF(K8&gt;=50,3,IF(K8&gt;=40,2,IF(K8&gt;=33,1,0))))))-2)/8,0),2)))</f>
        <v/>
      </c>
      <c r="Q8" s="6">
        <f>IF(P8&gt;=5,"A+",IF(P8&gt;=4,"A",IF(P8&gt;=3.5,"A-",IF(P8&gt;=3,"B",IF(P8&gt;=2,"C",IF(P8&gt;=1,"D","F"))))))</f>
        <v/>
      </c>
    </row>
    <row r="9">
      <c r="A9" t="n">
        <v>8</v>
      </c>
      <c r="B9" t="inlineStr">
        <is>
          <t>Sadia Sultana</t>
        </is>
      </c>
      <c r="C9" s="3" t="n">
        <v>138</v>
      </c>
      <c r="D9" s="2" t="n">
        <v>175</v>
      </c>
      <c r="E9" s="3" t="n">
        <v>66</v>
      </c>
      <c r="F9" s="3" t="n">
        <v>130</v>
      </c>
      <c r="G9" s="2" t="n">
        <v>166</v>
      </c>
      <c r="H9" s="3" t="n">
        <v>71</v>
      </c>
      <c r="I9" s="3" t="n">
        <v>62</v>
      </c>
      <c r="J9" s="2" t="n">
        <v>85</v>
      </c>
      <c r="K9" s="2" t="n">
        <v>82</v>
      </c>
      <c r="L9" s="2" t="n">
        <v>88</v>
      </c>
      <c r="M9" s="2" t="n">
        <v>92</v>
      </c>
      <c r="N9">
        <f>SUM(C9:J9)</f>
        <v/>
      </c>
      <c r="O9" s="4">
        <f>ROUND(N9/8,2)</f>
        <v/>
      </c>
      <c r="P9" s="5">
        <f>IF(OR(C9&lt;66,D9&lt;66,E9&lt;33,F9&lt;66,G9&lt;66,H9&lt;33,I9&lt;33,J9&lt;33,L9&lt;33,M9&lt;33),0,MIN(5,ROUND((IF(C9/200*100&gt;=80,5,IF(C9/200*100&gt;=70,4,IF(C9/200*100&gt;=60,3.5,IF(C9/200*100&gt;=50,3,IF(C9/200*100&gt;=40,2,IF(C9/200*100&gt;=33,1,0))))))+IF(D9/200*100&gt;=80,5,IF(D9/200*100&gt;=70,4,IF(D9/200*100&gt;=60,3.5,IF(D9/200*100&gt;=50,3,IF(D9/200*100&gt;=40,2,IF(D9/200*100&gt;=33,1,0))))))+IF(E9&gt;=80,5,IF(E9&gt;=70,4,IF(E9&gt;=60,3.5,IF(E9&gt;=50,3,IF(E9&gt;=40,2,IF(E9&gt;=33,1,0))))))+IF(F9/200*100&gt;=80,5,IF(F9/200*100&gt;=70,4,IF(F9/200*100&gt;=60,3.5,IF(F9/200*100&gt;=50,3,IF(F9/200*100&gt;=40,2,IF(F9/200*100&gt;=33,1,0))))))+IF(G9/200*100&gt;=80,5,IF(G9/200*100&gt;=70,4,IF(G9/200*100&gt;=60,3.5,IF(G9/200*100&gt;=50,3,IF(G9/200*100&gt;=40,2,IF(G9/200*100&gt;=33,1,0))))))+IF(H9&gt;=80,5,IF(H9&gt;=70,4,IF(H9&gt;=60,3.5,IF(H9&gt;=50,3,IF(H9&gt;=40,2,IF(H9&gt;=33,1,0))))))+IF(I9&gt;=80,5,IF(I9&gt;=70,4,IF(I9&gt;=60,3.5,IF(I9&gt;=50,3,IF(I9&gt;=40,2,IF(I9&gt;=33,1,0))))))+IF(J9&gt;=80,5,IF(J9&gt;=70,4,IF(J9&gt;=60,3.5,IF(J9&gt;=50,3,IF(J9&gt;=40,2,IF(J9&gt;=33,1,0)))))))/8+IF(IF(K9&gt;=80,5,IF(K9&gt;=70,4,IF(K9&gt;=60,3.5,IF(K9&gt;=50,3,IF(K9&gt;=40,2,IF(K9&gt;=33,1,0))))))&gt;=2,(IF(K9&gt;=80,5,IF(K9&gt;=70,4,IF(K9&gt;=60,3.5,IF(K9&gt;=50,3,IF(K9&gt;=40,2,IF(K9&gt;=33,1,0))))))-2)/8,0),2)))</f>
        <v/>
      </c>
      <c r="Q9" s="6">
        <f>IF(P9&gt;=5,"A+",IF(P9&gt;=4,"A",IF(P9&gt;=3.5,"A-",IF(P9&gt;=3,"B",IF(P9&gt;=2,"C",IF(P9&gt;=1,"D","F"))))))</f>
        <v/>
      </c>
    </row>
    <row r="10">
      <c r="A10" t="n">
        <v>9</v>
      </c>
      <c r="B10" t="inlineStr">
        <is>
          <t>Tarik Hasan</t>
        </is>
      </c>
      <c r="C10" s="2" t="n">
        <v>177</v>
      </c>
      <c r="D10" s="2" t="n">
        <v>171</v>
      </c>
      <c r="E10" s="3" t="n">
        <v>65</v>
      </c>
      <c r="F10" s="3" t="n">
        <v>149</v>
      </c>
      <c r="G10" s="3" t="n">
        <v>132</v>
      </c>
      <c r="H10" s="2" t="n">
        <v>92</v>
      </c>
      <c r="I10" s="3" t="n">
        <v>72</v>
      </c>
      <c r="J10" s="3" t="n">
        <v>75</v>
      </c>
      <c r="K10" s="2" t="n">
        <v>88</v>
      </c>
      <c r="L10" s="3" t="n">
        <v>72</v>
      </c>
      <c r="M10" s="2" t="n">
        <v>81</v>
      </c>
      <c r="N10">
        <f>SUM(C10:J10)</f>
        <v/>
      </c>
      <c r="O10" s="4">
        <f>ROUND(N10/8,2)</f>
        <v/>
      </c>
      <c r="P10" s="5">
        <f>IF(OR(C10&lt;66,D10&lt;66,E10&lt;33,F10&lt;66,G10&lt;66,H10&lt;33,I10&lt;33,J10&lt;33,L10&lt;33,M10&lt;33),0,MIN(5,ROUND((IF(C10/200*100&gt;=80,5,IF(C10/200*100&gt;=70,4,IF(C10/200*100&gt;=60,3.5,IF(C10/200*100&gt;=50,3,IF(C10/200*100&gt;=40,2,IF(C10/200*100&gt;=33,1,0))))))+IF(D10/200*100&gt;=80,5,IF(D10/200*100&gt;=70,4,IF(D10/200*100&gt;=60,3.5,IF(D10/200*100&gt;=50,3,IF(D10/200*100&gt;=40,2,IF(D10/200*100&gt;=33,1,0))))))+IF(E10&gt;=80,5,IF(E10&gt;=70,4,IF(E10&gt;=60,3.5,IF(E10&gt;=50,3,IF(E10&gt;=40,2,IF(E10&gt;=33,1,0))))))+IF(F10/200*100&gt;=80,5,IF(F10/200*100&gt;=70,4,IF(F10/200*100&gt;=60,3.5,IF(F10/200*100&gt;=50,3,IF(F10/200*100&gt;=40,2,IF(F10/200*100&gt;=33,1,0))))))+IF(G10/200*100&gt;=80,5,IF(G10/200*100&gt;=70,4,IF(G10/200*100&gt;=60,3.5,IF(G10/200*100&gt;=50,3,IF(G10/200*100&gt;=40,2,IF(G10/200*100&gt;=33,1,0))))))+IF(H10&gt;=80,5,IF(H10&gt;=70,4,IF(H10&gt;=60,3.5,IF(H10&gt;=50,3,IF(H10&gt;=40,2,IF(H10&gt;=33,1,0))))))+IF(I10&gt;=80,5,IF(I10&gt;=70,4,IF(I10&gt;=60,3.5,IF(I10&gt;=50,3,IF(I10&gt;=40,2,IF(I10&gt;=33,1,0))))))+IF(J10&gt;=80,5,IF(J10&gt;=70,4,IF(J10&gt;=60,3.5,IF(J10&gt;=50,3,IF(J10&gt;=40,2,IF(J10&gt;=33,1,0)))))))/8+IF(IF(K10&gt;=80,5,IF(K10&gt;=70,4,IF(K10&gt;=60,3.5,IF(K10&gt;=50,3,IF(K10&gt;=40,2,IF(K10&gt;=33,1,0))))))&gt;=2,(IF(K10&gt;=80,5,IF(K10&gt;=70,4,IF(K10&gt;=60,3.5,IF(K10&gt;=50,3,IF(K10&gt;=40,2,IF(K10&gt;=33,1,0))))))-2)/8,0),2)))</f>
        <v/>
      </c>
      <c r="Q10" s="6">
        <f>IF(P10&gt;=5,"A+",IF(P10&gt;=4,"A",IF(P10&gt;=3.5,"A-",IF(P10&gt;=3,"B",IF(P10&gt;=2,"C",IF(P10&gt;=1,"D","F"))))))</f>
        <v/>
      </c>
    </row>
    <row r="11">
      <c r="A11" t="n">
        <v>10</v>
      </c>
      <c r="B11" t="inlineStr">
        <is>
          <t>Ruhi Akter</t>
        </is>
      </c>
      <c r="C11" s="3" t="n">
        <v>136</v>
      </c>
      <c r="D11" s="2" t="n">
        <v>174</v>
      </c>
      <c r="E11" s="2" t="n">
        <v>84</v>
      </c>
      <c r="F11" s="3" t="n">
        <v>132</v>
      </c>
      <c r="G11" s="3" t="n">
        <v>154</v>
      </c>
      <c r="H11" s="2" t="n">
        <v>82</v>
      </c>
      <c r="I11" s="3" t="n">
        <v>72</v>
      </c>
      <c r="J11" s="3" t="n">
        <v>68</v>
      </c>
      <c r="K11" s="3" t="n">
        <v>62</v>
      </c>
      <c r="L11" s="3" t="n">
        <v>72</v>
      </c>
      <c r="M11" s="2" t="n">
        <v>84</v>
      </c>
      <c r="N11">
        <f>SUM(C11:J11)</f>
        <v/>
      </c>
      <c r="O11" s="4">
        <f>ROUND(N11/8,2)</f>
        <v/>
      </c>
      <c r="P11" s="5">
        <f>IF(OR(C11&lt;66,D11&lt;66,E11&lt;33,F11&lt;66,G11&lt;66,H11&lt;33,I11&lt;33,J11&lt;33,L11&lt;33,M11&lt;33),0,MIN(5,ROUND((IF(C11/200*100&gt;=80,5,IF(C11/200*100&gt;=70,4,IF(C11/200*100&gt;=60,3.5,IF(C11/200*100&gt;=50,3,IF(C11/200*100&gt;=40,2,IF(C11/200*100&gt;=33,1,0))))))+IF(D11/200*100&gt;=80,5,IF(D11/200*100&gt;=70,4,IF(D11/200*100&gt;=60,3.5,IF(D11/200*100&gt;=50,3,IF(D11/200*100&gt;=40,2,IF(D11/200*100&gt;=33,1,0))))))+IF(E11&gt;=80,5,IF(E11&gt;=70,4,IF(E11&gt;=60,3.5,IF(E11&gt;=50,3,IF(E11&gt;=40,2,IF(E11&gt;=33,1,0))))))+IF(F11/200*100&gt;=80,5,IF(F11/200*100&gt;=70,4,IF(F11/200*100&gt;=60,3.5,IF(F11/200*100&gt;=50,3,IF(F11/200*100&gt;=40,2,IF(F11/200*100&gt;=33,1,0))))))+IF(G11/200*100&gt;=80,5,IF(G11/200*100&gt;=70,4,IF(G11/200*100&gt;=60,3.5,IF(G11/200*100&gt;=50,3,IF(G11/200*100&gt;=40,2,IF(G11/200*100&gt;=33,1,0))))))+IF(H11&gt;=80,5,IF(H11&gt;=70,4,IF(H11&gt;=60,3.5,IF(H11&gt;=50,3,IF(H11&gt;=40,2,IF(H11&gt;=33,1,0))))))+IF(I11&gt;=80,5,IF(I11&gt;=70,4,IF(I11&gt;=60,3.5,IF(I11&gt;=50,3,IF(I11&gt;=40,2,IF(I11&gt;=33,1,0))))))+IF(J11&gt;=80,5,IF(J11&gt;=70,4,IF(J11&gt;=60,3.5,IF(J11&gt;=50,3,IF(J11&gt;=40,2,IF(J11&gt;=33,1,0)))))))/8+IF(IF(K11&gt;=80,5,IF(K11&gt;=70,4,IF(K11&gt;=60,3.5,IF(K11&gt;=50,3,IF(K11&gt;=40,2,IF(K11&gt;=33,1,0))))))&gt;=2,(IF(K11&gt;=80,5,IF(K11&gt;=70,4,IF(K11&gt;=60,3.5,IF(K11&gt;=50,3,IF(K11&gt;=40,2,IF(K11&gt;=33,1,0))))))-2)/8,0),2)))</f>
        <v/>
      </c>
      <c r="Q11" s="6">
        <f>IF(P11&gt;=5,"A+",IF(P11&gt;=4,"A",IF(P11&gt;=3.5,"A-",IF(P11&gt;=3,"B",IF(P11&gt;=2,"C",IF(P11&gt;=1,"D","F"))))))</f>
        <v/>
      </c>
    </row>
    <row r="12">
      <c r="A12" t="n">
        <v>11</v>
      </c>
      <c r="B12" t="inlineStr">
        <is>
          <t>Mehedi Hassan</t>
        </is>
      </c>
      <c r="C12" s="2" t="n">
        <v>173</v>
      </c>
      <c r="D12" s="2" t="n">
        <v>164</v>
      </c>
      <c r="E12" s="3" t="n">
        <v>66</v>
      </c>
      <c r="F12" s="2" t="n">
        <v>168</v>
      </c>
      <c r="G12" s="3" t="n">
        <v>129</v>
      </c>
      <c r="H12" s="2" t="n">
        <v>92</v>
      </c>
      <c r="I12" s="3" t="n">
        <v>79</v>
      </c>
      <c r="J12" s="3" t="n">
        <v>74</v>
      </c>
      <c r="K12" s="7" t="n">
        <v>59</v>
      </c>
      <c r="L12" s="2" t="n">
        <v>93</v>
      </c>
      <c r="M12" s="2" t="n">
        <v>87</v>
      </c>
      <c r="N12">
        <f>SUM(C12:J12)</f>
        <v/>
      </c>
      <c r="O12" s="4">
        <f>ROUND(N12/8,2)</f>
        <v/>
      </c>
      <c r="P12" s="5">
        <f>IF(OR(C12&lt;66,D12&lt;66,E12&lt;33,F12&lt;66,G12&lt;66,H12&lt;33,I12&lt;33,J12&lt;33,L12&lt;33,M12&lt;33),0,MIN(5,ROUND((IF(C12/200*100&gt;=80,5,IF(C12/200*100&gt;=70,4,IF(C12/200*100&gt;=60,3.5,IF(C12/200*100&gt;=50,3,IF(C12/200*100&gt;=40,2,IF(C12/200*100&gt;=33,1,0))))))+IF(D12/200*100&gt;=80,5,IF(D12/200*100&gt;=70,4,IF(D12/200*100&gt;=60,3.5,IF(D12/200*100&gt;=50,3,IF(D12/200*100&gt;=40,2,IF(D12/200*100&gt;=33,1,0))))))+IF(E12&gt;=80,5,IF(E12&gt;=70,4,IF(E12&gt;=60,3.5,IF(E12&gt;=50,3,IF(E12&gt;=40,2,IF(E12&gt;=33,1,0))))))+IF(F12/200*100&gt;=80,5,IF(F12/200*100&gt;=70,4,IF(F12/200*100&gt;=60,3.5,IF(F12/200*100&gt;=50,3,IF(F12/200*100&gt;=40,2,IF(F12/200*100&gt;=33,1,0))))))+IF(G12/200*100&gt;=80,5,IF(G12/200*100&gt;=70,4,IF(G12/200*100&gt;=60,3.5,IF(G12/200*100&gt;=50,3,IF(G12/200*100&gt;=40,2,IF(G12/200*100&gt;=33,1,0))))))+IF(H12&gt;=80,5,IF(H12&gt;=70,4,IF(H12&gt;=60,3.5,IF(H12&gt;=50,3,IF(H12&gt;=40,2,IF(H12&gt;=33,1,0))))))+IF(I12&gt;=80,5,IF(I12&gt;=70,4,IF(I12&gt;=60,3.5,IF(I12&gt;=50,3,IF(I12&gt;=40,2,IF(I12&gt;=33,1,0))))))+IF(J12&gt;=80,5,IF(J12&gt;=70,4,IF(J12&gt;=60,3.5,IF(J12&gt;=50,3,IF(J12&gt;=40,2,IF(J12&gt;=33,1,0)))))))/8+IF(IF(K12&gt;=80,5,IF(K12&gt;=70,4,IF(K12&gt;=60,3.5,IF(K12&gt;=50,3,IF(K12&gt;=40,2,IF(K12&gt;=33,1,0))))))&gt;=2,(IF(K12&gt;=80,5,IF(K12&gt;=70,4,IF(K12&gt;=60,3.5,IF(K12&gt;=50,3,IF(K12&gt;=40,2,IF(K12&gt;=33,1,0))))))-2)/8,0),2)))</f>
        <v/>
      </c>
      <c r="Q12" s="6">
        <f>IF(P12&gt;=5,"A+",IF(P12&gt;=4,"A",IF(P12&gt;=3.5,"A-",IF(P12&gt;=3,"B",IF(P12&gt;=2,"C",IF(P12&gt;=1,"D","F"))))))</f>
        <v/>
      </c>
    </row>
    <row r="13">
      <c r="A13" t="n">
        <v>12</v>
      </c>
      <c r="B13" t="inlineStr">
        <is>
          <t>Lubna Khatun</t>
        </is>
      </c>
      <c r="C13" s="2" t="n">
        <v>177</v>
      </c>
      <c r="D13" s="3" t="n">
        <v>156</v>
      </c>
      <c r="E13" s="2" t="n">
        <v>82</v>
      </c>
      <c r="F13" s="3" t="n">
        <v>155</v>
      </c>
      <c r="G13" s="2" t="n">
        <v>165</v>
      </c>
      <c r="H13" s="2" t="n">
        <v>80</v>
      </c>
      <c r="I13" s="3" t="n">
        <v>74</v>
      </c>
      <c r="J13" s="3" t="n">
        <v>78</v>
      </c>
      <c r="K13" s="3" t="n">
        <v>73</v>
      </c>
      <c r="L13" s="2" t="n">
        <v>85</v>
      </c>
      <c r="M13" s="2" t="n">
        <v>95</v>
      </c>
      <c r="N13">
        <f>SUM(C13:J13)</f>
        <v/>
      </c>
      <c r="O13" s="4">
        <f>ROUND(N13/8,2)</f>
        <v/>
      </c>
      <c r="P13" s="5">
        <f>IF(OR(C13&lt;66,D13&lt;66,E13&lt;33,F13&lt;66,G13&lt;66,H13&lt;33,I13&lt;33,J13&lt;33,L13&lt;33,M13&lt;33),0,MIN(5,ROUND((IF(C13/200*100&gt;=80,5,IF(C13/200*100&gt;=70,4,IF(C13/200*100&gt;=60,3.5,IF(C13/200*100&gt;=50,3,IF(C13/200*100&gt;=40,2,IF(C13/200*100&gt;=33,1,0))))))+IF(D13/200*100&gt;=80,5,IF(D13/200*100&gt;=70,4,IF(D13/200*100&gt;=60,3.5,IF(D13/200*100&gt;=50,3,IF(D13/200*100&gt;=40,2,IF(D13/200*100&gt;=33,1,0))))))+IF(E13&gt;=80,5,IF(E13&gt;=70,4,IF(E13&gt;=60,3.5,IF(E13&gt;=50,3,IF(E13&gt;=40,2,IF(E13&gt;=33,1,0))))))+IF(F13/200*100&gt;=80,5,IF(F13/200*100&gt;=70,4,IF(F13/200*100&gt;=60,3.5,IF(F13/200*100&gt;=50,3,IF(F13/200*100&gt;=40,2,IF(F13/200*100&gt;=33,1,0))))))+IF(G13/200*100&gt;=80,5,IF(G13/200*100&gt;=70,4,IF(G13/200*100&gt;=60,3.5,IF(G13/200*100&gt;=50,3,IF(G13/200*100&gt;=40,2,IF(G13/200*100&gt;=33,1,0))))))+IF(H13&gt;=80,5,IF(H13&gt;=70,4,IF(H13&gt;=60,3.5,IF(H13&gt;=50,3,IF(H13&gt;=40,2,IF(H13&gt;=33,1,0))))))+IF(I13&gt;=80,5,IF(I13&gt;=70,4,IF(I13&gt;=60,3.5,IF(I13&gt;=50,3,IF(I13&gt;=40,2,IF(I13&gt;=33,1,0))))))+IF(J13&gt;=80,5,IF(J13&gt;=70,4,IF(J13&gt;=60,3.5,IF(J13&gt;=50,3,IF(J13&gt;=40,2,IF(J13&gt;=33,1,0)))))))/8+IF(IF(K13&gt;=80,5,IF(K13&gt;=70,4,IF(K13&gt;=60,3.5,IF(K13&gt;=50,3,IF(K13&gt;=40,2,IF(K13&gt;=33,1,0))))))&gt;=2,(IF(K13&gt;=80,5,IF(K13&gt;=70,4,IF(K13&gt;=60,3.5,IF(K13&gt;=50,3,IF(K13&gt;=40,2,IF(K13&gt;=33,1,0))))))-2)/8,0),2)))</f>
        <v/>
      </c>
      <c r="Q13" s="6">
        <f>IF(P13&gt;=5,"A+",IF(P13&gt;=4,"A",IF(P13&gt;=3.5,"A-",IF(P13&gt;=3,"B",IF(P13&gt;=2,"C",IF(P13&gt;=1,"D","F"))))))</f>
        <v/>
      </c>
    </row>
    <row r="14">
      <c r="A14" t="n">
        <v>13</v>
      </c>
      <c r="B14" t="inlineStr">
        <is>
          <t>Fahim Ahmed</t>
        </is>
      </c>
      <c r="C14" s="2" t="n">
        <v>187</v>
      </c>
      <c r="D14" s="3" t="n">
        <v>144</v>
      </c>
      <c r="E14" s="2" t="n">
        <v>82</v>
      </c>
      <c r="F14" s="2" t="n">
        <v>178</v>
      </c>
      <c r="G14" s="2" t="n">
        <v>176</v>
      </c>
      <c r="H14" s="3" t="n">
        <v>78</v>
      </c>
      <c r="I14" s="3" t="n">
        <v>76</v>
      </c>
      <c r="J14" s="3" t="n">
        <v>70</v>
      </c>
      <c r="K14" s="3" t="n">
        <v>60</v>
      </c>
      <c r="L14" s="3" t="n">
        <v>72</v>
      </c>
      <c r="M14" s="2" t="n">
        <v>86</v>
      </c>
      <c r="N14">
        <f>SUM(C14:J14)</f>
        <v/>
      </c>
      <c r="O14" s="4">
        <f>ROUND(N14/8,2)</f>
        <v/>
      </c>
      <c r="P14" s="5">
        <f>IF(OR(C14&lt;66,D14&lt;66,E14&lt;33,F14&lt;66,G14&lt;66,H14&lt;33,I14&lt;33,J14&lt;33,L14&lt;33,M14&lt;33),0,MIN(5,ROUND((IF(C14/200*100&gt;=80,5,IF(C14/200*100&gt;=70,4,IF(C14/200*100&gt;=60,3.5,IF(C14/200*100&gt;=50,3,IF(C14/200*100&gt;=40,2,IF(C14/200*100&gt;=33,1,0))))))+IF(D14/200*100&gt;=80,5,IF(D14/200*100&gt;=70,4,IF(D14/200*100&gt;=60,3.5,IF(D14/200*100&gt;=50,3,IF(D14/200*100&gt;=40,2,IF(D14/200*100&gt;=33,1,0))))))+IF(E14&gt;=80,5,IF(E14&gt;=70,4,IF(E14&gt;=60,3.5,IF(E14&gt;=50,3,IF(E14&gt;=40,2,IF(E14&gt;=33,1,0))))))+IF(F14/200*100&gt;=80,5,IF(F14/200*100&gt;=70,4,IF(F14/200*100&gt;=60,3.5,IF(F14/200*100&gt;=50,3,IF(F14/200*100&gt;=40,2,IF(F14/200*100&gt;=33,1,0))))))+IF(G14/200*100&gt;=80,5,IF(G14/200*100&gt;=70,4,IF(G14/200*100&gt;=60,3.5,IF(G14/200*100&gt;=50,3,IF(G14/200*100&gt;=40,2,IF(G14/200*100&gt;=33,1,0))))))+IF(H14&gt;=80,5,IF(H14&gt;=70,4,IF(H14&gt;=60,3.5,IF(H14&gt;=50,3,IF(H14&gt;=40,2,IF(H14&gt;=33,1,0))))))+IF(I14&gt;=80,5,IF(I14&gt;=70,4,IF(I14&gt;=60,3.5,IF(I14&gt;=50,3,IF(I14&gt;=40,2,IF(I14&gt;=33,1,0))))))+IF(J14&gt;=80,5,IF(J14&gt;=70,4,IF(J14&gt;=60,3.5,IF(J14&gt;=50,3,IF(J14&gt;=40,2,IF(J14&gt;=33,1,0)))))))/8+IF(IF(K14&gt;=80,5,IF(K14&gt;=70,4,IF(K14&gt;=60,3.5,IF(K14&gt;=50,3,IF(K14&gt;=40,2,IF(K14&gt;=33,1,0))))))&gt;=2,(IF(K14&gt;=80,5,IF(K14&gt;=70,4,IF(K14&gt;=60,3.5,IF(K14&gt;=50,3,IF(K14&gt;=40,2,IF(K14&gt;=33,1,0))))))-2)/8,0),2)))</f>
        <v/>
      </c>
      <c r="Q14" s="6">
        <f>IF(P14&gt;=5,"A+",IF(P14&gt;=4,"A",IF(P14&gt;=3.5,"A-",IF(P14&gt;=3,"B",IF(P14&gt;=2,"C",IF(P14&gt;=1,"D","F"))))))</f>
        <v/>
      </c>
    </row>
    <row r="15">
      <c r="A15" t="n">
        <v>14</v>
      </c>
      <c r="B15" t="inlineStr">
        <is>
          <t>Samira Begum</t>
        </is>
      </c>
      <c r="C15" s="2" t="n">
        <v>164</v>
      </c>
      <c r="D15" s="3" t="n">
        <v>158</v>
      </c>
      <c r="E15" s="3" t="n">
        <v>76</v>
      </c>
      <c r="F15" s="2" t="n">
        <v>166</v>
      </c>
      <c r="G15" s="3" t="n">
        <v>159</v>
      </c>
      <c r="H15" s="3" t="n">
        <v>69</v>
      </c>
      <c r="I15" s="3" t="n">
        <v>68</v>
      </c>
      <c r="J15" s="3" t="n">
        <v>79</v>
      </c>
      <c r="K15" s="2" t="n">
        <v>84</v>
      </c>
      <c r="L15" s="2" t="n">
        <v>94</v>
      </c>
      <c r="M15" s="2" t="n">
        <v>89</v>
      </c>
      <c r="N15">
        <f>SUM(C15:J15)</f>
        <v/>
      </c>
      <c r="O15" s="4">
        <f>ROUND(N15/8,2)</f>
        <v/>
      </c>
      <c r="P15" s="5">
        <f>IF(OR(C15&lt;66,D15&lt;66,E15&lt;33,F15&lt;66,G15&lt;66,H15&lt;33,I15&lt;33,J15&lt;33,L15&lt;33,M15&lt;33),0,MIN(5,ROUND((IF(C15/200*100&gt;=80,5,IF(C15/200*100&gt;=70,4,IF(C15/200*100&gt;=60,3.5,IF(C15/200*100&gt;=50,3,IF(C15/200*100&gt;=40,2,IF(C15/200*100&gt;=33,1,0))))))+IF(D15/200*100&gt;=80,5,IF(D15/200*100&gt;=70,4,IF(D15/200*100&gt;=60,3.5,IF(D15/200*100&gt;=50,3,IF(D15/200*100&gt;=40,2,IF(D15/200*100&gt;=33,1,0))))))+IF(E15&gt;=80,5,IF(E15&gt;=70,4,IF(E15&gt;=60,3.5,IF(E15&gt;=50,3,IF(E15&gt;=40,2,IF(E15&gt;=33,1,0))))))+IF(F15/200*100&gt;=80,5,IF(F15/200*100&gt;=70,4,IF(F15/200*100&gt;=60,3.5,IF(F15/200*100&gt;=50,3,IF(F15/200*100&gt;=40,2,IF(F15/200*100&gt;=33,1,0))))))+IF(G15/200*100&gt;=80,5,IF(G15/200*100&gt;=70,4,IF(G15/200*100&gt;=60,3.5,IF(G15/200*100&gt;=50,3,IF(G15/200*100&gt;=40,2,IF(G15/200*100&gt;=33,1,0))))))+IF(H15&gt;=80,5,IF(H15&gt;=70,4,IF(H15&gt;=60,3.5,IF(H15&gt;=50,3,IF(H15&gt;=40,2,IF(H15&gt;=33,1,0))))))+IF(I15&gt;=80,5,IF(I15&gt;=70,4,IF(I15&gt;=60,3.5,IF(I15&gt;=50,3,IF(I15&gt;=40,2,IF(I15&gt;=33,1,0))))))+IF(J15&gt;=80,5,IF(J15&gt;=70,4,IF(J15&gt;=60,3.5,IF(J15&gt;=50,3,IF(J15&gt;=40,2,IF(J15&gt;=33,1,0)))))))/8+IF(IF(K15&gt;=80,5,IF(K15&gt;=70,4,IF(K15&gt;=60,3.5,IF(K15&gt;=50,3,IF(K15&gt;=40,2,IF(K15&gt;=33,1,0))))))&gt;=2,(IF(K15&gt;=80,5,IF(K15&gt;=70,4,IF(K15&gt;=60,3.5,IF(K15&gt;=50,3,IF(K15&gt;=40,2,IF(K15&gt;=33,1,0))))))-2)/8,0),2)))</f>
        <v/>
      </c>
      <c r="Q15" s="6">
        <f>IF(P15&gt;=5,"A+",IF(P15&gt;=4,"A",IF(P15&gt;=3.5,"A-",IF(P15&gt;=3,"B",IF(P15&gt;=2,"C",IF(P15&gt;=1,"D","F"))))))</f>
        <v/>
      </c>
    </row>
    <row r="16">
      <c r="A16" t="n">
        <v>15</v>
      </c>
      <c r="B16" t="inlineStr">
        <is>
          <t>Imran Khan</t>
        </is>
      </c>
      <c r="C16" s="3" t="n">
        <v>135</v>
      </c>
      <c r="D16" s="2" t="n">
        <v>167</v>
      </c>
      <c r="E16" s="3" t="n">
        <v>62</v>
      </c>
      <c r="F16" s="3" t="n">
        <v>140</v>
      </c>
      <c r="G16" s="3" t="n">
        <v>133</v>
      </c>
      <c r="H16" s="3" t="n">
        <v>63</v>
      </c>
      <c r="I16" s="3" t="n">
        <v>77</v>
      </c>
      <c r="J16" s="3" t="n">
        <v>65</v>
      </c>
      <c r="K16" s="2" t="n">
        <v>83</v>
      </c>
      <c r="L16" s="2" t="n">
        <v>87</v>
      </c>
      <c r="M16" s="2" t="n">
        <v>91</v>
      </c>
      <c r="N16">
        <f>SUM(C16:J16)</f>
        <v/>
      </c>
      <c r="O16" s="4">
        <f>ROUND(N16/8,2)</f>
        <v/>
      </c>
      <c r="P16" s="5">
        <f>IF(OR(C16&lt;66,D16&lt;66,E16&lt;33,F16&lt;66,G16&lt;66,H16&lt;33,I16&lt;33,J16&lt;33,L16&lt;33,M16&lt;33),0,MIN(5,ROUND((IF(C16/200*100&gt;=80,5,IF(C16/200*100&gt;=70,4,IF(C16/200*100&gt;=60,3.5,IF(C16/200*100&gt;=50,3,IF(C16/200*100&gt;=40,2,IF(C16/200*100&gt;=33,1,0))))))+IF(D16/200*100&gt;=80,5,IF(D16/200*100&gt;=70,4,IF(D16/200*100&gt;=60,3.5,IF(D16/200*100&gt;=50,3,IF(D16/200*100&gt;=40,2,IF(D16/200*100&gt;=33,1,0))))))+IF(E16&gt;=80,5,IF(E16&gt;=70,4,IF(E16&gt;=60,3.5,IF(E16&gt;=50,3,IF(E16&gt;=40,2,IF(E16&gt;=33,1,0))))))+IF(F16/200*100&gt;=80,5,IF(F16/200*100&gt;=70,4,IF(F16/200*100&gt;=60,3.5,IF(F16/200*100&gt;=50,3,IF(F16/200*100&gt;=40,2,IF(F16/200*100&gt;=33,1,0))))))+IF(G16/200*100&gt;=80,5,IF(G16/200*100&gt;=70,4,IF(G16/200*100&gt;=60,3.5,IF(G16/200*100&gt;=50,3,IF(G16/200*100&gt;=40,2,IF(G16/200*100&gt;=33,1,0))))))+IF(H16&gt;=80,5,IF(H16&gt;=70,4,IF(H16&gt;=60,3.5,IF(H16&gt;=50,3,IF(H16&gt;=40,2,IF(H16&gt;=33,1,0))))))+IF(I16&gt;=80,5,IF(I16&gt;=70,4,IF(I16&gt;=60,3.5,IF(I16&gt;=50,3,IF(I16&gt;=40,2,IF(I16&gt;=33,1,0))))))+IF(J16&gt;=80,5,IF(J16&gt;=70,4,IF(J16&gt;=60,3.5,IF(J16&gt;=50,3,IF(J16&gt;=40,2,IF(J16&gt;=33,1,0)))))))/8+IF(IF(K16&gt;=80,5,IF(K16&gt;=70,4,IF(K16&gt;=60,3.5,IF(K16&gt;=50,3,IF(K16&gt;=40,2,IF(K16&gt;=33,1,0))))))&gt;=2,(IF(K16&gt;=80,5,IF(K16&gt;=70,4,IF(K16&gt;=60,3.5,IF(K16&gt;=50,3,IF(K16&gt;=40,2,IF(K16&gt;=33,1,0))))))-2)/8,0),2)))</f>
        <v/>
      </c>
      <c r="Q16" s="6">
        <f>IF(P16&gt;=5,"A+",IF(P16&gt;=4,"A",IF(P16&gt;=3.5,"A-",IF(P16&gt;=3,"B",IF(P16&gt;=2,"C",IF(P16&gt;=1,"D","F"))))))</f>
        <v/>
      </c>
    </row>
    <row r="17">
      <c r="A17" t="n">
        <v>16</v>
      </c>
      <c r="B17" t="inlineStr">
        <is>
          <t>Rafia Islam</t>
        </is>
      </c>
      <c r="C17" s="2" t="n">
        <v>167</v>
      </c>
      <c r="D17" s="3" t="n">
        <v>147</v>
      </c>
      <c r="E17" s="2" t="n">
        <v>89</v>
      </c>
      <c r="F17" s="2" t="n">
        <v>167</v>
      </c>
      <c r="G17" s="3" t="n">
        <v>152</v>
      </c>
      <c r="H17" s="2" t="n">
        <v>87</v>
      </c>
      <c r="I17" s="2" t="n">
        <v>87</v>
      </c>
      <c r="J17" s="2" t="n">
        <v>95</v>
      </c>
      <c r="K17" s="7" t="n">
        <v>50</v>
      </c>
      <c r="L17" s="2" t="n">
        <v>94</v>
      </c>
      <c r="M17" s="2" t="n">
        <v>89</v>
      </c>
      <c r="N17">
        <f>SUM(C17:J17)</f>
        <v/>
      </c>
      <c r="O17" s="4">
        <f>ROUND(N17/8,2)</f>
        <v/>
      </c>
      <c r="P17" s="5">
        <f>IF(OR(C17&lt;66,D17&lt;66,E17&lt;33,F17&lt;66,G17&lt;66,H17&lt;33,I17&lt;33,J17&lt;33,L17&lt;33,M17&lt;33),0,MIN(5,ROUND((IF(C17/200*100&gt;=80,5,IF(C17/200*100&gt;=70,4,IF(C17/200*100&gt;=60,3.5,IF(C17/200*100&gt;=50,3,IF(C17/200*100&gt;=40,2,IF(C17/200*100&gt;=33,1,0))))))+IF(D17/200*100&gt;=80,5,IF(D17/200*100&gt;=70,4,IF(D17/200*100&gt;=60,3.5,IF(D17/200*100&gt;=50,3,IF(D17/200*100&gt;=40,2,IF(D17/200*100&gt;=33,1,0))))))+IF(E17&gt;=80,5,IF(E17&gt;=70,4,IF(E17&gt;=60,3.5,IF(E17&gt;=50,3,IF(E17&gt;=40,2,IF(E17&gt;=33,1,0))))))+IF(F17/200*100&gt;=80,5,IF(F17/200*100&gt;=70,4,IF(F17/200*100&gt;=60,3.5,IF(F17/200*100&gt;=50,3,IF(F17/200*100&gt;=40,2,IF(F17/200*100&gt;=33,1,0))))))+IF(G17/200*100&gt;=80,5,IF(G17/200*100&gt;=70,4,IF(G17/200*100&gt;=60,3.5,IF(G17/200*100&gt;=50,3,IF(G17/200*100&gt;=40,2,IF(G17/200*100&gt;=33,1,0))))))+IF(H17&gt;=80,5,IF(H17&gt;=70,4,IF(H17&gt;=60,3.5,IF(H17&gt;=50,3,IF(H17&gt;=40,2,IF(H17&gt;=33,1,0))))))+IF(I17&gt;=80,5,IF(I17&gt;=70,4,IF(I17&gt;=60,3.5,IF(I17&gt;=50,3,IF(I17&gt;=40,2,IF(I17&gt;=33,1,0))))))+IF(J17&gt;=80,5,IF(J17&gt;=70,4,IF(J17&gt;=60,3.5,IF(J17&gt;=50,3,IF(J17&gt;=40,2,IF(J17&gt;=33,1,0)))))))/8+IF(IF(K17&gt;=80,5,IF(K17&gt;=70,4,IF(K17&gt;=60,3.5,IF(K17&gt;=50,3,IF(K17&gt;=40,2,IF(K17&gt;=33,1,0))))))&gt;=2,(IF(K17&gt;=80,5,IF(K17&gt;=70,4,IF(K17&gt;=60,3.5,IF(K17&gt;=50,3,IF(K17&gt;=40,2,IF(K17&gt;=33,1,0))))))-2)/8,0),2)))</f>
        <v/>
      </c>
      <c r="Q17" s="6">
        <f>IF(P17&gt;=5,"A+",IF(P17&gt;=4,"A",IF(P17&gt;=3.5,"A-",IF(P17&gt;=3,"B",IF(P17&gt;=2,"C",IF(P17&gt;=1,"D","F"))))))</f>
        <v/>
      </c>
    </row>
    <row r="18">
      <c r="A18" t="n">
        <v>17</v>
      </c>
      <c r="B18" t="inlineStr">
        <is>
          <t>Shakib Rahman</t>
        </is>
      </c>
      <c r="C18" s="3" t="n">
        <v>157</v>
      </c>
      <c r="D18" s="2" t="n">
        <v>181</v>
      </c>
      <c r="E18" s="2" t="n">
        <v>94</v>
      </c>
      <c r="F18" s="2" t="n">
        <v>165</v>
      </c>
      <c r="G18" s="2" t="n">
        <v>165</v>
      </c>
      <c r="H18" s="2" t="n">
        <v>86</v>
      </c>
      <c r="I18" s="2" t="n">
        <v>90</v>
      </c>
      <c r="J18" s="2" t="n">
        <v>88</v>
      </c>
      <c r="K18" s="2" t="n">
        <v>88</v>
      </c>
      <c r="L18" s="3" t="n">
        <v>74</v>
      </c>
      <c r="M18" s="3" t="n">
        <v>78</v>
      </c>
      <c r="N18">
        <f>SUM(C18:J18)</f>
        <v/>
      </c>
      <c r="O18" s="4">
        <f>ROUND(N18/8,2)</f>
        <v/>
      </c>
      <c r="P18" s="5">
        <f>IF(OR(C18&lt;66,D18&lt;66,E18&lt;33,F18&lt;66,G18&lt;66,H18&lt;33,I18&lt;33,J18&lt;33,L18&lt;33,M18&lt;33),0,MIN(5,ROUND((IF(C18/200*100&gt;=80,5,IF(C18/200*100&gt;=70,4,IF(C18/200*100&gt;=60,3.5,IF(C18/200*100&gt;=50,3,IF(C18/200*100&gt;=40,2,IF(C18/200*100&gt;=33,1,0))))))+IF(D18/200*100&gt;=80,5,IF(D18/200*100&gt;=70,4,IF(D18/200*100&gt;=60,3.5,IF(D18/200*100&gt;=50,3,IF(D18/200*100&gt;=40,2,IF(D18/200*100&gt;=33,1,0))))))+IF(E18&gt;=80,5,IF(E18&gt;=70,4,IF(E18&gt;=60,3.5,IF(E18&gt;=50,3,IF(E18&gt;=40,2,IF(E18&gt;=33,1,0))))))+IF(F18/200*100&gt;=80,5,IF(F18/200*100&gt;=70,4,IF(F18/200*100&gt;=60,3.5,IF(F18/200*100&gt;=50,3,IF(F18/200*100&gt;=40,2,IF(F18/200*100&gt;=33,1,0))))))+IF(G18/200*100&gt;=80,5,IF(G18/200*100&gt;=70,4,IF(G18/200*100&gt;=60,3.5,IF(G18/200*100&gt;=50,3,IF(G18/200*100&gt;=40,2,IF(G18/200*100&gt;=33,1,0))))))+IF(H18&gt;=80,5,IF(H18&gt;=70,4,IF(H18&gt;=60,3.5,IF(H18&gt;=50,3,IF(H18&gt;=40,2,IF(H18&gt;=33,1,0))))))+IF(I18&gt;=80,5,IF(I18&gt;=70,4,IF(I18&gt;=60,3.5,IF(I18&gt;=50,3,IF(I18&gt;=40,2,IF(I18&gt;=33,1,0))))))+IF(J18&gt;=80,5,IF(J18&gt;=70,4,IF(J18&gt;=60,3.5,IF(J18&gt;=50,3,IF(J18&gt;=40,2,IF(J18&gt;=33,1,0)))))))/8+IF(IF(K18&gt;=80,5,IF(K18&gt;=70,4,IF(K18&gt;=60,3.5,IF(K18&gt;=50,3,IF(K18&gt;=40,2,IF(K18&gt;=33,1,0))))))&gt;=2,(IF(K18&gt;=80,5,IF(K18&gt;=70,4,IF(K18&gt;=60,3.5,IF(K18&gt;=50,3,IF(K18&gt;=40,2,IF(K18&gt;=33,1,0))))))-2)/8,0),2)))</f>
        <v/>
      </c>
      <c r="Q18" s="6">
        <f>IF(P18&gt;=5,"A+",IF(P18&gt;=4,"A",IF(P18&gt;=3.5,"A-",IF(P18&gt;=3,"B",IF(P18&gt;=2,"C",IF(P18&gt;=1,"D","F"))))))</f>
        <v/>
      </c>
    </row>
    <row r="19">
      <c r="A19" t="n">
        <v>18</v>
      </c>
      <c r="B19" t="inlineStr">
        <is>
          <t>Nusrat Jahan</t>
        </is>
      </c>
      <c r="C19" s="3" t="n">
        <v>132</v>
      </c>
      <c r="D19" s="2" t="n">
        <v>185</v>
      </c>
      <c r="E19" s="3" t="n">
        <v>67</v>
      </c>
      <c r="F19" s="3" t="n">
        <v>146</v>
      </c>
      <c r="G19" s="3" t="n">
        <v>152</v>
      </c>
      <c r="H19" s="3" t="n">
        <v>60</v>
      </c>
      <c r="I19" s="3" t="n">
        <v>60</v>
      </c>
      <c r="J19" s="2" t="n">
        <v>93</v>
      </c>
      <c r="K19" s="3" t="n">
        <v>70</v>
      </c>
      <c r="L19" s="3" t="n">
        <v>74</v>
      </c>
      <c r="M19" s="2" t="n">
        <v>82</v>
      </c>
      <c r="N19">
        <f>SUM(C19:J19)</f>
        <v/>
      </c>
      <c r="O19" s="4">
        <f>ROUND(N19/8,2)</f>
        <v/>
      </c>
      <c r="P19" s="5">
        <f>IF(OR(C19&lt;66,D19&lt;66,E19&lt;33,F19&lt;66,G19&lt;66,H19&lt;33,I19&lt;33,J19&lt;33,L19&lt;33,M19&lt;33),0,MIN(5,ROUND((IF(C19/200*100&gt;=80,5,IF(C19/200*100&gt;=70,4,IF(C19/200*100&gt;=60,3.5,IF(C19/200*100&gt;=50,3,IF(C19/200*100&gt;=40,2,IF(C19/200*100&gt;=33,1,0))))))+IF(D19/200*100&gt;=80,5,IF(D19/200*100&gt;=70,4,IF(D19/200*100&gt;=60,3.5,IF(D19/200*100&gt;=50,3,IF(D19/200*100&gt;=40,2,IF(D19/200*100&gt;=33,1,0))))))+IF(E19&gt;=80,5,IF(E19&gt;=70,4,IF(E19&gt;=60,3.5,IF(E19&gt;=50,3,IF(E19&gt;=40,2,IF(E19&gt;=33,1,0))))))+IF(F19/200*100&gt;=80,5,IF(F19/200*100&gt;=70,4,IF(F19/200*100&gt;=60,3.5,IF(F19/200*100&gt;=50,3,IF(F19/200*100&gt;=40,2,IF(F19/200*100&gt;=33,1,0))))))+IF(G19/200*100&gt;=80,5,IF(G19/200*100&gt;=70,4,IF(G19/200*100&gt;=60,3.5,IF(G19/200*100&gt;=50,3,IF(G19/200*100&gt;=40,2,IF(G19/200*100&gt;=33,1,0))))))+IF(H19&gt;=80,5,IF(H19&gt;=70,4,IF(H19&gt;=60,3.5,IF(H19&gt;=50,3,IF(H19&gt;=40,2,IF(H19&gt;=33,1,0))))))+IF(I19&gt;=80,5,IF(I19&gt;=70,4,IF(I19&gt;=60,3.5,IF(I19&gt;=50,3,IF(I19&gt;=40,2,IF(I19&gt;=33,1,0))))))+IF(J19&gt;=80,5,IF(J19&gt;=70,4,IF(J19&gt;=60,3.5,IF(J19&gt;=50,3,IF(J19&gt;=40,2,IF(J19&gt;=33,1,0)))))))/8+IF(IF(K19&gt;=80,5,IF(K19&gt;=70,4,IF(K19&gt;=60,3.5,IF(K19&gt;=50,3,IF(K19&gt;=40,2,IF(K19&gt;=33,1,0))))))&gt;=2,(IF(K19&gt;=80,5,IF(K19&gt;=70,4,IF(K19&gt;=60,3.5,IF(K19&gt;=50,3,IF(K19&gt;=40,2,IF(K19&gt;=33,1,0))))))-2)/8,0),2)))</f>
        <v/>
      </c>
      <c r="Q19" s="6">
        <f>IF(P19&gt;=5,"A+",IF(P19&gt;=4,"A",IF(P19&gt;=3.5,"A-",IF(P19&gt;=3,"B",IF(P19&gt;=2,"C",IF(P19&gt;=1,"D","F"))))))</f>
        <v/>
      </c>
    </row>
    <row r="20">
      <c r="A20" t="n">
        <v>19</v>
      </c>
      <c r="B20" t="inlineStr">
        <is>
          <t>Arif Hossain</t>
        </is>
      </c>
      <c r="C20" s="3" t="n">
        <v>131</v>
      </c>
      <c r="D20" s="3" t="n">
        <v>130</v>
      </c>
      <c r="E20" s="2" t="n">
        <v>84</v>
      </c>
      <c r="F20" s="3" t="n">
        <v>154</v>
      </c>
      <c r="G20" s="2" t="n">
        <v>188</v>
      </c>
      <c r="H20" s="7" t="n">
        <v>58</v>
      </c>
      <c r="I20" s="2" t="n">
        <v>81</v>
      </c>
      <c r="J20" s="2" t="n">
        <v>88</v>
      </c>
      <c r="K20" s="2" t="n">
        <v>81</v>
      </c>
      <c r="L20" s="2" t="n">
        <v>91</v>
      </c>
      <c r="M20" s="2" t="n">
        <v>82</v>
      </c>
      <c r="N20">
        <f>SUM(C20:J20)</f>
        <v/>
      </c>
      <c r="O20" s="4">
        <f>ROUND(N20/8,2)</f>
        <v/>
      </c>
      <c r="P20" s="5">
        <f>IF(OR(C20&lt;66,D20&lt;66,E20&lt;33,F20&lt;66,G20&lt;66,H20&lt;33,I20&lt;33,J20&lt;33,L20&lt;33,M20&lt;33),0,MIN(5,ROUND((IF(C20/200*100&gt;=80,5,IF(C20/200*100&gt;=70,4,IF(C20/200*100&gt;=60,3.5,IF(C20/200*100&gt;=50,3,IF(C20/200*100&gt;=40,2,IF(C20/200*100&gt;=33,1,0))))))+IF(D20/200*100&gt;=80,5,IF(D20/200*100&gt;=70,4,IF(D20/200*100&gt;=60,3.5,IF(D20/200*100&gt;=50,3,IF(D20/200*100&gt;=40,2,IF(D20/200*100&gt;=33,1,0))))))+IF(E20&gt;=80,5,IF(E20&gt;=70,4,IF(E20&gt;=60,3.5,IF(E20&gt;=50,3,IF(E20&gt;=40,2,IF(E20&gt;=33,1,0))))))+IF(F20/200*100&gt;=80,5,IF(F20/200*100&gt;=70,4,IF(F20/200*100&gt;=60,3.5,IF(F20/200*100&gt;=50,3,IF(F20/200*100&gt;=40,2,IF(F20/200*100&gt;=33,1,0))))))+IF(G20/200*100&gt;=80,5,IF(G20/200*100&gt;=70,4,IF(G20/200*100&gt;=60,3.5,IF(G20/200*100&gt;=50,3,IF(G20/200*100&gt;=40,2,IF(G20/200*100&gt;=33,1,0))))))+IF(H20&gt;=80,5,IF(H20&gt;=70,4,IF(H20&gt;=60,3.5,IF(H20&gt;=50,3,IF(H20&gt;=40,2,IF(H20&gt;=33,1,0))))))+IF(I20&gt;=80,5,IF(I20&gt;=70,4,IF(I20&gt;=60,3.5,IF(I20&gt;=50,3,IF(I20&gt;=40,2,IF(I20&gt;=33,1,0))))))+IF(J20&gt;=80,5,IF(J20&gt;=70,4,IF(J20&gt;=60,3.5,IF(J20&gt;=50,3,IF(J20&gt;=40,2,IF(J20&gt;=33,1,0)))))))/8+IF(IF(K20&gt;=80,5,IF(K20&gt;=70,4,IF(K20&gt;=60,3.5,IF(K20&gt;=50,3,IF(K20&gt;=40,2,IF(K20&gt;=33,1,0))))))&gt;=2,(IF(K20&gt;=80,5,IF(K20&gt;=70,4,IF(K20&gt;=60,3.5,IF(K20&gt;=50,3,IF(K20&gt;=40,2,IF(K20&gt;=33,1,0))))))-2)/8,0),2)))</f>
        <v/>
      </c>
      <c r="Q20" s="6">
        <f>IF(P20&gt;=5,"A+",IF(P20&gt;=4,"A",IF(P20&gt;=3.5,"A-",IF(P20&gt;=3,"B",IF(P20&gt;=2,"C",IF(P20&gt;=1,"D","F"))))))</f>
        <v/>
      </c>
    </row>
    <row r="21">
      <c r="A21" t="n">
        <v>20</v>
      </c>
      <c r="B21" t="inlineStr">
        <is>
          <t>Tasnia Akter</t>
        </is>
      </c>
      <c r="C21" s="3" t="n">
        <v>135</v>
      </c>
      <c r="D21" s="2" t="n">
        <v>178</v>
      </c>
      <c r="E21" s="3" t="n">
        <v>65</v>
      </c>
      <c r="F21" s="3" t="n">
        <v>129</v>
      </c>
      <c r="G21" s="2" t="n">
        <v>175</v>
      </c>
      <c r="H21" s="3" t="n">
        <v>62</v>
      </c>
      <c r="I21" s="2" t="n">
        <v>83</v>
      </c>
      <c r="J21" s="3" t="n">
        <v>73</v>
      </c>
      <c r="K21" s="7" t="n">
        <v>51</v>
      </c>
      <c r="L21" s="2" t="n">
        <v>85</v>
      </c>
      <c r="M21" s="3" t="n">
        <v>77</v>
      </c>
      <c r="N21">
        <f>SUM(C21:J21)</f>
        <v/>
      </c>
      <c r="O21" s="4">
        <f>ROUND(N21/8,2)</f>
        <v/>
      </c>
      <c r="P21" s="5">
        <f>IF(OR(C21&lt;66,D21&lt;66,E21&lt;33,F21&lt;66,G21&lt;66,H21&lt;33,I21&lt;33,J21&lt;33,L21&lt;33,M21&lt;33),0,MIN(5,ROUND((IF(C21/200*100&gt;=80,5,IF(C21/200*100&gt;=70,4,IF(C21/200*100&gt;=60,3.5,IF(C21/200*100&gt;=50,3,IF(C21/200*100&gt;=40,2,IF(C21/200*100&gt;=33,1,0))))))+IF(D21/200*100&gt;=80,5,IF(D21/200*100&gt;=70,4,IF(D21/200*100&gt;=60,3.5,IF(D21/200*100&gt;=50,3,IF(D21/200*100&gt;=40,2,IF(D21/200*100&gt;=33,1,0))))))+IF(E21&gt;=80,5,IF(E21&gt;=70,4,IF(E21&gt;=60,3.5,IF(E21&gt;=50,3,IF(E21&gt;=40,2,IF(E21&gt;=33,1,0))))))+IF(F21/200*100&gt;=80,5,IF(F21/200*100&gt;=70,4,IF(F21/200*100&gt;=60,3.5,IF(F21/200*100&gt;=50,3,IF(F21/200*100&gt;=40,2,IF(F21/200*100&gt;=33,1,0))))))+IF(G21/200*100&gt;=80,5,IF(G21/200*100&gt;=70,4,IF(G21/200*100&gt;=60,3.5,IF(G21/200*100&gt;=50,3,IF(G21/200*100&gt;=40,2,IF(G21/200*100&gt;=33,1,0))))))+IF(H21&gt;=80,5,IF(H21&gt;=70,4,IF(H21&gt;=60,3.5,IF(H21&gt;=50,3,IF(H21&gt;=40,2,IF(H21&gt;=33,1,0))))))+IF(I21&gt;=80,5,IF(I21&gt;=70,4,IF(I21&gt;=60,3.5,IF(I21&gt;=50,3,IF(I21&gt;=40,2,IF(I21&gt;=33,1,0))))))+IF(J21&gt;=80,5,IF(J21&gt;=70,4,IF(J21&gt;=60,3.5,IF(J21&gt;=50,3,IF(J21&gt;=40,2,IF(J21&gt;=33,1,0)))))))/8+IF(IF(K21&gt;=80,5,IF(K21&gt;=70,4,IF(K21&gt;=60,3.5,IF(K21&gt;=50,3,IF(K21&gt;=40,2,IF(K21&gt;=33,1,0))))))&gt;=2,(IF(K21&gt;=80,5,IF(K21&gt;=70,4,IF(K21&gt;=60,3.5,IF(K21&gt;=50,3,IF(K21&gt;=40,2,IF(K21&gt;=33,1,0))))))-2)/8,0),2)))</f>
        <v/>
      </c>
      <c r="Q21" s="6">
        <f>IF(P21&gt;=5,"A+",IF(P21&gt;=4,"A",IF(P21&gt;=3.5,"A-",IF(P21&gt;=3,"B",IF(P21&gt;=2,"C",IF(P21&gt;=1,"D","F"))))))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8" t="inlineStr">
        <is>
          <t>📊 ACADEMIC RESULTS DASHBOARD</t>
        </is>
      </c>
    </row>
    <row r="2"/>
    <row r="4">
      <c r="A4" s="9" t="inlineStr">
        <is>
          <t>SUMMARY STATISTICS</t>
        </is>
      </c>
    </row>
    <row r="5">
      <c r="B5" s="10" t="inlineStr">
        <is>
          <t>Total Students:</t>
        </is>
      </c>
      <c r="C5" s="11">
        <f>COUNTA('Data Source'!B:B)-1</f>
        <v/>
      </c>
      <c r="E5" s="10" t="inlineStr">
        <is>
          <t>Average GPA:</t>
        </is>
      </c>
      <c r="F5" s="12">
        <f>IFERROR(ROUND(AVERAGE('Data Source'!P:P),2), 0)</f>
        <v/>
      </c>
      <c r="H5" s="10" t="inlineStr">
        <is>
          <t>Highest Total:</t>
        </is>
      </c>
      <c r="I5" s="11">
        <f>MAX('Data Source'!N:N)</f>
        <v/>
      </c>
      <c r="K5" s="10" t="inlineStr">
        <is>
          <t>Pass Rate:</t>
        </is>
      </c>
      <c r="L5" s="13">
        <f>IF(C5&gt;0,COUNTIF('Data Source'!P:P,"&gt;0")/C5,0)</f>
        <v/>
      </c>
    </row>
    <row r="7">
      <c r="A7" s="14" t="inlineStr">
        <is>
          <t>GRADE DISTRIBUTION</t>
        </is>
      </c>
      <c r="D7" s="14" t="inlineStr">
        <is>
          <t>SUBJECT-WISE AVERAGE</t>
        </is>
      </c>
      <c r="G7" s="14" t="inlineStr">
        <is>
          <t>TOP 5 STUDENTS</t>
        </is>
      </c>
    </row>
    <row r="8">
      <c r="A8" s="15" t="inlineStr">
        <is>
          <t>Grade</t>
        </is>
      </c>
      <c r="B8" s="15" t="inlineStr">
        <is>
          <t>Count</t>
        </is>
      </c>
      <c r="D8" s="10" t="inlineStr">
        <is>
          <t>Subject</t>
        </is>
      </c>
      <c r="E8" s="15" t="inlineStr">
        <is>
          <t>Avg</t>
        </is>
      </c>
      <c r="F8" s="15" t="inlineStr">
        <is>
          <t>%</t>
        </is>
      </c>
      <c r="G8" s="15" t="inlineStr">
        <is>
          <t>Rank</t>
        </is>
      </c>
      <c r="H8" s="10" t="inlineStr">
        <is>
          <t>Name</t>
        </is>
      </c>
      <c r="I8" s="15" t="inlineStr">
        <is>
          <t>GPA</t>
        </is>
      </c>
    </row>
    <row r="9">
      <c r="A9" s="6" t="inlineStr">
        <is>
          <t>A+</t>
        </is>
      </c>
      <c r="B9" s="6">
        <f>COUNTIF('Data Source'!Q:Q,"A+")</f>
        <v/>
      </c>
      <c r="D9" t="inlineStr">
        <is>
          <t>Quran Mazid</t>
        </is>
      </c>
      <c r="E9" s="5">
        <f>IFERROR(ROUND(AVERAGE('Data Source'!C:C),2),0)</f>
        <v/>
      </c>
      <c r="F9" s="16">
        <f>IFERROR(ROUND(E9/100*100,1),0)</f>
        <v/>
      </c>
      <c r="G9" s="6" t="n">
        <v>1</v>
      </c>
      <c r="H9">
        <f>'Data Source'!B18</f>
        <v/>
      </c>
      <c r="I9" s="5">
        <f>'Data Source'!P18</f>
        <v/>
      </c>
    </row>
    <row r="10">
      <c r="A10" s="6" t="inlineStr">
        <is>
          <t>A</t>
        </is>
      </c>
      <c r="B10" s="6">
        <f>COUNTIF('Data Source'!Q:Q,"A")</f>
        <v/>
      </c>
      <c r="D10" t="inlineStr">
        <is>
          <t>Arabic (Comb.)</t>
        </is>
      </c>
      <c r="E10" s="5">
        <f>IFERROR(ROUND(AVERAGE('Data Source'!D:D),2),0)</f>
        <v/>
      </c>
      <c r="F10" s="16">
        <f>IFERROR(ROUND(E10/200*100,1),0)</f>
        <v/>
      </c>
      <c r="G10" s="6" t="n">
        <v>2</v>
      </c>
      <c r="H10">
        <f>'Data Source'!B17</f>
        <v/>
      </c>
      <c r="I10" s="5">
        <f>'Data Source'!P17</f>
        <v/>
      </c>
    </row>
    <row r="11">
      <c r="A11" s="6" t="inlineStr">
        <is>
          <t>A-</t>
        </is>
      </c>
      <c r="B11" s="6">
        <f>COUNTIF('Data Source'!Q:Q,"A-")</f>
        <v/>
      </c>
      <c r="D11" t="inlineStr">
        <is>
          <t>Aqaid</t>
        </is>
      </c>
      <c r="E11" s="5">
        <f>IFERROR(ROUND(AVERAGE('Data Source'!E:E),2),0)</f>
        <v/>
      </c>
      <c r="F11" s="16">
        <f>IFERROR(ROUND(E11/100*100,1),0)</f>
        <v/>
      </c>
      <c r="G11" s="6" t="n">
        <v>3</v>
      </c>
      <c r="H11">
        <f>'Data Source'!B8</f>
        <v/>
      </c>
      <c r="I11" s="5">
        <f>'Data Source'!P8</f>
        <v/>
      </c>
    </row>
    <row r="12">
      <c r="A12" s="6" t="inlineStr">
        <is>
          <t>B</t>
        </is>
      </c>
      <c r="B12" s="6">
        <f>COUNTIF('Data Source'!Q:Q,"B")</f>
        <v/>
      </c>
      <c r="D12" t="inlineStr">
        <is>
          <t>English (Comb.)</t>
        </is>
      </c>
      <c r="E12" s="5">
        <f>IFERROR(ROUND(AVERAGE('Data Source'!F:F),2),0)</f>
        <v/>
      </c>
      <c r="F12" s="16">
        <f>IFERROR(ROUND(E12/200*100,1),0)</f>
        <v/>
      </c>
      <c r="G12" s="6" t="n">
        <v>4</v>
      </c>
      <c r="H12">
        <f>'Data Source'!B13</f>
        <v/>
      </c>
      <c r="I12" s="5">
        <f>'Data Source'!P13</f>
        <v/>
      </c>
    </row>
    <row r="13">
      <c r="A13" s="6" t="inlineStr">
        <is>
          <t>C</t>
        </is>
      </c>
      <c r="B13" s="6">
        <f>COUNTIF('Data Source'!Q:Q,"C")</f>
        <v/>
      </c>
      <c r="D13" t="inlineStr">
        <is>
          <t>Bangla (Comb.)</t>
        </is>
      </c>
      <c r="E13" s="5">
        <f>IFERROR(ROUND(AVERAGE('Data Source'!G:G),2),0)</f>
        <v/>
      </c>
      <c r="F13" s="16">
        <f>IFERROR(ROUND(E13/200*100,1),0)</f>
        <v/>
      </c>
      <c r="G13" s="6" t="n">
        <v>5</v>
      </c>
      <c r="H13">
        <f>'Data Source'!B14</f>
        <v/>
      </c>
      <c r="I13" s="5">
        <f>'Data Source'!P14</f>
        <v/>
      </c>
    </row>
    <row r="14">
      <c r="A14" s="6" t="inlineStr">
        <is>
          <t>D</t>
        </is>
      </c>
      <c r="B14" s="6">
        <f>COUNTIF('Data Source'!Q:Q,"D")</f>
        <v/>
      </c>
      <c r="D14" t="inlineStr">
        <is>
          <t>Mathematics</t>
        </is>
      </c>
      <c r="E14" s="5">
        <f>IFERROR(ROUND(AVERAGE('Data Source'!H:H),2),0)</f>
        <v/>
      </c>
      <c r="F14" s="16">
        <f>IFERROR(ROUND(E14/100*100,1),0)</f>
        <v/>
      </c>
    </row>
    <row r="15">
      <c r="A15" s="6" t="inlineStr">
        <is>
          <t>F</t>
        </is>
      </c>
      <c r="B15" s="6">
        <f>COUNTIF('Data Source'!Q:Q,"F")</f>
        <v/>
      </c>
      <c r="D15" t="inlineStr">
        <is>
          <t>Islamic History</t>
        </is>
      </c>
      <c r="E15" s="5">
        <f>IFERROR(ROUND(AVERAGE('Data Source'!I:I),2),0)</f>
        <v/>
      </c>
      <c r="F15" s="16">
        <f>IFERROR(ROUND(E15/100*100,1),0)</f>
        <v/>
      </c>
    </row>
    <row r="16">
      <c r="D16" t="inlineStr">
        <is>
          <t>ICT</t>
        </is>
      </c>
      <c r="E16" s="5">
        <f>IFERROR(ROUND(AVERAGE('Data Source'!J:J),2),0)</f>
        <v/>
      </c>
      <c r="F16" s="16">
        <f>IFERROR(ROUND(E16/100*100,1),0)</f>
        <v/>
      </c>
    </row>
    <row r="17">
      <c r="D17" t="inlineStr">
        <is>
          <t>Mantiq</t>
        </is>
      </c>
      <c r="E17" s="5">
        <f>IFERROR(ROUND(AVERAGE('Data Source'!K:K),2),0)</f>
        <v/>
      </c>
      <c r="F17" s="16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A1" s="17" t="inlineStr">
        <is>
          <t>SUBJECT-WISE GRADES</t>
        </is>
      </c>
    </row>
    <row r="2">
      <c r="A2" s="18" t="inlineStr">
        <is>
          <t>SL</t>
        </is>
      </c>
      <c r="B2" s="18" t="inlineStr">
        <is>
          <t>Name</t>
        </is>
      </c>
      <c r="C2" s="18" t="inlineStr">
        <is>
          <t>Quran</t>
        </is>
      </c>
      <c r="D2" s="18" t="inlineStr">
        <is>
          <t>Arabic</t>
        </is>
      </c>
      <c r="E2" s="18" t="inlineStr">
        <is>
          <t>Aqaid</t>
        </is>
      </c>
      <c r="F2" s="18" t="inlineStr">
        <is>
          <t>English</t>
        </is>
      </c>
      <c r="G2" s="18" t="inlineStr">
        <is>
          <t>Bangla</t>
        </is>
      </c>
      <c r="H2" s="18" t="inlineStr">
        <is>
          <t>Math</t>
        </is>
      </c>
      <c r="I2" s="18" t="inlineStr">
        <is>
          <t>History</t>
        </is>
      </c>
      <c r="J2" s="18" t="inlineStr">
        <is>
          <t>ICT</t>
        </is>
      </c>
      <c r="K2" s="18" t="inlineStr">
        <is>
          <t>Mantiq</t>
        </is>
      </c>
      <c r="L2" s="18" t="inlineStr">
        <is>
          <t>Career</t>
        </is>
      </c>
      <c r="M2" s="18" t="inlineStr">
        <is>
          <t>Physical</t>
        </is>
      </c>
      <c r="N2" s="18" t="inlineStr">
        <is>
          <t>Overall GPA</t>
        </is>
      </c>
      <c r="O2" s="18" t="inlineStr">
        <is>
          <t>Overall Grade</t>
        </is>
      </c>
    </row>
    <row r="3">
      <c r="A3" s="6">
        <f>'Data Source'!A2</f>
        <v/>
      </c>
      <c r="B3">
        <f>'Data Source'!B2</f>
        <v/>
      </c>
      <c r="C3" s="6">
        <f>IF('Data Source'!C2/200*100&gt;=80,"A+",IF('Data Source'!C2/200*100&gt;=70,"A",IF('Data Source'!C2/200*100&gt;=60,"A-",IF('Data Source'!C2/200*100&gt;=50,"B",IF('Data Source'!C2/200*100&gt;=40,"C",IF('Data Source'!C2/200*100&gt;=33,"D","F"))))))</f>
        <v/>
      </c>
      <c r="D3" s="6">
        <f>IF('Data Source'!D2/200*100&gt;=80,"A+",IF('Data Source'!D2/200*100&gt;=70,"A",IF('Data Source'!D2/200*100&gt;=60,"A-",IF('Data Source'!D2/200*100&gt;=50,"B",IF('Data Source'!D2/200*100&gt;=40,"C",IF('Data Source'!D2/200*100&gt;=33,"D","F"))))))</f>
        <v/>
      </c>
      <c r="E3" s="6">
        <f>IF('Data Source'!E2&gt;=80,"A+",IF('Data Source'!E2&gt;=70,"A",IF('Data Source'!E2&gt;=60,"A-",IF('Data Source'!E2&gt;=50,"B",IF('Data Source'!E2&gt;=40,"C",IF('Data Source'!E2&gt;=33,"D","F"))))))</f>
        <v/>
      </c>
      <c r="F3" s="6">
        <f>IF('Data Source'!F2/200*100&gt;=80,"A+",IF('Data Source'!F2/200*100&gt;=70,"A",IF('Data Source'!F2/200*100&gt;=60,"A-",IF('Data Source'!F2/200*100&gt;=50,"B",IF('Data Source'!F2/200*100&gt;=40,"C",IF('Data Source'!F2/200*100&gt;=33,"D","F"))))))</f>
        <v/>
      </c>
      <c r="G3" s="6">
        <f>IF('Data Source'!G2/200*100&gt;=80,"A+",IF('Data Source'!G2/200*100&gt;=70,"A",IF('Data Source'!G2/200*100&gt;=60,"A-",IF('Data Source'!G2/200*100&gt;=50,"B",IF('Data Source'!G2/200*100&gt;=40,"C",IF('Data Source'!G2/200*100&gt;=33,"D","F"))))))</f>
        <v/>
      </c>
      <c r="H3" s="6">
        <f>IF('Data Source'!H2&gt;=80,"A+",IF('Data Source'!H2&gt;=70,"A",IF('Data Source'!H2&gt;=60,"A-",IF('Data Source'!H2&gt;=50,"B",IF('Data Source'!H2&gt;=40,"C",IF('Data Source'!H2&gt;=33,"D","F"))))))</f>
        <v/>
      </c>
      <c r="I3" s="6">
        <f>IF('Data Source'!I2&gt;=80,"A+",IF('Data Source'!I2&gt;=70,"A",IF('Data Source'!I2&gt;=60,"A-",IF('Data Source'!I2&gt;=50,"B",IF('Data Source'!I2&gt;=40,"C",IF('Data Source'!I2&gt;=33,"D","F"))))))</f>
        <v/>
      </c>
      <c r="J3" s="6">
        <f>IF('Data Source'!J2&gt;=80,"A+",IF('Data Source'!J2&gt;=70,"A",IF('Data Source'!J2&gt;=60,"A-",IF('Data Source'!J2&gt;=50,"B",IF('Data Source'!J2&gt;=40,"C",IF('Data Source'!J2&gt;=33,"D","F"))))))</f>
        <v/>
      </c>
      <c r="K3" s="6">
        <f>IF('Data Source'!K2&gt;=80,"A+",IF('Data Source'!K2&gt;=70,"A",IF('Data Source'!K2&gt;=60,"A-",IF('Data Source'!K2&gt;=50,"B",IF('Data Source'!K2&gt;=40,"C",IF('Data Source'!K2&gt;=33,"D","F"))))))</f>
        <v/>
      </c>
      <c r="L3" s="6">
        <f>IF('Data Source'!L2&gt;=33,"Pass","Fail")</f>
        <v/>
      </c>
      <c r="M3" s="6">
        <f>IF('Data Source'!M2&gt;=33,"Pass","Fail")</f>
        <v/>
      </c>
      <c r="N3" s="5">
        <f>'Data Source'!P2</f>
        <v/>
      </c>
      <c r="O3" s="6">
        <f>'Data Source'!Q2</f>
        <v/>
      </c>
    </row>
    <row r="4">
      <c r="A4" s="6">
        <f>'Data Source'!A3</f>
        <v/>
      </c>
      <c r="B4">
        <f>'Data Source'!B3</f>
        <v/>
      </c>
      <c r="C4" s="6">
        <f>IF('Data Source'!C3/200*100&gt;=80,"A+",IF('Data Source'!C3/200*100&gt;=70,"A",IF('Data Source'!C3/200*100&gt;=60,"A-",IF('Data Source'!C3/200*100&gt;=50,"B",IF('Data Source'!C3/200*100&gt;=40,"C",IF('Data Source'!C3/200*100&gt;=33,"D","F"))))))</f>
        <v/>
      </c>
      <c r="D4" s="6">
        <f>IF('Data Source'!D3/200*100&gt;=80,"A+",IF('Data Source'!D3/200*100&gt;=70,"A",IF('Data Source'!D3/200*100&gt;=60,"A-",IF('Data Source'!D3/200*100&gt;=50,"B",IF('Data Source'!D3/200*100&gt;=40,"C",IF('Data Source'!D3/200*100&gt;=33,"D","F"))))))</f>
        <v/>
      </c>
      <c r="E4" s="6">
        <f>IF('Data Source'!E3&gt;=80,"A+",IF('Data Source'!E3&gt;=70,"A",IF('Data Source'!E3&gt;=60,"A-",IF('Data Source'!E3&gt;=50,"B",IF('Data Source'!E3&gt;=40,"C",IF('Data Source'!E3&gt;=33,"D","F"))))))</f>
        <v/>
      </c>
      <c r="F4" s="6">
        <f>IF('Data Source'!F3/200*100&gt;=80,"A+",IF('Data Source'!F3/200*100&gt;=70,"A",IF('Data Source'!F3/200*100&gt;=60,"A-",IF('Data Source'!F3/200*100&gt;=50,"B",IF('Data Source'!F3/200*100&gt;=40,"C",IF('Data Source'!F3/200*100&gt;=33,"D","F"))))))</f>
        <v/>
      </c>
      <c r="G4" s="6">
        <f>IF('Data Source'!G3/200*100&gt;=80,"A+",IF('Data Source'!G3/200*100&gt;=70,"A",IF('Data Source'!G3/200*100&gt;=60,"A-",IF('Data Source'!G3/200*100&gt;=50,"B",IF('Data Source'!G3/200*100&gt;=40,"C",IF('Data Source'!G3/200*100&gt;=33,"D","F"))))))</f>
        <v/>
      </c>
      <c r="H4" s="6">
        <f>IF('Data Source'!H3&gt;=80,"A+",IF('Data Source'!H3&gt;=70,"A",IF('Data Source'!H3&gt;=60,"A-",IF('Data Source'!H3&gt;=50,"B",IF('Data Source'!H3&gt;=40,"C",IF('Data Source'!H3&gt;=33,"D","F"))))))</f>
        <v/>
      </c>
      <c r="I4" s="6">
        <f>IF('Data Source'!I3&gt;=80,"A+",IF('Data Source'!I3&gt;=70,"A",IF('Data Source'!I3&gt;=60,"A-",IF('Data Source'!I3&gt;=50,"B",IF('Data Source'!I3&gt;=40,"C",IF('Data Source'!I3&gt;=33,"D","F"))))))</f>
        <v/>
      </c>
      <c r="J4" s="6">
        <f>IF('Data Source'!J3&gt;=80,"A+",IF('Data Source'!J3&gt;=70,"A",IF('Data Source'!J3&gt;=60,"A-",IF('Data Source'!J3&gt;=50,"B",IF('Data Source'!J3&gt;=40,"C",IF('Data Source'!J3&gt;=33,"D","F"))))))</f>
        <v/>
      </c>
      <c r="K4" s="6">
        <f>IF('Data Source'!K3&gt;=80,"A+",IF('Data Source'!K3&gt;=70,"A",IF('Data Source'!K3&gt;=60,"A-",IF('Data Source'!K3&gt;=50,"B",IF('Data Source'!K3&gt;=40,"C",IF('Data Source'!K3&gt;=33,"D","F"))))))</f>
        <v/>
      </c>
      <c r="L4" s="6">
        <f>IF('Data Source'!L3&gt;=33,"Pass","Fail")</f>
        <v/>
      </c>
      <c r="M4" s="6">
        <f>IF('Data Source'!M3&gt;=33,"Pass","Fail")</f>
        <v/>
      </c>
      <c r="N4" s="5">
        <f>'Data Source'!P3</f>
        <v/>
      </c>
      <c r="O4" s="6">
        <f>'Data Source'!Q3</f>
        <v/>
      </c>
    </row>
    <row r="5">
      <c r="A5" s="6">
        <f>'Data Source'!A4</f>
        <v/>
      </c>
      <c r="B5">
        <f>'Data Source'!B4</f>
        <v/>
      </c>
      <c r="C5" s="6">
        <f>IF('Data Source'!C4/200*100&gt;=80,"A+",IF('Data Source'!C4/200*100&gt;=70,"A",IF('Data Source'!C4/200*100&gt;=60,"A-",IF('Data Source'!C4/200*100&gt;=50,"B",IF('Data Source'!C4/200*100&gt;=40,"C",IF('Data Source'!C4/200*100&gt;=33,"D","F"))))))</f>
        <v/>
      </c>
      <c r="D5" s="6">
        <f>IF('Data Source'!D4/200*100&gt;=80,"A+",IF('Data Source'!D4/200*100&gt;=70,"A",IF('Data Source'!D4/200*100&gt;=60,"A-",IF('Data Source'!D4/200*100&gt;=50,"B",IF('Data Source'!D4/200*100&gt;=40,"C",IF('Data Source'!D4/200*100&gt;=33,"D","F"))))))</f>
        <v/>
      </c>
      <c r="E5" s="6">
        <f>IF('Data Source'!E4&gt;=80,"A+",IF('Data Source'!E4&gt;=70,"A",IF('Data Source'!E4&gt;=60,"A-",IF('Data Source'!E4&gt;=50,"B",IF('Data Source'!E4&gt;=40,"C",IF('Data Source'!E4&gt;=33,"D","F"))))))</f>
        <v/>
      </c>
      <c r="F5" s="6">
        <f>IF('Data Source'!F4/200*100&gt;=80,"A+",IF('Data Source'!F4/200*100&gt;=70,"A",IF('Data Source'!F4/200*100&gt;=60,"A-",IF('Data Source'!F4/200*100&gt;=50,"B",IF('Data Source'!F4/200*100&gt;=40,"C",IF('Data Source'!F4/200*100&gt;=33,"D","F"))))))</f>
        <v/>
      </c>
      <c r="G5" s="6">
        <f>IF('Data Source'!G4/200*100&gt;=80,"A+",IF('Data Source'!G4/200*100&gt;=70,"A",IF('Data Source'!G4/200*100&gt;=60,"A-",IF('Data Source'!G4/200*100&gt;=50,"B",IF('Data Source'!G4/200*100&gt;=40,"C",IF('Data Source'!G4/200*100&gt;=33,"D","F"))))))</f>
        <v/>
      </c>
      <c r="H5" s="6">
        <f>IF('Data Source'!H4&gt;=80,"A+",IF('Data Source'!H4&gt;=70,"A",IF('Data Source'!H4&gt;=60,"A-",IF('Data Source'!H4&gt;=50,"B",IF('Data Source'!H4&gt;=40,"C",IF('Data Source'!H4&gt;=33,"D","F"))))))</f>
        <v/>
      </c>
      <c r="I5" s="6">
        <f>IF('Data Source'!I4&gt;=80,"A+",IF('Data Source'!I4&gt;=70,"A",IF('Data Source'!I4&gt;=60,"A-",IF('Data Source'!I4&gt;=50,"B",IF('Data Source'!I4&gt;=40,"C",IF('Data Source'!I4&gt;=33,"D","F"))))))</f>
        <v/>
      </c>
      <c r="J5" s="6">
        <f>IF('Data Source'!J4&gt;=80,"A+",IF('Data Source'!J4&gt;=70,"A",IF('Data Source'!J4&gt;=60,"A-",IF('Data Source'!J4&gt;=50,"B",IF('Data Source'!J4&gt;=40,"C",IF('Data Source'!J4&gt;=33,"D","F"))))))</f>
        <v/>
      </c>
      <c r="K5" s="6">
        <f>IF('Data Source'!K4&gt;=80,"A+",IF('Data Source'!K4&gt;=70,"A",IF('Data Source'!K4&gt;=60,"A-",IF('Data Source'!K4&gt;=50,"B",IF('Data Source'!K4&gt;=40,"C",IF('Data Source'!K4&gt;=33,"D","F"))))))</f>
        <v/>
      </c>
      <c r="L5" s="6">
        <f>IF('Data Source'!L4&gt;=33,"Pass","Fail")</f>
        <v/>
      </c>
      <c r="M5" s="6">
        <f>IF('Data Source'!M4&gt;=33,"Pass","Fail")</f>
        <v/>
      </c>
      <c r="N5" s="5">
        <f>'Data Source'!P4</f>
        <v/>
      </c>
      <c r="O5" s="6">
        <f>'Data Source'!Q4</f>
        <v/>
      </c>
    </row>
    <row r="6">
      <c r="A6" s="6">
        <f>'Data Source'!A5</f>
        <v/>
      </c>
      <c r="B6">
        <f>'Data Source'!B5</f>
        <v/>
      </c>
      <c r="C6" s="6">
        <f>IF('Data Source'!C5/200*100&gt;=80,"A+",IF('Data Source'!C5/200*100&gt;=70,"A",IF('Data Source'!C5/200*100&gt;=60,"A-",IF('Data Source'!C5/200*100&gt;=50,"B",IF('Data Source'!C5/200*100&gt;=40,"C",IF('Data Source'!C5/200*100&gt;=33,"D","F"))))))</f>
        <v/>
      </c>
      <c r="D6" s="6">
        <f>IF('Data Source'!D5/200*100&gt;=80,"A+",IF('Data Source'!D5/200*100&gt;=70,"A",IF('Data Source'!D5/200*100&gt;=60,"A-",IF('Data Source'!D5/200*100&gt;=50,"B",IF('Data Source'!D5/200*100&gt;=40,"C",IF('Data Source'!D5/200*100&gt;=33,"D","F"))))))</f>
        <v/>
      </c>
      <c r="E6" s="6">
        <f>IF('Data Source'!E5&gt;=80,"A+",IF('Data Source'!E5&gt;=70,"A",IF('Data Source'!E5&gt;=60,"A-",IF('Data Source'!E5&gt;=50,"B",IF('Data Source'!E5&gt;=40,"C",IF('Data Source'!E5&gt;=33,"D","F"))))))</f>
        <v/>
      </c>
      <c r="F6" s="6">
        <f>IF('Data Source'!F5/200*100&gt;=80,"A+",IF('Data Source'!F5/200*100&gt;=70,"A",IF('Data Source'!F5/200*100&gt;=60,"A-",IF('Data Source'!F5/200*100&gt;=50,"B",IF('Data Source'!F5/200*100&gt;=40,"C",IF('Data Source'!F5/200*100&gt;=33,"D","F"))))))</f>
        <v/>
      </c>
      <c r="G6" s="6">
        <f>IF('Data Source'!G5/200*100&gt;=80,"A+",IF('Data Source'!G5/200*100&gt;=70,"A",IF('Data Source'!G5/200*100&gt;=60,"A-",IF('Data Source'!G5/200*100&gt;=50,"B",IF('Data Source'!G5/200*100&gt;=40,"C",IF('Data Source'!G5/200*100&gt;=33,"D","F"))))))</f>
        <v/>
      </c>
      <c r="H6" s="6">
        <f>IF('Data Source'!H5&gt;=80,"A+",IF('Data Source'!H5&gt;=70,"A",IF('Data Source'!H5&gt;=60,"A-",IF('Data Source'!H5&gt;=50,"B",IF('Data Source'!H5&gt;=40,"C",IF('Data Source'!H5&gt;=33,"D","F"))))))</f>
        <v/>
      </c>
      <c r="I6" s="6">
        <f>IF('Data Source'!I5&gt;=80,"A+",IF('Data Source'!I5&gt;=70,"A",IF('Data Source'!I5&gt;=60,"A-",IF('Data Source'!I5&gt;=50,"B",IF('Data Source'!I5&gt;=40,"C",IF('Data Source'!I5&gt;=33,"D","F"))))))</f>
        <v/>
      </c>
      <c r="J6" s="6">
        <f>IF('Data Source'!J5&gt;=80,"A+",IF('Data Source'!J5&gt;=70,"A",IF('Data Source'!J5&gt;=60,"A-",IF('Data Source'!J5&gt;=50,"B",IF('Data Source'!J5&gt;=40,"C",IF('Data Source'!J5&gt;=33,"D","F"))))))</f>
        <v/>
      </c>
      <c r="K6" s="6">
        <f>IF('Data Source'!K5&gt;=80,"A+",IF('Data Source'!K5&gt;=70,"A",IF('Data Source'!K5&gt;=60,"A-",IF('Data Source'!K5&gt;=50,"B",IF('Data Source'!K5&gt;=40,"C",IF('Data Source'!K5&gt;=33,"D","F"))))))</f>
        <v/>
      </c>
      <c r="L6" s="6">
        <f>IF('Data Source'!L5&gt;=33,"Pass","Fail")</f>
        <v/>
      </c>
      <c r="M6" s="6">
        <f>IF('Data Source'!M5&gt;=33,"Pass","Fail")</f>
        <v/>
      </c>
      <c r="N6" s="5">
        <f>'Data Source'!P5</f>
        <v/>
      </c>
      <c r="O6" s="6">
        <f>'Data Source'!Q5</f>
        <v/>
      </c>
    </row>
    <row r="7">
      <c r="A7" s="6">
        <f>'Data Source'!A6</f>
        <v/>
      </c>
      <c r="B7">
        <f>'Data Source'!B6</f>
        <v/>
      </c>
      <c r="C7" s="6">
        <f>IF('Data Source'!C6/200*100&gt;=80,"A+",IF('Data Source'!C6/200*100&gt;=70,"A",IF('Data Source'!C6/200*100&gt;=60,"A-",IF('Data Source'!C6/200*100&gt;=50,"B",IF('Data Source'!C6/200*100&gt;=40,"C",IF('Data Source'!C6/200*100&gt;=33,"D","F"))))))</f>
        <v/>
      </c>
      <c r="D7" s="6">
        <f>IF('Data Source'!D6/200*100&gt;=80,"A+",IF('Data Source'!D6/200*100&gt;=70,"A",IF('Data Source'!D6/200*100&gt;=60,"A-",IF('Data Source'!D6/200*100&gt;=50,"B",IF('Data Source'!D6/200*100&gt;=40,"C",IF('Data Source'!D6/200*100&gt;=33,"D","F"))))))</f>
        <v/>
      </c>
      <c r="E7" s="6">
        <f>IF('Data Source'!E6&gt;=80,"A+",IF('Data Source'!E6&gt;=70,"A",IF('Data Source'!E6&gt;=60,"A-",IF('Data Source'!E6&gt;=50,"B",IF('Data Source'!E6&gt;=40,"C",IF('Data Source'!E6&gt;=33,"D","F"))))))</f>
        <v/>
      </c>
      <c r="F7" s="6">
        <f>IF('Data Source'!F6/200*100&gt;=80,"A+",IF('Data Source'!F6/200*100&gt;=70,"A",IF('Data Source'!F6/200*100&gt;=60,"A-",IF('Data Source'!F6/200*100&gt;=50,"B",IF('Data Source'!F6/200*100&gt;=40,"C",IF('Data Source'!F6/200*100&gt;=33,"D","F"))))))</f>
        <v/>
      </c>
      <c r="G7" s="6">
        <f>IF('Data Source'!G6/200*100&gt;=80,"A+",IF('Data Source'!G6/200*100&gt;=70,"A",IF('Data Source'!G6/200*100&gt;=60,"A-",IF('Data Source'!G6/200*100&gt;=50,"B",IF('Data Source'!G6/200*100&gt;=40,"C",IF('Data Source'!G6/200*100&gt;=33,"D","F"))))))</f>
        <v/>
      </c>
      <c r="H7" s="6">
        <f>IF('Data Source'!H6&gt;=80,"A+",IF('Data Source'!H6&gt;=70,"A",IF('Data Source'!H6&gt;=60,"A-",IF('Data Source'!H6&gt;=50,"B",IF('Data Source'!H6&gt;=40,"C",IF('Data Source'!H6&gt;=33,"D","F"))))))</f>
        <v/>
      </c>
      <c r="I7" s="6">
        <f>IF('Data Source'!I6&gt;=80,"A+",IF('Data Source'!I6&gt;=70,"A",IF('Data Source'!I6&gt;=60,"A-",IF('Data Source'!I6&gt;=50,"B",IF('Data Source'!I6&gt;=40,"C",IF('Data Source'!I6&gt;=33,"D","F"))))))</f>
        <v/>
      </c>
      <c r="J7" s="6">
        <f>IF('Data Source'!J6&gt;=80,"A+",IF('Data Source'!J6&gt;=70,"A",IF('Data Source'!J6&gt;=60,"A-",IF('Data Source'!J6&gt;=50,"B",IF('Data Source'!J6&gt;=40,"C",IF('Data Source'!J6&gt;=33,"D","F"))))))</f>
        <v/>
      </c>
      <c r="K7" s="6">
        <f>IF('Data Source'!K6&gt;=80,"A+",IF('Data Source'!K6&gt;=70,"A",IF('Data Source'!K6&gt;=60,"A-",IF('Data Source'!K6&gt;=50,"B",IF('Data Source'!K6&gt;=40,"C",IF('Data Source'!K6&gt;=33,"D","F"))))))</f>
        <v/>
      </c>
      <c r="L7" s="6">
        <f>IF('Data Source'!L6&gt;=33,"Pass","Fail")</f>
        <v/>
      </c>
      <c r="M7" s="6">
        <f>IF('Data Source'!M6&gt;=33,"Pass","Fail")</f>
        <v/>
      </c>
      <c r="N7" s="5">
        <f>'Data Source'!P6</f>
        <v/>
      </c>
      <c r="O7" s="6">
        <f>'Data Source'!Q6</f>
        <v/>
      </c>
    </row>
    <row r="8">
      <c r="A8" s="6">
        <f>'Data Source'!A7</f>
        <v/>
      </c>
      <c r="B8">
        <f>'Data Source'!B7</f>
        <v/>
      </c>
      <c r="C8" s="6">
        <f>IF('Data Source'!C7/200*100&gt;=80,"A+",IF('Data Source'!C7/200*100&gt;=70,"A",IF('Data Source'!C7/200*100&gt;=60,"A-",IF('Data Source'!C7/200*100&gt;=50,"B",IF('Data Source'!C7/200*100&gt;=40,"C",IF('Data Source'!C7/200*100&gt;=33,"D","F"))))))</f>
        <v/>
      </c>
      <c r="D8" s="6">
        <f>IF('Data Source'!D7/200*100&gt;=80,"A+",IF('Data Source'!D7/200*100&gt;=70,"A",IF('Data Source'!D7/200*100&gt;=60,"A-",IF('Data Source'!D7/200*100&gt;=50,"B",IF('Data Source'!D7/200*100&gt;=40,"C",IF('Data Source'!D7/200*100&gt;=33,"D","F"))))))</f>
        <v/>
      </c>
      <c r="E8" s="6">
        <f>IF('Data Source'!E7&gt;=80,"A+",IF('Data Source'!E7&gt;=70,"A",IF('Data Source'!E7&gt;=60,"A-",IF('Data Source'!E7&gt;=50,"B",IF('Data Source'!E7&gt;=40,"C",IF('Data Source'!E7&gt;=33,"D","F"))))))</f>
        <v/>
      </c>
      <c r="F8" s="6">
        <f>IF('Data Source'!F7/200*100&gt;=80,"A+",IF('Data Source'!F7/200*100&gt;=70,"A",IF('Data Source'!F7/200*100&gt;=60,"A-",IF('Data Source'!F7/200*100&gt;=50,"B",IF('Data Source'!F7/200*100&gt;=40,"C",IF('Data Source'!F7/200*100&gt;=33,"D","F"))))))</f>
        <v/>
      </c>
      <c r="G8" s="6">
        <f>IF('Data Source'!G7/200*100&gt;=80,"A+",IF('Data Source'!G7/200*100&gt;=70,"A",IF('Data Source'!G7/200*100&gt;=60,"A-",IF('Data Source'!G7/200*100&gt;=50,"B",IF('Data Source'!G7/200*100&gt;=40,"C",IF('Data Source'!G7/200*100&gt;=33,"D","F"))))))</f>
        <v/>
      </c>
      <c r="H8" s="6">
        <f>IF('Data Source'!H7&gt;=80,"A+",IF('Data Source'!H7&gt;=70,"A",IF('Data Source'!H7&gt;=60,"A-",IF('Data Source'!H7&gt;=50,"B",IF('Data Source'!H7&gt;=40,"C",IF('Data Source'!H7&gt;=33,"D","F"))))))</f>
        <v/>
      </c>
      <c r="I8" s="6">
        <f>IF('Data Source'!I7&gt;=80,"A+",IF('Data Source'!I7&gt;=70,"A",IF('Data Source'!I7&gt;=60,"A-",IF('Data Source'!I7&gt;=50,"B",IF('Data Source'!I7&gt;=40,"C",IF('Data Source'!I7&gt;=33,"D","F"))))))</f>
        <v/>
      </c>
      <c r="J8" s="6">
        <f>IF('Data Source'!J7&gt;=80,"A+",IF('Data Source'!J7&gt;=70,"A",IF('Data Source'!J7&gt;=60,"A-",IF('Data Source'!J7&gt;=50,"B",IF('Data Source'!J7&gt;=40,"C",IF('Data Source'!J7&gt;=33,"D","F"))))))</f>
        <v/>
      </c>
      <c r="K8" s="6">
        <f>IF('Data Source'!K7&gt;=80,"A+",IF('Data Source'!K7&gt;=70,"A",IF('Data Source'!K7&gt;=60,"A-",IF('Data Source'!K7&gt;=50,"B",IF('Data Source'!K7&gt;=40,"C",IF('Data Source'!K7&gt;=33,"D","F"))))))</f>
        <v/>
      </c>
      <c r="L8" s="6">
        <f>IF('Data Source'!L7&gt;=33,"Pass","Fail")</f>
        <v/>
      </c>
      <c r="M8" s="6">
        <f>IF('Data Source'!M7&gt;=33,"Pass","Fail")</f>
        <v/>
      </c>
      <c r="N8" s="5">
        <f>'Data Source'!P7</f>
        <v/>
      </c>
      <c r="O8" s="6">
        <f>'Data Source'!Q7</f>
        <v/>
      </c>
    </row>
    <row r="9">
      <c r="A9" s="6">
        <f>'Data Source'!A8</f>
        <v/>
      </c>
      <c r="B9">
        <f>'Data Source'!B8</f>
        <v/>
      </c>
      <c r="C9" s="6">
        <f>IF('Data Source'!C8/200*100&gt;=80,"A+",IF('Data Source'!C8/200*100&gt;=70,"A",IF('Data Source'!C8/200*100&gt;=60,"A-",IF('Data Source'!C8/200*100&gt;=50,"B",IF('Data Source'!C8/200*100&gt;=40,"C",IF('Data Source'!C8/200*100&gt;=33,"D","F"))))))</f>
        <v/>
      </c>
      <c r="D9" s="6">
        <f>IF('Data Source'!D8/200*100&gt;=80,"A+",IF('Data Source'!D8/200*100&gt;=70,"A",IF('Data Source'!D8/200*100&gt;=60,"A-",IF('Data Source'!D8/200*100&gt;=50,"B",IF('Data Source'!D8/200*100&gt;=40,"C",IF('Data Source'!D8/200*100&gt;=33,"D","F"))))))</f>
        <v/>
      </c>
      <c r="E9" s="6">
        <f>IF('Data Source'!E8&gt;=80,"A+",IF('Data Source'!E8&gt;=70,"A",IF('Data Source'!E8&gt;=60,"A-",IF('Data Source'!E8&gt;=50,"B",IF('Data Source'!E8&gt;=40,"C",IF('Data Source'!E8&gt;=33,"D","F"))))))</f>
        <v/>
      </c>
      <c r="F9" s="6">
        <f>IF('Data Source'!F8/200*100&gt;=80,"A+",IF('Data Source'!F8/200*100&gt;=70,"A",IF('Data Source'!F8/200*100&gt;=60,"A-",IF('Data Source'!F8/200*100&gt;=50,"B",IF('Data Source'!F8/200*100&gt;=40,"C",IF('Data Source'!F8/200*100&gt;=33,"D","F"))))))</f>
        <v/>
      </c>
      <c r="G9" s="6">
        <f>IF('Data Source'!G8/200*100&gt;=80,"A+",IF('Data Source'!G8/200*100&gt;=70,"A",IF('Data Source'!G8/200*100&gt;=60,"A-",IF('Data Source'!G8/200*100&gt;=50,"B",IF('Data Source'!G8/200*100&gt;=40,"C",IF('Data Source'!G8/200*100&gt;=33,"D","F"))))))</f>
        <v/>
      </c>
      <c r="H9" s="6">
        <f>IF('Data Source'!H8&gt;=80,"A+",IF('Data Source'!H8&gt;=70,"A",IF('Data Source'!H8&gt;=60,"A-",IF('Data Source'!H8&gt;=50,"B",IF('Data Source'!H8&gt;=40,"C",IF('Data Source'!H8&gt;=33,"D","F"))))))</f>
        <v/>
      </c>
      <c r="I9" s="6">
        <f>IF('Data Source'!I8&gt;=80,"A+",IF('Data Source'!I8&gt;=70,"A",IF('Data Source'!I8&gt;=60,"A-",IF('Data Source'!I8&gt;=50,"B",IF('Data Source'!I8&gt;=40,"C",IF('Data Source'!I8&gt;=33,"D","F"))))))</f>
        <v/>
      </c>
      <c r="J9" s="6">
        <f>IF('Data Source'!J8&gt;=80,"A+",IF('Data Source'!J8&gt;=70,"A",IF('Data Source'!J8&gt;=60,"A-",IF('Data Source'!J8&gt;=50,"B",IF('Data Source'!J8&gt;=40,"C",IF('Data Source'!J8&gt;=33,"D","F"))))))</f>
        <v/>
      </c>
      <c r="K9" s="6">
        <f>IF('Data Source'!K8&gt;=80,"A+",IF('Data Source'!K8&gt;=70,"A",IF('Data Source'!K8&gt;=60,"A-",IF('Data Source'!K8&gt;=50,"B",IF('Data Source'!K8&gt;=40,"C",IF('Data Source'!K8&gt;=33,"D","F"))))))</f>
        <v/>
      </c>
      <c r="L9" s="6">
        <f>IF('Data Source'!L8&gt;=33,"Pass","Fail")</f>
        <v/>
      </c>
      <c r="M9" s="6">
        <f>IF('Data Source'!M8&gt;=33,"Pass","Fail")</f>
        <v/>
      </c>
      <c r="N9" s="5">
        <f>'Data Source'!P8</f>
        <v/>
      </c>
      <c r="O9" s="6">
        <f>'Data Source'!Q8</f>
        <v/>
      </c>
    </row>
    <row r="10">
      <c r="A10" s="6">
        <f>'Data Source'!A9</f>
        <v/>
      </c>
      <c r="B10">
        <f>'Data Source'!B9</f>
        <v/>
      </c>
      <c r="C10" s="6">
        <f>IF('Data Source'!C9/200*100&gt;=80,"A+",IF('Data Source'!C9/200*100&gt;=70,"A",IF('Data Source'!C9/200*100&gt;=60,"A-",IF('Data Source'!C9/200*100&gt;=50,"B",IF('Data Source'!C9/200*100&gt;=40,"C",IF('Data Source'!C9/200*100&gt;=33,"D","F"))))))</f>
        <v/>
      </c>
      <c r="D10" s="6">
        <f>IF('Data Source'!D9/200*100&gt;=80,"A+",IF('Data Source'!D9/200*100&gt;=70,"A",IF('Data Source'!D9/200*100&gt;=60,"A-",IF('Data Source'!D9/200*100&gt;=50,"B",IF('Data Source'!D9/200*100&gt;=40,"C",IF('Data Source'!D9/200*100&gt;=33,"D","F"))))))</f>
        <v/>
      </c>
      <c r="E10" s="6">
        <f>IF('Data Source'!E9&gt;=80,"A+",IF('Data Source'!E9&gt;=70,"A",IF('Data Source'!E9&gt;=60,"A-",IF('Data Source'!E9&gt;=50,"B",IF('Data Source'!E9&gt;=40,"C",IF('Data Source'!E9&gt;=33,"D","F"))))))</f>
        <v/>
      </c>
      <c r="F10" s="6">
        <f>IF('Data Source'!F9/200*100&gt;=80,"A+",IF('Data Source'!F9/200*100&gt;=70,"A",IF('Data Source'!F9/200*100&gt;=60,"A-",IF('Data Source'!F9/200*100&gt;=50,"B",IF('Data Source'!F9/200*100&gt;=40,"C",IF('Data Source'!F9/200*100&gt;=33,"D","F"))))))</f>
        <v/>
      </c>
      <c r="G10" s="6">
        <f>IF('Data Source'!G9/200*100&gt;=80,"A+",IF('Data Source'!G9/200*100&gt;=70,"A",IF('Data Source'!G9/200*100&gt;=60,"A-",IF('Data Source'!G9/200*100&gt;=50,"B",IF('Data Source'!G9/200*100&gt;=40,"C",IF('Data Source'!G9/200*100&gt;=33,"D","F"))))))</f>
        <v/>
      </c>
      <c r="H10" s="6">
        <f>IF('Data Source'!H9&gt;=80,"A+",IF('Data Source'!H9&gt;=70,"A",IF('Data Source'!H9&gt;=60,"A-",IF('Data Source'!H9&gt;=50,"B",IF('Data Source'!H9&gt;=40,"C",IF('Data Source'!H9&gt;=33,"D","F"))))))</f>
        <v/>
      </c>
      <c r="I10" s="6">
        <f>IF('Data Source'!I9&gt;=80,"A+",IF('Data Source'!I9&gt;=70,"A",IF('Data Source'!I9&gt;=60,"A-",IF('Data Source'!I9&gt;=50,"B",IF('Data Source'!I9&gt;=40,"C",IF('Data Source'!I9&gt;=33,"D","F"))))))</f>
        <v/>
      </c>
      <c r="J10" s="6">
        <f>IF('Data Source'!J9&gt;=80,"A+",IF('Data Source'!J9&gt;=70,"A",IF('Data Source'!J9&gt;=60,"A-",IF('Data Source'!J9&gt;=50,"B",IF('Data Source'!J9&gt;=40,"C",IF('Data Source'!J9&gt;=33,"D","F"))))))</f>
        <v/>
      </c>
      <c r="K10" s="6">
        <f>IF('Data Source'!K9&gt;=80,"A+",IF('Data Source'!K9&gt;=70,"A",IF('Data Source'!K9&gt;=60,"A-",IF('Data Source'!K9&gt;=50,"B",IF('Data Source'!K9&gt;=40,"C",IF('Data Source'!K9&gt;=33,"D","F"))))))</f>
        <v/>
      </c>
      <c r="L10" s="6">
        <f>IF('Data Source'!L9&gt;=33,"Pass","Fail")</f>
        <v/>
      </c>
      <c r="M10" s="6">
        <f>IF('Data Source'!M9&gt;=33,"Pass","Fail")</f>
        <v/>
      </c>
      <c r="N10" s="5">
        <f>'Data Source'!P9</f>
        <v/>
      </c>
      <c r="O10" s="6">
        <f>'Data Source'!Q9</f>
        <v/>
      </c>
    </row>
    <row r="11">
      <c r="A11" s="6">
        <f>'Data Source'!A10</f>
        <v/>
      </c>
      <c r="B11">
        <f>'Data Source'!B10</f>
        <v/>
      </c>
      <c r="C11" s="6">
        <f>IF('Data Source'!C10/200*100&gt;=80,"A+",IF('Data Source'!C10/200*100&gt;=70,"A",IF('Data Source'!C10/200*100&gt;=60,"A-",IF('Data Source'!C10/200*100&gt;=50,"B",IF('Data Source'!C10/200*100&gt;=40,"C",IF('Data Source'!C10/200*100&gt;=33,"D","F"))))))</f>
        <v/>
      </c>
      <c r="D11" s="6">
        <f>IF('Data Source'!D10/200*100&gt;=80,"A+",IF('Data Source'!D10/200*100&gt;=70,"A",IF('Data Source'!D10/200*100&gt;=60,"A-",IF('Data Source'!D10/200*100&gt;=50,"B",IF('Data Source'!D10/200*100&gt;=40,"C",IF('Data Source'!D10/200*100&gt;=33,"D","F"))))))</f>
        <v/>
      </c>
      <c r="E11" s="6">
        <f>IF('Data Source'!E10&gt;=80,"A+",IF('Data Source'!E10&gt;=70,"A",IF('Data Source'!E10&gt;=60,"A-",IF('Data Source'!E10&gt;=50,"B",IF('Data Source'!E10&gt;=40,"C",IF('Data Source'!E10&gt;=33,"D","F"))))))</f>
        <v/>
      </c>
      <c r="F11" s="6">
        <f>IF('Data Source'!F10/200*100&gt;=80,"A+",IF('Data Source'!F10/200*100&gt;=70,"A",IF('Data Source'!F10/200*100&gt;=60,"A-",IF('Data Source'!F10/200*100&gt;=50,"B",IF('Data Source'!F10/200*100&gt;=40,"C",IF('Data Source'!F10/200*100&gt;=33,"D","F"))))))</f>
        <v/>
      </c>
      <c r="G11" s="6">
        <f>IF('Data Source'!G10/200*100&gt;=80,"A+",IF('Data Source'!G10/200*100&gt;=70,"A",IF('Data Source'!G10/200*100&gt;=60,"A-",IF('Data Source'!G10/200*100&gt;=50,"B",IF('Data Source'!G10/200*100&gt;=40,"C",IF('Data Source'!G10/200*100&gt;=33,"D","F"))))))</f>
        <v/>
      </c>
      <c r="H11" s="6">
        <f>IF('Data Source'!H10&gt;=80,"A+",IF('Data Source'!H10&gt;=70,"A",IF('Data Source'!H10&gt;=60,"A-",IF('Data Source'!H10&gt;=50,"B",IF('Data Source'!H10&gt;=40,"C",IF('Data Source'!H10&gt;=33,"D","F"))))))</f>
        <v/>
      </c>
      <c r="I11" s="6">
        <f>IF('Data Source'!I10&gt;=80,"A+",IF('Data Source'!I10&gt;=70,"A",IF('Data Source'!I10&gt;=60,"A-",IF('Data Source'!I10&gt;=50,"B",IF('Data Source'!I10&gt;=40,"C",IF('Data Source'!I10&gt;=33,"D","F"))))))</f>
        <v/>
      </c>
      <c r="J11" s="6">
        <f>IF('Data Source'!J10&gt;=80,"A+",IF('Data Source'!J10&gt;=70,"A",IF('Data Source'!J10&gt;=60,"A-",IF('Data Source'!J10&gt;=50,"B",IF('Data Source'!J10&gt;=40,"C",IF('Data Source'!J10&gt;=33,"D","F"))))))</f>
        <v/>
      </c>
      <c r="K11" s="6">
        <f>IF('Data Source'!K10&gt;=80,"A+",IF('Data Source'!K10&gt;=70,"A",IF('Data Source'!K10&gt;=60,"A-",IF('Data Source'!K10&gt;=50,"B",IF('Data Source'!K10&gt;=40,"C",IF('Data Source'!K10&gt;=33,"D","F"))))))</f>
        <v/>
      </c>
      <c r="L11" s="6">
        <f>IF('Data Source'!L10&gt;=33,"Pass","Fail")</f>
        <v/>
      </c>
      <c r="M11" s="6">
        <f>IF('Data Source'!M10&gt;=33,"Pass","Fail")</f>
        <v/>
      </c>
      <c r="N11" s="5">
        <f>'Data Source'!P10</f>
        <v/>
      </c>
      <c r="O11" s="6">
        <f>'Data Source'!Q10</f>
        <v/>
      </c>
    </row>
    <row r="12">
      <c r="A12" s="6">
        <f>'Data Source'!A11</f>
        <v/>
      </c>
      <c r="B12">
        <f>'Data Source'!B11</f>
        <v/>
      </c>
      <c r="C12" s="6">
        <f>IF('Data Source'!C11/200*100&gt;=80,"A+",IF('Data Source'!C11/200*100&gt;=70,"A",IF('Data Source'!C11/200*100&gt;=60,"A-",IF('Data Source'!C11/200*100&gt;=50,"B",IF('Data Source'!C11/200*100&gt;=40,"C",IF('Data Source'!C11/200*100&gt;=33,"D","F"))))))</f>
        <v/>
      </c>
      <c r="D12" s="6">
        <f>IF('Data Source'!D11/200*100&gt;=80,"A+",IF('Data Source'!D11/200*100&gt;=70,"A",IF('Data Source'!D11/200*100&gt;=60,"A-",IF('Data Source'!D11/200*100&gt;=50,"B",IF('Data Source'!D11/200*100&gt;=40,"C",IF('Data Source'!D11/200*100&gt;=33,"D","F"))))))</f>
        <v/>
      </c>
      <c r="E12" s="6">
        <f>IF('Data Source'!E11&gt;=80,"A+",IF('Data Source'!E11&gt;=70,"A",IF('Data Source'!E11&gt;=60,"A-",IF('Data Source'!E11&gt;=50,"B",IF('Data Source'!E11&gt;=40,"C",IF('Data Source'!E11&gt;=33,"D","F"))))))</f>
        <v/>
      </c>
      <c r="F12" s="6">
        <f>IF('Data Source'!F11/200*100&gt;=80,"A+",IF('Data Source'!F11/200*100&gt;=70,"A",IF('Data Source'!F11/200*100&gt;=60,"A-",IF('Data Source'!F11/200*100&gt;=50,"B",IF('Data Source'!F11/200*100&gt;=40,"C",IF('Data Source'!F11/200*100&gt;=33,"D","F"))))))</f>
        <v/>
      </c>
      <c r="G12" s="6">
        <f>IF('Data Source'!G11/200*100&gt;=80,"A+",IF('Data Source'!G11/200*100&gt;=70,"A",IF('Data Source'!G11/200*100&gt;=60,"A-",IF('Data Source'!G11/200*100&gt;=50,"B",IF('Data Source'!G11/200*100&gt;=40,"C",IF('Data Source'!G11/200*100&gt;=33,"D","F"))))))</f>
        <v/>
      </c>
      <c r="H12" s="6">
        <f>IF('Data Source'!H11&gt;=80,"A+",IF('Data Source'!H11&gt;=70,"A",IF('Data Source'!H11&gt;=60,"A-",IF('Data Source'!H11&gt;=50,"B",IF('Data Source'!H11&gt;=40,"C",IF('Data Source'!H11&gt;=33,"D","F"))))))</f>
        <v/>
      </c>
      <c r="I12" s="6">
        <f>IF('Data Source'!I11&gt;=80,"A+",IF('Data Source'!I11&gt;=70,"A",IF('Data Source'!I11&gt;=60,"A-",IF('Data Source'!I11&gt;=50,"B",IF('Data Source'!I11&gt;=40,"C",IF('Data Source'!I11&gt;=33,"D","F"))))))</f>
        <v/>
      </c>
      <c r="J12" s="6">
        <f>IF('Data Source'!J11&gt;=80,"A+",IF('Data Source'!J11&gt;=70,"A",IF('Data Source'!J11&gt;=60,"A-",IF('Data Source'!J11&gt;=50,"B",IF('Data Source'!J11&gt;=40,"C",IF('Data Source'!J11&gt;=33,"D","F"))))))</f>
        <v/>
      </c>
      <c r="K12" s="6">
        <f>IF('Data Source'!K11&gt;=80,"A+",IF('Data Source'!K11&gt;=70,"A",IF('Data Source'!K11&gt;=60,"A-",IF('Data Source'!K11&gt;=50,"B",IF('Data Source'!K11&gt;=40,"C",IF('Data Source'!K11&gt;=33,"D","F"))))))</f>
        <v/>
      </c>
      <c r="L12" s="6">
        <f>IF('Data Source'!L11&gt;=33,"Pass","Fail")</f>
        <v/>
      </c>
      <c r="M12" s="6">
        <f>IF('Data Source'!M11&gt;=33,"Pass","Fail")</f>
        <v/>
      </c>
      <c r="N12" s="5">
        <f>'Data Source'!P11</f>
        <v/>
      </c>
      <c r="O12" s="6">
        <f>'Data Source'!Q11</f>
        <v/>
      </c>
    </row>
    <row r="13">
      <c r="A13" s="6">
        <f>'Data Source'!A12</f>
        <v/>
      </c>
      <c r="B13">
        <f>'Data Source'!B12</f>
        <v/>
      </c>
      <c r="C13" s="6">
        <f>IF('Data Source'!C12/200*100&gt;=80,"A+",IF('Data Source'!C12/200*100&gt;=70,"A",IF('Data Source'!C12/200*100&gt;=60,"A-",IF('Data Source'!C12/200*100&gt;=50,"B",IF('Data Source'!C12/200*100&gt;=40,"C",IF('Data Source'!C12/200*100&gt;=33,"D","F"))))))</f>
        <v/>
      </c>
      <c r="D13" s="6">
        <f>IF('Data Source'!D12/200*100&gt;=80,"A+",IF('Data Source'!D12/200*100&gt;=70,"A",IF('Data Source'!D12/200*100&gt;=60,"A-",IF('Data Source'!D12/200*100&gt;=50,"B",IF('Data Source'!D12/200*100&gt;=40,"C",IF('Data Source'!D12/200*100&gt;=33,"D","F"))))))</f>
        <v/>
      </c>
      <c r="E13" s="6">
        <f>IF('Data Source'!E12&gt;=80,"A+",IF('Data Source'!E12&gt;=70,"A",IF('Data Source'!E12&gt;=60,"A-",IF('Data Source'!E12&gt;=50,"B",IF('Data Source'!E12&gt;=40,"C",IF('Data Source'!E12&gt;=33,"D","F"))))))</f>
        <v/>
      </c>
      <c r="F13" s="6">
        <f>IF('Data Source'!F12/200*100&gt;=80,"A+",IF('Data Source'!F12/200*100&gt;=70,"A",IF('Data Source'!F12/200*100&gt;=60,"A-",IF('Data Source'!F12/200*100&gt;=50,"B",IF('Data Source'!F12/200*100&gt;=40,"C",IF('Data Source'!F12/200*100&gt;=33,"D","F"))))))</f>
        <v/>
      </c>
      <c r="G13" s="6">
        <f>IF('Data Source'!G12/200*100&gt;=80,"A+",IF('Data Source'!G12/200*100&gt;=70,"A",IF('Data Source'!G12/200*100&gt;=60,"A-",IF('Data Source'!G12/200*100&gt;=50,"B",IF('Data Source'!G12/200*100&gt;=40,"C",IF('Data Source'!G12/200*100&gt;=33,"D","F"))))))</f>
        <v/>
      </c>
      <c r="H13" s="6">
        <f>IF('Data Source'!H12&gt;=80,"A+",IF('Data Source'!H12&gt;=70,"A",IF('Data Source'!H12&gt;=60,"A-",IF('Data Source'!H12&gt;=50,"B",IF('Data Source'!H12&gt;=40,"C",IF('Data Source'!H12&gt;=33,"D","F"))))))</f>
        <v/>
      </c>
      <c r="I13" s="6">
        <f>IF('Data Source'!I12&gt;=80,"A+",IF('Data Source'!I12&gt;=70,"A",IF('Data Source'!I12&gt;=60,"A-",IF('Data Source'!I12&gt;=50,"B",IF('Data Source'!I12&gt;=40,"C",IF('Data Source'!I12&gt;=33,"D","F"))))))</f>
        <v/>
      </c>
      <c r="J13" s="6">
        <f>IF('Data Source'!J12&gt;=80,"A+",IF('Data Source'!J12&gt;=70,"A",IF('Data Source'!J12&gt;=60,"A-",IF('Data Source'!J12&gt;=50,"B",IF('Data Source'!J12&gt;=40,"C",IF('Data Source'!J12&gt;=33,"D","F"))))))</f>
        <v/>
      </c>
      <c r="K13" s="6">
        <f>IF('Data Source'!K12&gt;=80,"A+",IF('Data Source'!K12&gt;=70,"A",IF('Data Source'!K12&gt;=60,"A-",IF('Data Source'!K12&gt;=50,"B",IF('Data Source'!K12&gt;=40,"C",IF('Data Source'!K12&gt;=33,"D","F"))))))</f>
        <v/>
      </c>
      <c r="L13" s="6">
        <f>IF('Data Source'!L12&gt;=33,"Pass","Fail")</f>
        <v/>
      </c>
      <c r="M13" s="6">
        <f>IF('Data Source'!M12&gt;=33,"Pass","Fail")</f>
        <v/>
      </c>
      <c r="N13" s="5">
        <f>'Data Source'!P12</f>
        <v/>
      </c>
      <c r="O13" s="6">
        <f>'Data Source'!Q12</f>
        <v/>
      </c>
    </row>
    <row r="14">
      <c r="A14" s="6">
        <f>'Data Source'!A13</f>
        <v/>
      </c>
      <c r="B14">
        <f>'Data Source'!B13</f>
        <v/>
      </c>
      <c r="C14" s="6">
        <f>IF('Data Source'!C13/200*100&gt;=80,"A+",IF('Data Source'!C13/200*100&gt;=70,"A",IF('Data Source'!C13/200*100&gt;=60,"A-",IF('Data Source'!C13/200*100&gt;=50,"B",IF('Data Source'!C13/200*100&gt;=40,"C",IF('Data Source'!C13/200*100&gt;=33,"D","F"))))))</f>
        <v/>
      </c>
      <c r="D14" s="6">
        <f>IF('Data Source'!D13/200*100&gt;=80,"A+",IF('Data Source'!D13/200*100&gt;=70,"A",IF('Data Source'!D13/200*100&gt;=60,"A-",IF('Data Source'!D13/200*100&gt;=50,"B",IF('Data Source'!D13/200*100&gt;=40,"C",IF('Data Source'!D13/200*100&gt;=33,"D","F"))))))</f>
        <v/>
      </c>
      <c r="E14" s="6">
        <f>IF('Data Source'!E13&gt;=80,"A+",IF('Data Source'!E13&gt;=70,"A",IF('Data Source'!E13&gt;=60,"A-",IF('Data Source'!E13&gt;=50,"B",IF('Data Source'!E13&gt;=40,"C",IF('Data Source'!E13&gt;=33,"D","F"))))))</f>
        <v/>
      </c>
      <c r="F14" s="6">
        <f>IF('Data Source'!F13/200*100&gt;=80,"A+",IF('Data Source'!F13/200*100&gt;=70,"A",IF('Data Source'!F13/200*100&gt;=60,"A-",IF('Data Source'!F13/200*100&gt;=50,"B",IF('Data Source'!F13/200*100&gt;=40,"C",IF('Data Source'!F13/200*100&gt;=33,"D","F"))))))</f>
        <v/>
      </c>
      <c r="G14" s="6">
        <f>IF('Data Source'!G13/200*100&gt;=80,"A+",IF('Data Source'!G13/200*100&gt;=70,"A",IF('Data Source'!G13/200*100&gt;=60,"A-",IF('Data Source'!G13/200*100&gt;=50,"B",IF('Data Source'!G13/200*100&gt;=40,"C",IF('Data Source'!G13/200*100&gt;=33,"D","F"))))))</f>
        <v/>
      </c>
      <c r="H14" s="6">
        <f>IF('Data Source'!H13&gt;=80,"A+",IF('Data Source'!H13&gt;=70,"A",IF('Data Source'!H13&gt;=60,"A-",IF('Data Source'!H13&gt;=50,"B",IF('Data Source'!H13&gt;=40,"C",IF('Data Source'!H13&gt;=33,"D","F"))))))</f>
        <v/>
      </c>
      <c r="I14" s="6">
        <f>IF('Data Source'!I13&gt;=80,"A+",IF('Data Source'!I13&gt;=70,"A",IF('Data Source'!I13&gt;=60,"A-",IF('Data Source'!I13&gt;=50,"B",IF('Data Source'!I13&gt;=40,"C",IF('Data Source'!I13&gt;=33,"D","F"))))))</f>
        <v/>
      </c>
      <c r="J14" s="6">
        <f>IF('Data Source'!J13&gt;=80,"A+",IF('Data Source'!J13&gt;=70,"A",IF('Data Source'!J13&gt;=60,"A-",IF('Data Source'!J13&gt;=50,"B",IF('Data Source'!J13&gt;=40,"C",IF('Data Source'!J13&gt;=33,"D","F"))))))</f>
        <v/>
      </c>
      <c r="K14" s="6">
        <f>IF('Data Source'!K13&gt;=80,"A+",IF('Data Source'!K13&gt;=70,"A",IF('Data Source'!K13&gt;=60,"A-",IF('Data Source'!K13&gt;=50,"B",IF('Data Source'!K13&gt;=40,"C",IF('Data Source'!K13&gt;=33,"D","F"))))))</f>
        <v/>
      </c>
      <c r="L14" s="6">
        <f>IF('Data Source'!L13&gt;=33,"Pass","Fail")</f>
        <v/>
      </c>
      <c r="M14" s="6">
        <f>IF('Data Source'!M13&gt;=33,"Pass","Fail")</f>
        <v/>
      </c>
      <c r="N14" s="5">
        <f>'Data Source'!P13</f>
        <v/>
      </c>
      <c r="O14" s="6">
        <f>'Data Source'!Q13</f>
        <v/>
      </c>
    </row>
    <row r="15">
      <c r="A15" s="6">
        <f>'Data Source'!A14</f>
        <v/>
      </c>
      <c r="B15">
        <f>'Data Source'!B14</f>
        <v/>
      </c>
      <c r="C15" s="6">
        <f>IF('Data Source'!C14/200*100&gt;=80,"A+",IF('Data Source'!C14/200*100&gt;=70,"A",IF('Data Source'!C14/200*100&gt;=60,"A-",IF('Data Source'!C14/200*100&gt;=50,"B",IF('Data Source'!C14/200*100&gt;=40,"C",IF('Data Source'!C14/200*100&gt;=33,"D","F"))))))</f>
        <v/>
      </c>
      <c r="D15" s="6">
        <f>IF('Data Source'!D14/200*100&gt;=80,"A+",IF('Data Source'!D14/200*100&gt;=70,"A",IF('Data Source'!D14/200*100&gt;=60,"A-",IF('Data Source'!D14/200*100&gt;=50,"B",IF('Data Source'!D14/200*100&gt;=40,"C",IF('Data Source'!D14/200*100&gt;=33,"D","F"))))))</f>
        <v/>
      </c>
      <c r="E15" s="6">
        <f>IF('Data Source'!E14&gt;=80,"A+",IF('Data Source'!E14&gt;=70,"A",IF('Data Source'!E14&gt;=60,"A-",IF('Data Source'!E14&gt;=50,"B",IF('Data Source'!E14&gt;=40,"C",IF('Data Source'!E14&gt;=33,"D","F"))))))</f>
        <v/>
      </c>
      <c r="F15" s="6">
        <f>IF('Data Source'!F14/200*100&gt;=80,"A+",IF('Data Source'!F14/200*100&gt;=70,"A",IF('Data Source'!F14/200*100&gt;=60,"A-",IF('Data Source'!F14/200*100&gt;=50,"B",IF('Data Source'!F14/200*100&gt;=40,"C",IF('Data Source'!F14/200*100&gt;=33,"D","F"))))))</f>
        <v/>
      </c>
      <c r="G15" s="6">
        <f>IF('Data Source'!G14/200*100&gt;=80,"A+",IF('Data Source'!G14/200*100&gt;=70,"A",IF('Data Source'!G14/200*100&gt;=60,"A-",IF('Data Source'!G14/200*100&gt;=50,"B",IF('Data Source'!G14/200*100&gt;=40,"C",IF('Data Source'!G14/200*100&gt;=33,"D","F"))))))</f>
        <v/>
      </c>
      <c r="H15" s="6">
        <f>IF('Data Source'!H14&gt;=80,"A+",IF('Data Source'!H14&gt;=70,"A",IF('Data Source'!H14&gt;=60,"A-",IF('Data Source'!H14&gt;=50,"B",IF('Data Source'!H14&gt;=40,"C",IF('Data Source'!H14&gt;=33,"D","F"))))))</f>
        <v/>
      </c>
      <c r="I15" s="6">
        <f>IF('Data Source'!I14&gt;=80,"A+",IF('Data Source'!I14&gt;=70,"A",IF('Data Source'!I14&gt;=60,"A-",IF('Data Source'!I14&gt;=50,"B",IF('Data Source'!I14&gt;=40,"C",IF('Data Source'!I14&gt;=33,"D","F"))))))</f>
        <v/>
      </c>
      <c r="J15" s="6">
        <f>IF('Data Source'!J14&gt;=80,"A+",IF('Data Source'!J14&gt;=70,"A",IF('Data Source'!J14&gt;=60,"A-",IF('Data Source'!J14&gt;=50,"B",IF('Data Source'!J14&gt;=40,"C",IF('Data Source'!J14&gt;=33,"D","F"))))))</f>
        <v/>
      </c>
      <c r="K15" s="6">
        <f>IF('Data Source'!K14&gt;=80,"A+",IF('Data Source'!K14&gt;=70,"A",IF('Data Source'!K14&gt;=60,"A-",IF('Data Source'!K14&gt;=50,"B",IF('Data Source'!K14&gt;=40,"C",IF('Data Source'!K14&gt;=33,"D","F"))))))</f>
        <v/>
      </c>
      <c r="L15" s="6">
        <f>IF('Data Source'!L14&gt;=33,"Pass","Fail")</f>
        <v/>
      </c>
      <c r="M15" s="6">
        <f>IF('Data Source'!M14&gt;=33,"Pass","Fail")</f>
        <v/>
      </c>
      <c r="N15" s="5">
        <f>'Data Source'!P14</f>
        <v/>
      </c>
      <c r="O15" s="6">
        <f>'Data Source'!Q14</f>
        <v/>
      </c>
    </row>
    <row r="16">
      <c r="A16" s="6">
        <f>'Data Source'!A15</f>
        <v/>
      </c>
      <c r="B16">
        <f>'Data Source'!B15</f>
        <v/>
      </c>
      <c r="C16" s="6">
        <f>IF('Data Source'!C15/200*100&gt;=80,"A+",IF('Data Source'!C15/200*100&gt;=70,"A",IF('Data Source'!C15/200*100&gt;=60,"A-",IF('Data Source'!C15/200*100&gt;=50,"B",IF('Data Source'!C15/200*100&gt;=40,"C",IF('Data Source'!C15/200*100&gt;=33,"D","F"))))))</f>
        <v/>
      </c>
      <c r="D16" s="6">
        <f>IF('Data Source'!D15/200*100&gt;=80,"A+",IF('Data Source'!D15/200*100&gt;=70,"A",IF('Data Source'!D15/200*100&gt;=60,"A-",IF('Data Source'!D15/200*100&gt;=50,"B",IF('Data Source'!D15/200*100&gt;=40,"C",IF('Data Source'!D15/200*100&gt;=33,"D","F"))))))</f>
        <v/>
      </c>
      <c r="E16" s="6">
        <f>IF('Data Source'!E15&gt;=80,"A+",IF('Data Source'!E15&gt;=70,"A",IF('Data Source'!E15&gt;=60,"A-",IF('Data Source'!E15&gt;=50,"B",IF('Data Source'!E15&gt;=40,"C",IF('Data Source'!E15&gt;=33,"D","F"))))))</f>
        <v/>
      </c>
      <c r="F16" s="6">
        <f>IF('Data Source'!F15/200*100&gt;=80,"A+",IF('Data Source'!F15/200*100&gt;=70,"A",IF('Data Source'!F15/200*100&gt;=60,"A-",IF('Data Source'!F15/200*100&gt;=50,"B",IF('Data Source'!F15/200*100&gt;=40,"C",IF('Data Source'!F15/200*100&gt;=33,"D","F"))))))</f>
        <v/>
      </c>
      <c r="G16" s="6">
        <f>IF('Data Source'!G15/200*100&gt;=80,"A+",IF('Data Source'!G15/200*100&gt;=70,"A",IF('Data Source'!G15/200*100&gt;=60,"A-",IF('Data Source'!G15/200*100&gt;=50,"B",IF('Data Source'!G15/200*100&gt;=40,"C",IF('Data Source'!G15/200*100&gt;=33,"D","F"))))))</f>
        <v/>
      </c>
      <c r="H16" s="6">
        <f>IF('Data Source'!H15&gt;=80,"A+",IF('Data Source'!H15&gt;=70,"A",IF('Data Source'!H15&gt;=60,"A-",IF('Data Source'!H15&gt;=50,"B",IF('Data Source'!H15&gt;=40,"C",IF('Data Source'!H15&gt;=33,"D","F"))))))</f>
        <v/>
      </c>
      <c r="I16" s="6">
        <f>IF('Data Source'!I15&gt;=80,"A+",IF('Data Source'!I15&gt;=70,"A",IF('Data Source'!I15&gt;=60,"A-",IF('Data Source'!I15&gt;=50,"B",IF('Data Source'!I15&gt;=40,"C",IF('Data Source'!I15&gt;=33,"D","F"))))))</f>
        <v/>
      </c>
      <c r="J16" s="6">
        <f>IF('Data Source'!J15&gt;=80,"A+",IF('Data Source'!J15&gt;=70,"A",IF('Data Source'!J15&gt;=60,"A-",IF('Data Source'!J15&gt;=50,"B",IF('Data Source'!J15&gt;=40,"C",IF('Data Source'!J15&gt;=33,"D","F"))))))</f>
        <v/>
      </c>
      <c r="K16" s="6">
        <f>IF('Data Source'!K15&gt;=80,"A+",IF('Data Source'!K15&gt;=70,"A",IF('Data Source'!K15&gt;=60,"A-",IF('Data Source'!K15&gt;=50,"B",IF('Data Source'!K15&gt;=40,"C",IF('Data Source'!K15&gt;=33,"D","F"))))))</f>
        <v/>
      </c>
      <c r="L16" s="6">
        <f>IF('Data Source'!L15&gt;=33,"Pass","Fail")</f>
        <v/>
      </c>
      <c r="M16" s="6">
        <f>IF('Data Source'!M15&gt;=33,"Pass","Fail")</f>
        <v/>
      </c>
      <c r="N16" s="5">
        <f>'Data Source'!P15</f>
        <v/>
      </c>
      <c r="O16" s="6">
        <f>'Data Source'!Q15</f>
        <v/>
      </c>
    </row>
    <row r="17">
      <c r="A17" s="6">
        <f>'Data Source'!A16</f>
        <v/>
      </c>
      <c r="B17">
        <f>'Data Source'!B16</f>
        <v/>
      </c>
      <c r="C17" s="6">
        <f>IF('Data Source'!C16/200*100&gt;=80,"A+",IF('Data Source'!C16/200*100&gt;=70,"A",IF('Data Source'!C16/200*100&gt;=60,"A-",IF('Data Source'!C16/200*100&gt;=50,"B",IF('Data Source'!C16/200*100&gt;=40,"C",IF('Data Source'!C16/200*100&gt;=33,"D","F"))))))</f>
        <v/>
      </c>
      <c r="D17" s="6">
        <f>IF('Data Source'!D16/200*100&gt;=80,"A+",IF('Data Source'!D16/200*100&gt;=70,"A",IF('Data Source'!D16/200*100&gt;=60,"A-",IF('Data Source'!D16/200*100&gt;=50,"B",IF('Data Source'!D16/200*100&gt;=40,"C",IF('Data Source'!D16/200*100&gt;=33,"D","F"))))))</f>
        <v/>
      </c>
      <c r="E17" s="6">
        <f>IF('Data Source'!E16&gt;=80,"A+",IF('Data Source'!E16&gt;=70,"A",IF('Data Source'!E16&gt;=60,"A-",IF('Data Source'!E16&gt;=50,"B",IF('Data Source'!E16&gt;=40,"C",IF('Data Source'!E16&gt;=33,"D","F"))))))</f>
        <v/>
      </c>
      <c r="F17" s="6">
        <f>IF('Data Source'!F16/200*100&gt;=80,"A+",IF('Data Source'!F16/200*100&gt;=70,"A",IF('Data Source'!F16/200*100&gt;=60,"A-",IF('Data Source'!F16/200*100&gt;=50,"B",IF('Data Source'!F16/200*100&gt;=40,"C",IF('Data Source'!F16/200*100&gt;=33,"D","F"))))))</f>
        <v/>
      </c>
      <c r="G17" s="6">
        <f>IF('Data Source'!G16/200*100&gt;=80,"A+",IF('Data Source'!G16/200*100&gt;=70,"A",IF('Data Source'!G16/200*100&gt;=60,"A-",IF('Data Source'!G16/200*100&gt;=50,"B",IF('Data Source'!G16/200*100&gt;=40,"C",IF('Data Source'!G16/200*100&gt;=33,"D","F"))))))</f>
        <v/>
      </c>
      <c r="H17" s="6">
        <f>IF('Data Source'!H16&gt;=80,"A+",IF('Data Source'!H16&gt;=70,"A",IF('Data Source'!H16&gt;=60,"A-",IF('Data Source'!H16&gt;=50,"B",IF('Data Source'!H16&gt;=40,"C",IF('Data Source'!H16&gt;=33,"D","F"))))))</f>
        <v/>
      </c>
      <c r="I17" s="6">
        <f>IF('Data Source'!I16&gt;=80,"A+",IF('Data Source'!I16&gt;=70,"A",IF('Data Source'!I16&gt;=60,"A-",IF('Data Source'!I16&gt;=50,"B",IF('Data Source'!I16&gt;=40,"C",IF('Data Source'!I16&gt;=33,"D","F"))))))</f>
        <v/>
      </c>
      <c r="J17" s="6">
        <f>IF('Data Source'!J16&gt;=80,"A+",IF('Data Source'!J16&gt;=70,"A",IF('Data Source'!J16&gt;=60,"A-",IF('Data Source'!J16&gt;=50,"B",IF('Data Source'!J16&gt;=40,"C",IF('Data Source'!J16&gt;=33,"D","F"))))))</f>
        <v/>
      </c>
      <c r="K17" s="6">
        <f>IF('Data Source'!K16&gt;=80,"A+",IF('Data Source'!K16&gt;=70,"A",IF('Data Source'!K16&gt;=60,"A-",IF('Data Source'!K16&gt;=50,"B",IF('Data Source'!K16&gt;=40,"C",IF('Data Source'!K16&gt;=33,"D","F"))))))</f>
        <v/>
      </c>
      <c r="L17" s="6">
        <f>IF('Data Source'!L16&gt;=33,"Pass","Fail")</f>
        <v/>
      </c>
      <c r="M17" s="6">
        <f>IF('Data Source'!M16&gt;=33,"Pass","Fail")</f>
        <v/>
      </c>
      <c r="N17" s="5">
        <f>'Data Source'!P16</f>
        <v/>
      </c>
      <c r="O17" s="6">
        <f>'Data Source'!Q16</f>
        <v/>
      </c>
    </row>
    <row r="18">
      <c r="A18" s="6">
        <f>'Data Source'!A17</f>
        <v/>
      </c>
      <c r="B18">
        <f>'Data Source'!B17</f>
        <v/>
      </c>
      <c r="C18" s="6">
        <f>IF('Data Source'!C17/200*100&gt;=80,"A+",IF('Data Source'!C17/200*100&gt;=70,"A",IF('Data Source'!C17/200*100&gt;=60,"A-",IF('Data Source'!C17/200*100&gt;=50,"B",IF('Data Source'!C17/200*100&gt;=40,"C",IF('Data Source'!C17/200*100&gt;=33,"D","F"))))))</f>
        <v/>
      </c>
      <c r="D18" s="6">
        <f>IF('Data Source'!D17/200*100&gt;=80,"A+",IF('Data Source'!D17/200*100&gt;=70,"A",IF('Data Source'!D17/200*100&gt;=60,"A-",IF('Data Source'!D17/200*100&gt;=50,"B",IF('Data Source'!D17/200*100&gt;=40,"C",IF('Data Source'!D17/200*100&gt;=33,"D","F"))))))</f>
        <v/>
      </c>
      <c r="E18" s="6">
        <f>IF('Data Source'!E17&gt;=80,"A+",IF('Data Source'!E17&gt;=70,"A",IF('Data Source'!E17&gt;=60,"A-",IF('Data Source'!E17&gt;=50,"B",IF('Data Source'!E17&gt;=40,"C",IF('Data Source'!E17&gt;=33,"D","F"))))))</f>
        <v/>
      </c>
      <c r="F18" s="6">
        <f>IF('Data Source'!F17/200*100&gt;=80,"A+",IF('Data Source'!F17/200*100&gt;=70,"A",IF('Data Source'!F17/200*100&gt;=60,"A-",IF('Data Source'!F17/200*100&gt;=50,"B",IF('Data Source'!F17/200*100&gt;=40,"C",IF('Data Source'!F17/200*100&gt;=33,"D","F"))))))</f>
        <v/>
      </c>
      <c r="G18" s="6">
        <f>IF('Data Source'!G17/200*100&gt;=80,"A+",IF('Data Source'!G17/200*100&gt;=70,"A",IF('Data Source'!G17/200*100&gt;=60,"A-",IF('Data Source'!G17/200*100&gt;=50,"B",IF('Data Source'!G17/200*100&gt;=40,"C",IF('Data Source'!G17/200*100&gt;=33,"D","F"))))))</f>
        <v/>
      </c>
      <c r="H18" s="6">
        <f>IF('Data Source'!H17&gt;=80,"A+",IF('Data Source'!H17&gt;=70,"A",IF('Data Source'!H17&gt;=60,"A-",IF('Data Source'!H17&gt;=50,"B",IF('Data Source'!H17&gt;=40,"C",IF('Data Source'!H17&gt;=33,"D","F"))))))</f>
        <v/>
      </c>
      <c r="I18" s="6">
        <f>IF('Data Source'!I17&gt;=80,"A+",IF('Data Source'!I17&gt;=70,"A",IF('Data Source'!I17&gt;=60,"A-",IF('Data Source'!I17&gt;=50,"B",IF('Data Source'!I17&gt;=40,"C",IF('Data Source'!I17&gt;=33,"D","F"))))))</f>
        <v/>
      </c>
      <c r="J18" s="6">
        <f>IF('Data Source'!J17&gt;=80,"A+",IF('Data Source'!J17&gt;=70,"A",IF('Data Source'!J17&gt;=60,"A-",IF('Data Source'!J17&gt;=50,"B",IF('Data Source'!J17&gt;=40,"C",IF('Data Source'!J17&gt;=33,"D","F"))))))</f>
        <v/>
      </c>
      <c r="K18" s="6">
        <f>IF('Data Source'!K17&gt;=80,"A+",IF('Data Source'!K17&gt;=70,"A",IF('Data Source'!K17&gt;=60,"A-",IF('Data Source'!K17&gt;=50,"B",IF('Data Source'!K17&gt;=40,"C",IF('Data Source'!K17&gt;=33,"D","F"))))))</f>
        <v/>
      </c>
      <c r="L18" s="6">
        <f>IF('Data Source'!L17&gt;=33,"Pass","Fail")</f>
        <v/>
      </c>
      <c r="M18" s="6">
        <f>IF('Data Source'!M17&gt;=33,"Pass","Fail")</f>
        <v/>
      </c>
      <c r="N18" s="5">
        <f>'Data Source'!P17</f>
        <v/>
      </c>
      <c r="O18" s="6">
        <f>'Data Source'!Q17</f>
        <v/>
      </c>
    </row>
    <row r="19">
      <c r="A19" s="6">
        <f>'Data Source'!A18</f>
        <v/>
      </c>
      <c r="B19">
        <f>'Data Source'!B18</f>
        <v/>
      </c>
      <c r="C19" s="6">
        <f>IF('Data Source'!C18/200*100&gt;=80,"A+",IF('Data Source'!C18/200*100&gt;=70,"A",IF('Data Source'!C18/200*100&gt;=60,"A-",IF('Data Source'!C18/200*100&gt;=50,"B",IF('Data Source'!C18/200*100&gt;=40,"C",IF('Data Source'!C18/200*100&gt;=33,"D","F"))))))</f>
        <v/>
      </c>
      <c r="D19" s="6">
        <f>IF('Data Source'!D18/200*100&gt;=80,"A+",IF('Data Source'!D18/200*100&gt;=70,"A",IF('Data Source'!D18/200*100&gt;=60,"A-",IF('Data Source'!D18/200*100&gt;=50,"B",IF('Data Source'!D18/200*100&gt;=40,"C",IF('Data Source'!D18/200*100&gt;=33,"D","F"))))))</f>
        <v/>
      </c>
      <c r="E19" s="6">
        <f>IF('Data Source'!E18&gt;=80,"A+",IF('Data Source'!E18&gt;=70,"A",IF('Data Source'!E18&gt;=60,"A-",IF('Data Source'!E18&gt;=50,"B",IF('Data Source'!E18&gt;=40,"C",IF('Data Source'!E18&gt;=33,"D","F"))))))</f>
        <v/>
      </c>
      <c r="F19" s="6">
        <f>IF('Data Source'!F18/200*100&gt;=80,"A+",IF('Data Source'!F18/200*100&gt;=70,"A",IF('Data Source'!F18/200*100&gt;=60,"A-",IF('Data Source'!F18/200*100&gt;=50,"B",IF('Data Source'!F18/200*100&gt;=40,"C",IF('Data Source'!F18/200*100&gt;=33,"D","F"))))))</f>
        <v/>
      </c>
      <c r="G19" s="6">
        <f>IF('Data Source'!G18/200*100&gt;=80,"A+",IF('Data Source'!G18/200*100&gt;=70,"A",IF('Data Source'!G18/200*100&gt;=60,"A-",IF('Data Source'!G18/200*100&gt;=50,"B",IF('Data Source'!G18/200*100&gt;=40,"C",IF('Data Source'!G18/200*100&gt;=33,"D","F"))))))</f>
        <v/>
      </c>
      <c r="H19" s="6">
        <f>IF('Data Source'!H18&gt;=80,"A+",IF('Data Source'!H18&gt;=70,"A",IF('Data Source'!H18&gt;=60,"A-",IF('Data Source'!H18&gt;=50,"B",IF('Data Source'!H18&gt;=40,"C",IF('Data Source'!H18&gt;=33,"D","F"))))))</f>
        <v/>
      </c>
      <c r="I19" s="6">
        <f>IF('Data Source'!I18&gt;=80,"A+",IF('Data Source'!I18&gt;=70,"A",IF('Data Source'!I18&gt;=60,"A-",IF('Data Source'!I18&gt;=50,"B",IF('Data Source'!I18&gt;=40,"C",IF('Data Source'!I18&gt;=33,"D","F"))))))</f>
        <v/>
      </c>
      <c r="J19" s="6">
        <f>IF('Data Source'!J18&gt;=80,"A+",IF('Data Source'!J18&gt;=70,"A",IF('Data Source'!J18&gt;=60,"A-",IF('Data Source'!J18&gt;=50,"B",IF('Data Source'!J18&gt;=40,"C",IF('Data Source'!J18&gt;=33,"D","F"))))))</f>
        <v/>
      </c>
      <c r="K19" s="6">
        <f>IF('Data Source'!K18&gt;=80,"A+",IF('Data Source'!K18&gt;=70,"A",IF('Data Source'!K18&gt;=60,"A-",IF('Data Source'!K18&gt;=50,"B",IF('Data Source'!K18&gt;=40,"C",IF('Data Source'!K18&gt;=33,"D","F"))))))</f>
        <v/>
      </c>
      <c r="L19" s="6">
        <f>IF('Data Source'!L18&gt;=33,"Pass","Fail")</f>
        <v/>
      </c>
      <c r="M19" s="6">
        <f>IF('Data Source'!M18&gt;=33,"Pass","Fail")</f>
        <v/>
      </c>
      <c r="N19" s="5">
        <f>'Data Source'!P18</f>
        <v/>
      </c>
      <c r="O19" s="6">
        <f>'Data Source'!Q18</f>
        <v/>
      </c>
    </row>
    <row r="20">
      <c r="A20" s="6">
        <f>'Data Source'!A19</f>
        <v/>
      </c>
      <c r="B20">
        <f>'Data Source'!B19</f>
        <v/>
      </c>
      <c r="C20" s="6">
        <f>IF('Data Source'!C19/200*100&gt;=80,"A+",IF('Data Source'!C19/200*100&gt;=70,"A",IF('Data Source'!C19/200*100&gt;=60,"A-",IF('Data Source'!C19/200*100&gt;=50,"B",IF('Data Source'!C19/200*100&gt;=40,"C",IF('Data Source'!C19/200*100&gt;=33,"D","F"))))))</f>
        <v/>
      </c>
      <c r="D20" s="6">
        <f>IF('Data Source'!D19/200*100&gt;=80,"A+",IF('Data Source'!D19/200*100&gt;=70,"A",IF('Data Source'!D19/200*100&gt;=60,"A-",IF('Data Source'!D19/200*100&gt;=50,"B",IF('Data Source'!D19/200*100&gt;=40,"C",IF('Data Source'!D19/200*100&gt;=33,"D","F"))))))</f>
        <v/>
      </c>
      <c r="E20" s="6">
        <f>IF('Data Source'!E19&gt;=80,"A+",IF('Data Source'!E19&gt;=70,"A",IF('Data Source'!E19&gt;=60,"A-",IF('Data Source'!E19&gt;=50,"B",IF('Data Source'!E19&gt;=40,"C",IF('Data Source'!E19&gt;=33,"D","F"))))))</f>
        <v/>
      </c>
      <c r="F20" s="6">
        <f>IF('Data Source'!F19/200*100&gt;=80,"A+",IF('Data Source'!F19/200*100&gt;=70,"A",IF('Data Source'!F19/200*100&gt;=60,"A-",IF('Data Source'!F19/200*100&gt;=50,"B",IF('Data Source'!F19/200*100&gt;=40,"C",IF('Data Source'!F19/200*100&gt;=33,"D","F"))))))</f>
        <v/>
      </c>
      <c r="G20" s="6">
        <f>IF('Data Source'!G19/200*100&gt;=80,"A+",IF('Data Source'!G19/200*100&gt;=70,"A",IF('Data Source'!G19/200*100&gt;=60,"A-",IF('Data Source'!G19/200*100&gt;=50,"B",IF('Data Source'!G19/200*100&gt;=40,"C",IF('Data Source'!G19/200*100&gt;=33,"D","F"))))))</f>
        <v/>
      </c>
      <c r="H20" s="6">
        <f>IF('Data Source'!H19&gt;=80,"A+",IF('Data Source'!H19&gt;=70,"A",IF('Data Source'!H19&gt;=60,"A-",IF('Data Source'!H19&gt;=50,"B",IF('Data Source'!H19&gt;=40,"C",IF('Data Source'!H19&gt;=33,"D","F"))))))</f>
        <v/>
      </c>
      <c r="I20" s="6">
        <f>IF('Data Source'!I19&gt;=80,"A+",IF('Data Source'!I19&gt;=70,"A",IF('Data Source'!I19&gt;=60,"A-",IF('Data Source'!I19&gt;=50,"B",IF('Data Source'!I19&gt;=40,"C",IF('Data Source'!I19&gt;=33,"D","F"))))))</f>
        <v/>
      </c>
      <c r="J20" s="6">
        <f>IF('Data Source'!J19&gt;=80,"A+",IF('Data Source'!J19&gt;=70,"A",IF('Data Source'!J19&gt;=60,"A-",IF('Data Source'!J19&gt;=50,"B",IF('Data Source'!J19&gt;=40,"C",IF('Data Source'!J19&gt;=33,"D","F"))))))</f>
        <v/>
      </c>
      <c r="K20" s="6">
        <f>IF('Data Source'!K19&gt;=80,"A+",IF('Data Source'!K19&gt;=70,"A",IF('Data Source'!K19&gt;=60,"A-",IF('Data Source'!K19&gt;=50,"B",IF('Data Source'!K19&gt;=40,"C",IF('Data Source'!K19&gt;=33,"D","F"))))))</f>
        <v/>
      </c>
      <c r="L20" s="6">
        <f>IF('Data Source'!L19&gt;=33,"Pass","Fail")</f>
        <v/>
      </c>
      <c r="M20" s="6">
        <f>IF('Data Source'!M19&gt;=33,"Pass","Fail")</f>
        <v/>
      </c>
      <c r="N20" s="5">
        <f>'Data Source'!P19</f>
        <v/>
      </c>
      <c r="O20" s="6">
        <f>'Data Source'!Q19</f>
        <v/>
      </c>
    </row>
    <row r="21">
      <c r="A21" s="6">
        <f>'Data Source'!A20</f>
        <v/>
      </c>
      <c r="B21">
        <f>'Data Source'!B20</f>
        <v/>
      </c>
      <c r="C21" s="6">
        <f>IF('Data Source'!C20/200*100&gt;=80,"A+",IF('Data Source'!C20/200*100&gt;=70,"A",IF('Data Source'!C20/200*100&gt;=60,"A-",IF('Data Source'!C20/200*100&gt;=50,"B",IF('Data Source'!C20/200*100&gt;=40,"C",IF('Data Source'!C20/200*100&gt;=33,"D","F"))))))</f>
        <v/>
      </c>
      <c r="D21" s="6">
        <f>IF('Data Source'!D20/200*100&gt;=80,"A+",IF('Data Source'!D20/200*100&gt;=70,"A",IF('Data Source'!D20/200*100&gt;=60,"A-",IF('Data Source'!D20/200*100&gt;=50,"B",IF('Data Source'!D20/200*100&gt;=40,"C",IF('Data Source'!D20/200*100&gt;=33,"D","F"))))))</f>
        <v/>
      </c>
      <c r="E21" s="6">
        <f>IF('Data Source'!E20&gt;=80,"A+",IF('Data Source'!E20&gt;=70,"A",IF('Data Source'!E20&gt;=60,"A-",IF('Data Source'!E20&gt;=50,"B",IF('Data Source'!E20&gt;=40,"C",IF('Data Source'!E20&gt;=33,"D","F"))))))</f>
        <v/>
      </c>
      <c r="F21" s="6">
        <f>IF('Data Source'!F20/200*100&gt;=80,"A+",IF('Data Source'!F20/200*100&gt;=70,"A",IF('Data Source'!F20/200*100&gt;=60,"A-",IF('Data Source'!F20/200*100&gt;=50,"B",IF('Data Source'!F20/200*100&gt;=40,"C",IF('Data Source'!F20/200*100&gt;=33,"D","F"))))))</f>
        <v/>
      </c>
      <c r="G21" s="6">
        <f>IF('Data Source'!G20/200*100&gt;=80,"A+",IF('Data Source'!G20/200*100&gt;=70,"A",IF('Data Source'!G20/200*100&gt;=60,"A-",IF('Data Source'!G20/200*100&gt;=50,"B",IF('Data Source'!G20/200*100&gt;=40,"C",IF('Data Source'!G20/200*100&gt;=33,"D","F"))))))</f>
        <v/>
      </c>
      <c r="H21" s="6">
        <f>IF('Data Source'!H20&gt;=80,"A+",IF('Data Source'!H20&gt;=70,"A",IF('Data Source'!H20&gt;=60,"A-",IF('Data Source'!H20&gt;=50,"B",IF('Data Source'!H20&gt;=40,"C",IF('Data Source'!H20&gt;=33,"D","F"))))))</f>
        <v/>
      </c>
      <c r="I21" s="6">
        <f>IF('Data Source'!I20&gt;=80,"A+",IF('Data Source'!I20&gt;=70,"A",IF('Data Source'!I20&gt;=60,"A-",IF('Data Source'!I20&gt;=50,"B",IF('Data Source'!I20&gt;=40,"C",IF('Data Source'!I20&gt;=33,"D","F"))))))</f>
        <v/>
      </c>
      <c r="J21" s="6">
        <f>IF('Data Source'!J20&gt;=80,"A+",IF('Data Source'!J20&gt;=70,"A",IF('Data Source'!J20&gt;=60,"A-",IF('Data Source'!J20&gt;=50,"B",IF('Data Source'!J20&gt;=40,"C",IF('Data Source'!J20&gt;=33,"D","F"))))))</f>
        <v/>
      </c>
      <c r="K21" s="6">
        <f>IF('Data Source'!K20&gt;=80,"A+",IF('Data Source'!K20&gt;=70,"A",IF('Data Source'!K20&gt;=60,"A-",IF('Data Source'!K20&gt;=50,"B",IF('Data Source'!K20&gt;=40,"C",IF('Data Source'!K20&gt;=33,"D","F"))))))</f>
        <v/>
      </c>
      <c r="L21" s="6">
        <f>IF('Data Source'!L20&gt;=33,"Pass","Fail")</f>
        <v/>
      </c>
      <c r="M21" s="6">
        <f>IF('Data Source'!M20&gt;=33,"Pass","Fail")</f>
        <v/>
      </c>
      <c r="N21" s="5">
        <f>'Data Source'!P20</f>
        <v/>
      </c>
      <c r="O21" s="6">
        <f>'Data Source'!Q20</f>
        <v/>
      </c>
    </row>
    <row r="22">
      <c r="A22" s="6">
        <f>'Data Source'!A21</f>
        <v/>
      </c>
      <c r="B22">
        <f>'Data Source'!B21</f>
        <v/>
      </c>
      <c r="C22" s="6">
        <f>IF('Data Source'!C21/200*100&gt;=80,"A+",IF('Data Source'!C21/200*100&gt;=70,"A",IF('Data Source'!C21/200*100&gt;=60,"A-",IF('Data Source'!C21/200*100&gt;=50,"B",IF('Data Source'!C21/200*100&gt;=40,"C",IF('Data Source'!C21/200*100&gt;=33,"D","F"))))))</f>
        <v/>
      </c>
      <c r="D22" s="6">
        <f>IF('Data Source'!D21/200*100&gt;=80,"A+",IF('Data Source'!D21/200*100&gt;=70,"A",IF('Data Source'!D21/200*100&gt;=60,"A-",IF('Data Source'!D21/200*100&gt;=50,"B",IF('Data Source'!D21/200*100&gt;=40,"C",IF('Data Source'!D21/200*100&gt;=33,"D","F"))))))</f>
        <v/>
      </c>
      <c r="E22" s="6">
        <f>IF('Data Source'!E21&gt;=80,"A+",IF('Data Source'!E21&gt;=70,"A",IF('Data Source'!E21&gt;=60,"A-",IF('Data Source'!E21&gt;=50,"B",IF('Data Source'!E21&gt;=40,"C",IF('Data Source'!E21&gt;=33,"D","F"))))))</f>
        <v/>
      </c>
      <c r="F22" s="6">
        <f>IF('Data Source'!F21/200*100&gt;=80,"A+",IF('Data Source'!F21/200*100&gt;=70,"A",IF('Data Source'!F21/200*100&gt;=60,"A-",IF('Data Source'!F21/200*100&gt;=50,"B",IF('Data Source'!F21/200*100&gt;=40,"C",IF('Data Source'!F21/200*100&gt;=33,"D","F"))))))</f>
        <v/>
      </c>
      <c r="G22" s="6">
        <f>IF('Data Source'!G21/200*100&gt;=80,"A+",IF('Data Source'!G21/200*100&gt;=70,"A",IF('Data Source'!G21/200*100&gt;=60,"A-",IF('Data Source'!G21/200*100&gt;=50,"B",IF('Data Source'!G21/200*100&gt;=40,"C",IF('Data Source'!G21/200*100&gt;=33,"D","F"))))))</f>
        <v/>
      </c>
      <c r="H22" s="6">
        <f>IF('Data Source'!H21&gt;=80,"A+",IF('Data Source'!H21&gt;=70,"A",IF('Data Source'!H21&gt;=60,"A-",IF('Data Source'!H21&gt;=50,"B",IF('Data Source'!H21&gt;=40,"C",IF('Data Source'!H21&gt;=33,"D","F"))))))</f>
        <v/>
      </c>
      <c r="I22" s="6">
        <f>IF('Data Source'!I21&gt;=80,"A+",IF('Data Source'!I21&gt;=70,"A",IF('Data Source'!I21&gt;=60,"A-",IF('Data Source'!I21&gt;=50,"B",IF('Data Source'!I21&gt;=40,"C",IF('Data Source'!I21&gt;=33,"D","F"))))))</f>
        <v/>
      </c>
      <c r="J22" s="6">
        <f>IF('Data Source'!J21&gt;=80,"A+",IF('Data Source'!J21&gt;=70,"A",IF('Data Source'!J21&gt;=60,"A-",IF('Data Source'!J21&gt;=50,"B",IF('Data Source'!J21&gt;=40,"C",IF('Data Source'!J21&gt;=33,"D","F"))))))</f>
        <v/>
      </c>
      <c r="K22" s="6">
        <f>IF('Data Source'!K21&gt;=80,"A+",IF('Data Source'!K21&gt;=70,"A",IF('Data Source'!K21&gt;=60,"A-",IF('Data Source'!K21&gt;=50,"B",IF('Data Source'!K21&gt;=40,"C",IF('Data Source'!K21&gt;=33,"D","F"))))))</f>
        <v/>
      </c>
      <c r="L22" s="6">
        <f>IF('Data Source'!L21&gt;=33,"Pass","Fail")</f>
        <v/>
      </c>
      <c r="M22" s="6">
        <f>IF('Data Source'!M21&gt;=33,"Pass","Fail")</f>
        <v/>
      </c>
      <c r="N22" s="5">
        <f>'Data Source'!P21</f>
        <v/>
      </c>
      <c r="O22" s="6">
        <f>'Data Source'!Q21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2025-11-19T14:48:08Z</dcterms:created>
  <dcterms:modified xsi:type="dcterms:W3CDTF">2025-11-19T14:48:08Z</dcterms:modified>
</cp:coreProperties>
</file>