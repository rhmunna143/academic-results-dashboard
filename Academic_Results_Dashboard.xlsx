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Pivo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C9999"/>
        <bgColor rgb="00FC9999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2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0" customWidth="1" min="14" max="14"/>
    <col width="10" customWidth="1" min="15" max="15"/>
    <col width="12" customWidth="1" min="16" max="16"/>
    <col width="12" customWidth="1" min="17" max="17"/>
    <col width="10" customWidth="1" min="18" max="18"/>
    <col width="10" customWidth="1" min="19" max="19"/>
    <col width="8" customWidth="1" min="20" max="20"/>
    <col width="12" customWidth="1" min="21" max="21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Bangla_I_MCQ</t>
        </is>
      </c>
      <c r="K1" s="1" t="inlineStr">
        <is>
          <t>Bangla_I_Written</t>
        </is>
      </c>
      <c r="L1" s="1" t="inlineStr">
        <is>
          <t>Bangla_II_MCQ</t>
        </is>
      </c>
      <c r="M1" s="1" t="inlineStr">
        <is>
          <t>Bangla_II_Written</t>
        </is>
      </c>
      <c r="N1" s="1" t="inlineStr">
        <is>
          <t>Mathematics</t>
        </is>
      </c>
      <c r="O1" s="1" t="inlineStr">
        <is>
          <t>Islamic_History</t>
        </is>
      </c>
      <c r="P1" s="1" t="inlineStr">
        <is>
          <t>ICT</t>
        </is>
      </c>
      <c r="Q1" s="1" t="inlineStr">
        <is>
          <t>Mantiq</t>
        </is>
      </c>
      <c r="R1" s="1" t="inlineStr">
        <is>
          <t>Career_Education</t>
        </is>
      </c>
      <c r="S1" s="1" t="inlineStr">
        <is>
          <t>Physical_Education</t>
        </is>
      </c>
      <c r="T1" s="1" t="inlineStr">
        <is>
          <t>Total</t>
        </is>
      </c>
      <c r="U1" s="1" t="inlineStr">
        <is>
          <t>Average</t>
        </is>
      </c>
      <c r="V1" s="1" t="inlineStr">
        <is>
          <t>GPA</t>
        </is>
      </c>
      <c r="W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4" t="n">
        <v>8</v>
      </c>
      <c r="K2" s="5" t="n">
        <v>52</v>
      </c>
      <c r="L2" s="4" t="n">
        <v>10</v>
      </c>
      <c r="M2" s="5" t="n">
        <v>43</v>
      </c>
      <c r="N2" s="2" t="n">
        <v>69</v>
      </c>
      <c r="O2" s="2" t="n">
        <v>63</v>
      </c>
      <c r="P2" s="4" t="n">
        <v>33</v>
      </c>
      <c r="Q2" s="2" t="n">
        <v>65</v>
      </c>
      <c r="R2" t="n">
        <v>79</v>
      </c>
      <c r="S2" t="n">
        <v>77</v>
      </c>
      <c r="T2" s="6">
        <f>IF(OR((C2+D2)&lt;66,(E2+F2)&lt;66,G2&lt;33,(H2+I2)&lt;66,NOT(OR(AND(J2&gt;=10,K2&gt;=23,L2&gt;=10,M2&gt;=23),AND((J2+L2)&gt;=20,(K2+M2)&gt;=46))),N2&lt;33,O2&lt;33,P2&lt;8.25,R2&lt;33,S2&lt;33),0,MIN(5,ROUND((IF((C2+D2)/200*100&gt;=80,5,IF((C2+D2)/200*100&gt;=70,4,IF((C2+D2)/200*100&gt;=60,3.5,IF((C2+D2)/200*100&gt;=50,3,IF((C2+D2)/200*100&gt;=40,2,IF((C2+D2)/200*100&gt;=33,1,0))))))+IF((E2+F2)/200*100&gt;=80,5,IF((E2+F2)/200*100&gt;=70,4,IF((E2+F2)/200*100&gt;=60,3.5,IF((E2+F2)/200*100&gt;=50,3,IF((E2+F2)/200*100&gt;=40,2,IF((E2+F2)/200*100&gt;=33,1,0))))))+IF(G2&gt;=80,5,IF(G2&gt;=70,4,IF(G2&gt;=60,3.5,IF(G2&gt;=50,3,IF(G2&gt;=40,2,IF(G2&gt;=33,1,0))))))+IF((H2+I2)/200*100&gt;=80,5,IF((H2+I2)/200*100&gt;=70,4,IF((H2+I2)/200*100&gt;=60,3.5,IF((H2+I2)/200*100&gt;=50,3,IF((H2+I2)/200*100&gt;=40,2,IF((H2+I2)/200*100&gt;=33,1,0))))))+IF((J2+K2)/200*100&gt;=80,5,IF((J2+K2)/200*100&gt;=70,4,IF((J2+K2)/200*100&gt;=60,3.5,IF((J2+K2)/200*100&gt;=50,3,IF((J2+K2)/200*100&gt;=40,2,IF((J2+K2)/200*100&gt;=33,1,0))))))+IF(L2&gt;=80,5,IF(L2&gt;=70,4,IF(L2&gt;=60,3.5,IF(L2&gt;=50,3,IF(L2&gt;=40,2,IF(L2&gt;=33,1,0))))))+IF(M2&gt;=80,5,IF(M2&gt;=70,4,IF(M2&gt;=60,3.5,IF(M2&gt;=50,3,IF(M2&gt;=40,2,IF(M2&gt;=33,1,0))))))+IF(N2/50*100&gt;=80,5,IF(N2/50*100&gt;=70,4,IF(N2/50*100&gt;=60,3.5,IF(N2/50*100&gt;=50,3,IF(N2/50*100&gt;=40,2,IF(N2/50*100&gt;=33,1,0)))))))/8+IF(IF(O2&gt;=80,5,IF(O2&gt;=70,4,IF(O2&gt;=60,3.5,IF(O2&gt;=50,3,IF(O2&gt;=40,2,IF(O2&gt;=33,1,0))))))&gt;=2,(IF(O2&gt;=80,5,IF(O2&gt;=70,4,IF(O2&gt;=60,3.5,IF(O2&gt;=50,3,IF(O2&gt;=40,2,IF(O2&gt;=33,1,0))))))-2)/8,0),2)))</f>
        <v/>
      </c>
      <c r="U2" s="6">
        <f>IF(T2&gt;=5,"A+",IF(T2&gt;=4,"A",IF(T2&gt;=3.5,"A-",IF(T2&gt;=3,"B",IF(T2&gt;=2,"C",IF(T2&gt;=1,"D","F"))))))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4" t="n">
        <v>11</v>
      </c>
      <c r="K3" s="5" t="n">
        <v>58</v>
      </c>
      <c r="L3" s="4" t="n">
        <v>10</v>
      </c>
      <c r="M3" s="5" t="n">
        <v>48</v>
      </c>
      <c r="N3" s="5" t="n">
        <v>59</v>
      </c>
      <c r="O3" s="3" t="n">
        <v>81</v>
      </c>
      <c r="P3" s="4" t="n">
        <v>37</v>
      </c>
      <c r="Q3" s="2" t="n">
        <v>60</v>
      </c>
      <c r="R3" t="n">
        <v>76</v>
      </c>
      <c r="S3" t="n">
        <v>94</v>
      </c>
      <c r="T3" s="6">
        <f>IF(OR((C3+D3)&lt;66,(E3+F3)&lt;66,G3&lt;33,(H3+I3)&lt;66,NOT(OR(AND(J3&gt;=10,K3&gt;=23,L3&gt;=10,M3&gt;=23),AND((J3+L3)&gt;=20,(K3+M3)&gt;=46))),N3&lt;33,O3&lt;33,P3&lt;8.25,R3&lt;33,S3&lt;33),0,MIN(5,ROUND((IF((C3+D3)/200*100&gt;=80,5,IF((C3+D3)/200*100&gt;=70,4,IF((C3+D3)/200*100&gt;=60,3.5,IF((C3+D3)/200*100&gt;=50,3,IF((C3+D3)/200*100&gt;=40,2,IF((C3+D3)/200*100&gt;=33,1,0))))))+IF((E3+F3)/200*100&gt;=80,5,IF((E3+F3)/200*100&gt;=70,4,IF((E3+F3)/200*100&gt;=60,3.5,IF((E3+F3)/200*100&gt;=50,3,IF((E3+F3)/200*100&gt;=40,2,IF((E3+F3)/200*100&gt;=33,1,0))))))+IF(G3&gt;=80,5,IF(G3&gt;=70,4,IF(G3&gt;=60,3.5,IF(G3&gt;=50,3,IF(G3&gt;=40,2,IF(G3&gt;=33,1,0))))))+IF((H3+I3)/200*100&gt;=80,5,IF((H3+I3)/200*100&gt;=70,4,IF((H3+I3)/200*100&gt;=60,3.5,IF((H3+I3)/200*100&gt;=50,3,IF((H3+I3)/200*100&gt;=40,2,IF((H3+I3)/200*100&gt;=33,1,0))))))+IF((J3+K3)/200*100&gt;=80,5,IF((J3+K3)/200*100&gt;=70,4,IF((J3+K3)/200*100&gt;=60,3.5,IF((J3+K3)/200*100&gt;=50,3,IF((J3+K3)/200*100&gt;=40,2,IF((J3+K3)/200*100&gt;=33,1,0))))))+IF(L3&gt;=80,5,IF(L3&gt;=70,4,IF(L3&gt;=60,3.5,IF(L3&gt;=50,3,IF(L3&gt;=40,2,IF(L3&gt;=33,1,0))))))+IF(M3&gt;=80,5,IF(M3&gt;=70,4,IF(M3&gt;=60,3.5,IF(M3&gt;=50,3,IF(M3&gt;=40,2,IF(M3&gt;=33,1,0))))))+IF(N3/50*100&gt;=80,5,IF(N3/50*100&gt;=70,4,IF(N3/50*100&gt;=60,3.5,IF(N3/50*100&gt;=50,3,IF(N3/50*100&gt;=40,2,IF(N3/50*100&gt;=33,1,0)))))))/8+IF(IF(O3&gt;=80,5,IF(O3&gt;=70,4,IF(O3&gt;=60,3.5,IF(O3&gt;=50,3,IF(O3&gt;=40,2,IF(O3&gt;=33,1,0))))))&gt;=2,(IF(O3&gt;=80,5,IF(O3&gt;=70,4,IF(O3&gt;=60,3.5,IF(O3&gt;=50,3,IF(O3&gt;=40,2,IF(O3&gt;=33,1,0))))))-2)/8,0),2)))</f>
        <v/>
      </c>
      <c r="U3" s="6">
        <f>IF(T3&gt;=5,"A+",IF(T3&gt;=4,"A",IF(T3&gt;=3.5,"A-",IF(T3&gt;=3,"B",IF(T3&gt;=2,"C",IF(T3&gt;=1,"D","F"))))))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4" t="n">
        <v>25</v>
      </c>
      <c r="K4" s="4" t="n">
        <v>32</v>
      </c>
      <c r="L4" s="4" t="n">
        <v>23</v>
      </c>
      <c r="M4" s="5" t="n">
        <v>53</v>
      </c>
      <c r="N4" s="5" t="n">
        <v>57</v>
      </c>
      <c r="O4" s="2" t="n">
        <v>73</v>
      </c>
      <c r="P4" s="4" t="n">
        <v>36</v>
      </c>
      <c r="Q4" s="2" t="n">
        <v>76</v>
      </c>
      <c r="R4" t="n">
        <v>71</v>
      </c>
      <c r="S4" t="n">
        <v>77</v>
      </c>
      <c r="T4" s="6">
        <f>IF(OR((C4+D4)&lt;66,(E4+F4)&lt;66,G4&lt;33,(H4+I4)&lt;66,NOT(OR(AND(J4&gt;=10,K4&gt;=23,L4&gt;=10,M4&gt;=23),AND((J4+L4)&gt;=20,(K4+M4)&gt;=46))),N4&lt;33,O4&lt;33,P4&lt;8.25,R4&lt;33,S4&lt;33),0,MIN(5,ROUND((IF((C4+D4)/200*100&gt;=80,5,IF((C4+D4)/200*100&gt;=70,4,IF((C4+D4)/200*100&gt;=60,3.5,IF((C4+D4)/200*100&gt;=50,3,IF((C4+D4)/200*100&gt;=40,2,IF((C4+D4)/200*100&gt;=33,1,0))))))+IF((E4+F4)/200*100&gt;=80,5,IF((E4+F4)/200*100&gt;=70,4,IF((E4+F4)/200*100&gt;=60,3.5,IF((E4+F4)/200*100&gt;=50,3,IF((E4+F4)/200*100&gt;=40,2,IF((E4+F4)/200*100&gt;=33,1,0))))))+IF(G4&gt;=80,5,IF(G4&gt;=70,4,IF(G4&gt;=60,3.5,IF(G4&gt;=50,3,IF(G4&gt;=40,2,IF(G4&gt;=33,1,0))))))+IF((H4+I4)/200*100&gt;=80,5,IF((H4+I4)/200*100&gt;=70,4,IF((H4+I4)/200*100&gt;=60,3.5,IF((H4+I4)/200*100&gt;=50,3,IF((H4+I4)/200*100&gt;=40,2,IF((H4+I4)/200*100&gt;=33,1,0))))))+IF((J4+K4)/200*100&gt;=80,5,IF((J4+K4)/200*100&gt;=70,4,IF((J4+K4)/200*100&gt;=60,3.5,IF((J4+K4)/200*100&gt;=50,3,IF((J4+K4)/200*100&gt;=40,2,IF((J4+K4)/200*100&gt;=33,1,0))))))+IF(L4&gt;=80,5,IF(L4&gt;=70,4,IF(L4&gt;=60,3.5,IF(L4&gt;=50,3,IF(L4&gt;=40,2,IF(L4&gt;=33,1,0))))))+IF(M4&gt;=80,5,IF(M4&gt;=70,4,IF(M4&gt;=60,3.5,IF(M4&gt;=50,3,IF(M4&gt;=40,2,IF(M4&gt;=33,1,0))))))+IF(N4/50*100&gt;=80,5,IF(N4/50*100&gt;=70,4,IF(N4/50*100&gt;=60,3.5,IF(N4/50*100&gt;=50,3,IF(N4/50*100&gt;=40,2,IF(N4/50*100&gt;=33,1,0)))))))/8+IF(IF(O4&gt;=80,5,IF(O4&gt;=70,4,IF(O4&gt;=60,3.5,IF(O4&gt;=50,3,IF(O4&gt;=40,2,IF(O4&gt;=33,1,0))))))&gt;=2,(IF(O4&gt;=80,5,IF(O4&gt;=70,4,IF(O4&gt;=60,3.5,IF(O4&gt;=50,3,IF(O4&gt;=40,2,IF(O4&gt;=33,1,0))))))-2)/8,0),2)))</f>
        <v/>
      </c>
      <c r="U4" s="6">
        <f>IF(T4&gt;=5,"A+",IF(T4&gt;=4,"A",IF(T4&gt;=3.5,"A-",IF(T4&gt;=3,"B",IF(T4&gt;=2,"C",IF(T4&gt;=1,"D","F"))))))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4" t="n">
        <v>16</v>
      </c>
      <c r="K5" s="4" t="n">
        <v>29</v>
      </c>
      <c r="L5" s="4" t="n">
        <v>10</v>
      </c>
      <c r="M5" s="5" t="n">
        <v>48</v>
      </c>
      <c r="N5" s="2" t="n">
        <v>76</v>
      </c>
      <c r="O5" s="2" t="n">
        <v>71</v>
      </c>
      <c r="P5" s="4" t="n">
        <v>36</v>
      </c>
      <c r="Q5" s="3" t="n">
        <v>81</v>
      </c>
      <c r="R5" t="n">
        <v>88</v>
      </c>
      <c r="S5" t="n">
        <v>82</v>
      </c>
      <c r="T5" s="6">
        <f>IF(OR((C5+D5)&lt;66,(E5+F5)&lt;66,G5&lt;33,(H5+I5)&lt;66,NOT(OR(AND(J5&gt;=10,K5&gt;=23,L5&gt;=10,M5&gt;=23),AND((J5+L5)&gt;=20,(K5+M5)&gt;=46))),N5&lt;33,O5&lt;33,P5&lt;8.25,R5&lt;33,S5&lt;33),0,MIN(5,ROUND((IF((C5+D5)/200*100&gt;=80,5,IF((C5+D5)/200*100&gt;=70,4,IF((C5+D5)/200*100&gt;=60,3.5,IF((C5+D5)/200*100&gt;=50,3,IF((C5+D5)/200*100&gt;=40,2,IF((C5+D5)/200*100&gt;=33,1,0))))))+IF((E5+F5)/200*100&gt;=80,5,IF((E5+F5)/200*100&gt;=70,4,IF((E5+F5)/200*100&gt;=60,3.5,IF((E5+F5)/200*100&gt;=50,3,IF((E5+F5)/200*100&gt;=40,2,IF((E5+F5)/200*100&gt;=33,1,0))))))+IF(G5&gt;=80,5,IF(G5&gt;=70,4,IF(G5&gt;=60,3.5,IF(G5&gt;=50,3,IF(G5&gt;=40,2,IF(G5&gt;=33,1,0))))))+IF((H5+I5)/200*100&gt;=80,5,IF((H5+I5)/200*100&gt;=70,4,IF((H5+I5)/200*100&gt;=60,3.5,IF((H5+I5)/200*100&gt;=50,3,IF((H5+I5)/200*100&gt;=40,2,IF((H5+I5)/200*100&gt;=33,1,0))))))+IF((J5+K5)/200*100&gt;=80,5,IF((J5+K5)/200*100&gt;=70,4,IF((J5+K5)/200*100&gt;=60,3.5,IF((J5+K5)/200*100&gt;=50,3,IF((J5+K5)/200*100&gt;=40,2,IF((J5+K5)/200*100&gt;=33,1,0))))))+IF(L5&gt;=80,5,IF(L5&gt;=70,4,IF(L5&gt;=60,3.5,IF(L5&gt;=50,3,IF(L5&gt;=40,2,IF(L5&gt;=33,1,0))))))+IF(M5&gt;=80,5,IF(M5&gt;=70,4,IF(M5&gt;=60,3.5,IF(M5&gt;=50,3,IF(M5&gt;=40,2,IF(M5&gt;=33,1,0))))))+IF(N5/50*100&gt;=80,5,IF(N5/50*100&gt;=70,4,IF(N5/50*100&gt;=60,3.5,IF(N5/50*100&gt;=50,3,IF(N5/50*100&gt;=40,2,IF(N5/50*100&gt;=33,1,0)))))))/8+IF(IF(O5&gt;=80,5,IF(O5&gt;=70,4,IF(O5&gt;=60,3.5,IF(O5&gt;=50,3,IF(O5&gt;=40,2,IF(O5&gt;=33,1,0))))))&gt;=2,(IF(O5&gt;=80,5,IF(O5&gt;=70,4,IF(O5&gt;=60,3.5,IF(O5&gt;=50,3,IF(O5&gt;=40,2,IF(O5&gt;=33,1,0))))))-2)/8,0),2)))</f>
        <v/>
      </c>
      <c r="U5" s="6">
        <f>IF(T5&gt;=5,"A+",IF(T5&gt;=4,"A",IF(T5&gt;=3.5,"A-",IF(T5&gt;=3,"B",IF(T5&gt;=2,"C",IF(T5&gt;=1,"D","F"))))))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4" t="n">
        <v>28</v>
      </c>
      <c r="K6" s="5" t="n">
        <v>43</v>
      </c>
      <c r="L6" s="4" t="n">
        <v>25</v>
      </c>
      <c r="M6" s="4" t="n">
        <v>27</v>
      </c>
      <c r="N6" s="5" t="n">
        <v>59</v>
      </c>
      <c r="O6" s="2" t="n">
        <v>73</v>
      </c>
      <c r="P6" s="5" t="n">
        <v>47</v>
      </c>
      <c r="Q6" s="3" t="n">
        <v>80</v>
      </c>
      <c r="R6" t="n">
        <v>93</v>
      </c>
      <c r="S6" t="n">
        <v>87</v>
      </c>
      <c r="T6" s="6">
        <f>IF(OR((C6+D6)&lt;66,(E6+F6)&lt;66,G6&lt;33,(H6+I6)&lt;66,NOT(OR(AND(J6&gt;=10,K6&gt;=23,L6&gt;=10,M6&gt;=23),AND((J6+L6)&gt;=20,(K6+M6)&gt;=46))),N6&lt;33,O6&lt;33,P6&lt;8.25,R6&lt;33,S6&lt;33),0,MIN(5,ROUND((IF((C6+D6)/200*100&gt;=80,5,IF((C6+D6)/200*100&gt;=70,4,IF((C6+D6)/200*100&gt;=60,3.5,IF((C6+D6)/200*100&gt;=50,3,IF((C6+D6)/200*100&gt;=40,2,IF((C6+D6)/200*100&gt;=33,1,0))))))+IF((E6+F6)/200*100&gt;=80,5,IF((E6+F6)/200*100&gt;=70,4,IF((E6+F6)/200*100&gt;=60,3.5,IF((E6+F6)/200*100&gt;=50,3,IF((E6+F6)/200*100&gt;=40,2,IF((E6+F6)/200*100&gt;=33,1,0))))))+IF(G6&gt;=80,5,IF(G6&gt;=70,4,IF(G6&gt;=60,3.5,IF(G6&gt;=50,3,IF(G6&gt;=40,2,IF(G6&gt;=33,1,0))))))+IF((H6+I6)/200*100&gt;=80,5,IF((H6+I6)/200*100&gt;=70,4,IF((H6+I6)/200*100&gt;=60,3.5,IF((H6+I6)/200*100&gt;=50,3,IF((H6+I6)/200*100&gt;=40,2,IF((H6+I6)/200*100&gt;=33,1,0))))))+IF((J6+K6)/200*100&gt;=80,5,IF((J6+K6)/200*100&gt;=70,4,IF((J6+K6)/200*100&gt;=60,3.5,IF((J6+K6)/200*100&gt;=50,3,IF((J6+K6)/200*100&gt;=40,2,IF((J6+K6)/200*100&gt;=33,1,0))))))+IF(L6&gt;=80,5,IF(L6&gt;=70,4,IF(L6&gt;=60,3.5,IF(L6&gt;=50,3,IF(L6&gt;=40,2,IF(L6&gt;=33,1,0))))))+IF(M6&gt;=80,5,IF(M6&gt;=70,4,IF(M6&gt;=60,3.5,IF(M6&gt;=50,3,IF(M6&gt;=40,2,IF(M6&gt;=33,1,0))))))+IF(N6/50*100&gt;=80,5,IF(N6/50*100&gt;=70,4,IF(N6/50*100&gt;=60,3.5,IF(N6/50*100&gt;=50,3,IF(N6/50*100&gt;=40,2,IF(N6/50*100&gt;=33,1,0)))))))/8+IF(IF(O6&gt;=80,5,IF(O6&gt;=70,4,IF(O6&gt;=60,3.5,IF(O6&gt;=50,3,IF(O6&gt;=40,2,IF(O6&gt;=33,1,0))))))&gt;=2,(IF(O6&gt;=80,5,IF(O6&gt;=70,4,IF(O6&gt;=60,3.5,IF(O6&gt;=50,3,IF(O6&gt;=40,2,IF(O6&gt;=33,1,0))))))-2)/8,0),2)))</f>
        <v/>
      </c>
      <c r="U6" s="6">
        <f>IF(T6&gt;=5,"A+",IF(T6&gt;=4,"A",IF(T6&gt;=3.5,"A-",IF(T6&gt;=3,"B",IF(T6&gt;=2,"C",IF(T6&gt;=1,"D","F"))))))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4" t="n">
        <v>18</v>
      </c>
      <c r="K7" s="4" t="n">
        <v>30</v>
      </c>
      <c r="L7" s="4" t="n">
        <v>12</v>
      </c>
      <c r="M7" s="4" t="n">
        <v>35</v>
      </c>
      <c r="N7" s="3" t="n">
        <v>87</v>
      </c>
      <c r="O7" s="2" t="n">
        <v>73</v>
      </c>
      <c r="P7" s="5" t="n">
        <v>44</v>
      </c>
      <c r="Q7" s="2" t="n">
        <v>63</v>
      </c>
      <c r="R7" t="n">
        <v>87</v>
      </c>
      <c r="S7" t="n">
        <v>78</v>
      </c>
      <c r="T7" s="6">
        <f>IF(OR((C7+D7)&lt;66,(E7+F7)&lt;66,G7&lt;33,(H7+I7)&lt;66,NOT(OR(AND(J7&gt;=10,K7&gt;=23,L7&gt;=10,M7&gt;=23),AND((J7+L7)&gt;=20,(K7+M7)&gt;=46))),N7&lt;33,O7&lt;33,P7&lt;8.25,R7&lt;33,S7&lt;33),0,MIN(5,ROUND((IF((C7+D7)/200*100&gt;=80,5,IF((C7+D7)/200*100&gt;=70,4,IF((C7+D7)/200*100&gt;=60,3.5,IF((C7+D7)/200*100&gt;=50,3,IF((C7+D7)/200*100&gt;=40,2,IF((C7+D7)/200*100&gt;=33,1,0))))))+IF((E7+F7)/200*100&gt;=80,5,IF((E7+F7)/200*100&gt;=70,4,IF((E7+F7)/200*100&gt;=60,3.5,IF((E7+F7)/200*100&gt;=50,3,IF((E7+F7)/200*100&gt;=40,2,IF((E7+F7)/200*100&gt;=33,1,0))))))+IF(G7&gt;=80,5,IF(G7&gt;=70,4,IF(G7&gt;=60,3.5,IF(G7&gt;=50,3,IF(G7&gt;=40,2,IF(G7&gt;=33,1,0))))))+IF((H7+I7)/200*100&gt;=80,5,IF((H7+I7)/200*100&gt;=70,4,IF((H7+I7)/200*100&gt;=60,3.5,IF((H7+I7)/200*100&gt;=50,3,IF((H7+I7)/200*100&gt;=40,2,IF((H7+I7)/200*100&gt;=33,1,0))))))+IF((J7+K7)/200*100&gt;=80,5,IF((J7+K7)/200*100&gt;=70,4,IF((J7+K7)/200*100&gt;=60,3.5,IF((J7+K7)/200*100&gt;=50,3,IF((J7+K7)/200*100&gt;=40,2,IF((J7+K7)/200*100&gt;=33,1,0))))))+IF(L7&gt;=80,5,IF(L7&gt;=70,4,IF(L7&gt;=60,3.5,IF(L7&gt;=50,3,IF(L7&gt;=40,2,IF(L7&gt;=33,1,0))))))+IF(M7&gt;=80,5,IF(M7&gt;=70,4,IF(M7&gt;=60,3.5,IF(M7&gt;=50,3,IF(M7&gt;=40,2,IF(M7&gt;=33,1,0))))))+IF(N7/50*100&gt;=80,5,IF(N7/50*100&gt;=70,4,IF(N7/50*100&gt;=60,3.5,IF(N7/50*100&gt;=50,3,IF(N7/50*100&gt;=40,2,IF(N7/50*100&gt;=33,1,0)))))))/8+IF(IF(O7&gt;=80,5,IF(O7&gt;=70,4,IF(O7&gt;=60,3.5,IF(O7&gt;=50,3,IF(O7&gt;=40,2,IF(O7&gt;=33,1,0))))))&gt;=2,(IF(O7&gt;=80,5,IF(O7&gt;=70,4,IF(O7&gt;=60,3.5,IF(O7&gt;=50,3,IF(O7&gt;=40,2,IF(O7&gt;=33,1,0))))))-2)/8,0),2)))</f>
        <v/>
      </c>
      <c r="U7" s="6">
        <f>IF(T7&gt;=5,"A+",IF(T7&gt;=4,"A",IF(T7&gt;=3.5,"A-",IF(T7&gt;=3,"B",IF(T7&gt;=2,"C",IF(T7&gt;=1,"D","F"))))))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4" t="n">
        <v>11</v>
      </c>
      <c r="K8" s="5" t="n">
        <v>54</v>
      </c>
      <c r="L8" s="4" t="n">
        <v>12</v>
      </c>
      <c r="M8" s="4" t="n">
        <v>34</v>
      </c>
      <c r="N8" s="2" t="n">
        <v>70</v>
      </c>
      <c r="O8" s="2" t="n">
        <v>74</v>
      </c>
      <c r="P8" s="4" t="n">
        <v>34</v>
      </c>
      <c r="Q8" s="2" t="n">
        <v>75</v>
      </c>
      <c r="R8" t="n">
        <v>71</v>
      </c>
      <c r="S8" t="n">
        <v>93</v>
      </c>
      <c r="T8" s="6">
        <f>IF(OR((C8+D8)&lt;66,(E8+F8)&lt;66,G8&lt;33,(H8+I8)&lt;66,NOT(OR(AND(J8&gt;=10,K8&gt;=23,L8&gt;=10,M8&gt;=23),AND((J8+L8)&gt;=20,(K8+M8)&gt;=46))),N8&lt;33,O8&lt;33,P8&lt;8.25,R8&lt;33,S8&lt;33),0,MIN(5,ROUND((IF((C8+D8)/200*100&gt;=80,5,IF((C8+D8)/200*100&gt;=70,4,IF((C8+D8)/200*100&gt;=60,3.5,IF((C8+D8)/200*100&gt;=50,3,IF((C8+D8)/200*100&gt;=40,2,IF((C8+D8)/200*100&gt;=33,1,0))))))+IF((E8+F8)/200*100&gt;=80,5,IF((E8+F8)/200*100&gt;=70,4,IF((E8+F8)/200*100&gt;=60,3.5,IF((E8+F8)/200*100&gt;=50,3,IF((E8+F8)/200*100&gt;=40,2,IF((E8+F8)/200*100&gt;=33,1,0))))))+IF(G8&gt;=80,5,IF(G8&gt;=70,4,IF(G8&gt;=60,3.5,IF(G8&gt;=50,3,IF(G8&gt;=40,2,IF(G8&gt;=33,1,0))))))+IF((H8+I8)/200*100&gt;=80,5,IF((H8+I8)/200*100&gt;=70,4,IF((H8+I8)/200*100&gt;=60,3.5,IF((H8+I8)/200*100&gt;=50,3,IF((H8+I8)/200*100&gt;=40,2,IF((H8+I8)/200*100&gt;=33,1,0))))))+IF((J8+K8)/200*100&gt;=80,5,IF((J8+K8)/200*100&gt;=70,4,IF((J8+K8)/200*100&gt;=60,3.5,IF((J8+K8)/200*100&gt;=50,3,IF((J8+K8)/200*100&gt;=40,2,IF((J8+K8)/200*100&gt;=33,1,0))))))+IF(L8&gt;=80,5,IF(L8&gt;=70,4,IF(L8&gt;=60,3.5,IF(L8&gt;=50,3,IF(L8&gt;=40,2,IF(L8&gt;=33,1,0))))))+IF(M8&gt;=80,5,IF(M8&gt;=70,4,IF(M8&gt;=60,3.5,IF(M8&gt;=50,3,IF(M8&gt;=40,2,IF(M8&gt;=33,1,0))))))+IF(N8/50*100&gt;=80,5,IF(N8/50*100&gt;=70,4,IF(N8/50*100&gt;=60,3.5,IF(N8/50*100&gt;=50,3,IF(N8/50*100&gt;=40,2,IF(N8/50*100&gt;=33,1,0)))))))/8+IF(IF(O8&gt;=80,5,IF(O8&gt;=70,4,IF(O8&gt;=60,3.5,IF(O8&gt;=50,3,IF(O8&gt;=40,2,IF(O8&gt;=33,1,0))))))&gt;=2,(IF(O8&gt;=80,5,IF(O8&gt;=70,4,IF(O8&gt;=60,3.5,IF(O8&gt;=50,3,IF(O8&gt;=40,2,IF(O8&gt;=33,1,0))))))-2)/8,0),2)))</f>
        <v/>
      </c>
      <c r="U8" s="6">
        <f>IF(T8&gt;=5,"A+",IF(T8&gt;=4,"A",IF(T8&gt;=3.5,"A-",IF(T8&gt;=3,"B",IF(T8&gt;=2,"C",IF(T8&gt;=1,"D","F"))))))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4" t="n">
        <v>17</v>
      </c>
      <c r="K9" s="5" t="n">
        <v>53</v>
      </c>
      <c r="L9" s="4" t="n">
        <v>23</v>
      </c>
      <c r="M9" s="4" t="n">
        <v>24</v>
      </c>
      <c r="N9" s="2" t="n">
        <v>72</v>
      </c>
      <c r="O9" s="3" t="n">
        <v>87</v>
      </c>
      <c r="P9" s="5" t="n">
        <v>43</v>
      </c>
      <c r="Q9" s="5" t="n">
        <v>53</v>
      </c>
      <c r="R9" t="n">
        <v>93</v>
      </c>
      <c r="S9" t="n">
        <v>82</v>
      </c>
      <c r="T9" s="6">
        <f>IF(OR((C9+D9)&lt;66,(E9+F9)&lt;66,G9&lt;33,(H9+I9)&lt;66,NOT(OR(AND(J9&gt;=10,K9&gt;=23,L9&gt;=10,M9&gt;=23),AND((J9+L9)&gt;=20,(K9+M9)&gt;=46))),N9&lt;33,O9&lt;33,P9&lt;8.25,R9&lt;33,S9&lt;33),0,MIN(5,ROUND((IF((C9+D9)/200*100&gt;=80,5,IF((C9+D9)/200*100&gt;=70,4,IF((C9+D9)/200*100&gt;=60,3.5,IF((C9+D9)/200*100&gt;=50,3,IF((C9+D9)/200*100&gt;=40,2,IF((C9+D9)/200*100&gt;=33,1,0))))))+IF((E9+F9)/200*100&gt;=80,5,IF((E9+F9)/200*100&gt;=70,4,IF((E9+F9)/200*100&gt;=60,3.5,IF((E9+F9)/200*100&gt;=50,3,IF((E9+F9)/200*100&gt;=40,2,IF((E9+F9)/200*100&gt;=33,1,0))))))+IF(G9&gt;=80,5,IF(G9&gt;=70,4,IF(G9&gt;=60,3.5,IF(G9&gt;=50,3,IF(G9&gt;=40,2,IF(G9&gt;=33,1,0))))))+IF((H9+I9)/200*100&gt;=80,5,IF((H9+I9)/200*100&gt;=70,4,IF((H9+I9)/200*100&gt;=60,3.5,IF((H9+I9)/200*100&gt;=50,3,IF((H9+I9)/200*100&gt;=40,2,IF((H9+I9)/200*100&gt;=33,1,0))))))+IF((J9+K9)/200*100&gt;=80,5,IF((J9+K9)/200*100&gt;=70,4,IF((J9+K9)/200*100&gt;=60,3.5,IF((J9+K9)/200*100&gt;=50,3,IF((J9+K9)/200*100&gt;=40,2,IF((J9+K9)/200*100&gt;=33,1,0))))))+IF(L9&gt;=80,5,IF(L9&gt;=70,4,IF(L9&gt;=60,3.5,IF(L9&gt;=50,3,IF(L9&gt;=40,2,IF(L9&gt;=33,1,0))))))+IF(M9&gt;=80,5,IF(M9&gt;=70,4,IF(M9&gt;=60,3.5,IF(M9&gt;=50,3,IF(M9&gt;=40,2,IF(M9&gt;=33,1,0))))))+IF(N9/50*100&gt;=80,5,IF(N9/50*100&gt;=70,4,IF(N9/50*100&gt;=60,3.5,IF(N9/50*100&gt;=50,3,IF(N9/50*100&gt;=40,2,IF(N9/50*100&gt;=33,1,0)))))))/8+IF(IF(O9&gt;=80,5,IF(O9&gt;=70,4,IF(O9&gt;=60,3.5,IF(O9&gt;=50,3,IF(O9&gt;=40,2,IF(O9&gt;=33,1,0))))))&gt;=2,(IF(O9&gt;=80,5,IF(O9&gt;=70,4,IF(O9&gt;=60,3.5,IF(O9&gt;=50,3,IF(O9&gt;=40,2,IF(O9&gt;=33,1,0))))))-2)/8,0),2)))</f>
        <v/>
      </c>
      <c r="U9" s="6">
        <f>IF(T9&gt;=5,"A+",IF(T9&gt;=4,"A",IF(T9&gt;=3.5,"A-",IF(T9&gt;=3,"B",IF(T9&gt;=2,"C",IF(T9&gt;=1,"D","F"))))))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4" t="n">
        <v>21</v>
      </c>
      <c r="K10" s="4" t="n">
        <v>20</v>
      </c>
      <c r="L10" s="4" t="n">
        <v>25</v>
      </c>
      <c r="M10" s="5" t="n">
        <v>41</v>
      </c>
      <c r="N10" s="3" t="n">
        <v>86</v>
      </c>
      <c r="O10" s="3" t="n">
        <v>83</v>
      </c>
      <c r="P10" s="4" t="n">
        <v>35</v>
      </c>
      <c r="Q10" s="2" t="n">
        <v>60</v>
      </c>
      <c r="R10" t="n">
        <v>80</v>
      </c>
      <c r="S10" t="n">
        <v>93</v>
      </c>
      <c r="T10" s="6">
        <f>IF(OR((C10+D10)&lt;66,(E10+F10)&lt;66,G10&lt;33,(H10+I10)&lt;66,NOT(OR(AND(J10&gt;=10,K10&gt;=23,L10&gt;=10,M10&gt;=23),AND((J10+L10)&gt;=20,(K10+M10)&gt;=46))),N10&lt;33,O10&lt;33,P10&lt;8.25,R10&lt;33,S10&lt;33),0,MIN(5,ROUND((IF((C10+D10)/200*100&gt;=80,5,IF((C10+D10)/200*100&gt;=70,4,IF((C10+D10)/200*100&gt;=60,3.5,IF((C10+D10)/200*100&gt;=50,3,IF((C10+D10)/200*100&gt;=40,2,IF((C10+D10)/200*100&gt;=33,1,0))))))+IF((E10+F10)/200*100&gt;=80,5,IF((E10+F10)/200*100&gt;=70,4,IF((E10+F10)/200*100&gt;=60,3.5,IF((E10+F10)/200*100&gt;=50,3,IF((E10+F10)/200*100&gt;=40,2,IF((E10+F10)/200*100&gt;=33,1,0))))))+IF(G10&gt;=80,5,IF(G10&gt;=70,4,IF(G10&gt;=60,3.5,IF(G10&gt;=50,3,IF(G10&gt;=40,2,IF(G10&gt;=33,1,0))))))+IF((H10+I10)/200*100&gt;=80,5,IF((H10+I10)/200*100&gt;=70,4,IF((H10+I10)/200*100&gt;=60,3.5,IF((H10+I10)/200*100&gt;=50,3,IF((H10+I10)/200*100&gt;=40,2,IF((H10+I10)/200*100&gt;=33,1,0))))))+IF((J10+K10)/200*100&gt;=80,5,IF((J10+K10)/200*100&gt;=70,4,IF((J10+K10)/200*100&gt;=60,3.5,IF((J10+K10)/200*100&gt;=50,3,IF((J10+K10)/200*100&gt;=40,2,IF((J10+K10)/200*100&gt;=33,1,0))))))+IF(L10&gt;=80,5,IF(L10&gt;=70,4,IF(L10&gt;=60,3.5,IF(L10&gt;=50,3,IF(L10&gt;=40,2,IF(L10&gt;=33,1,0))))))+IF(M10&gt;=80,5,IF(M10&gt;=70,4,IF(M10&gt;=60,3.5,IF(M10&gt;=50,3,IF(M10&gt;=40,2,IF(M10&gt;=33,1,0))))))+IF(N10/50*100&gt;=80,5,IF(N10/50*100&gt;=70,4,IF(N10/50*100&gt;=60,3.5,IF(N10/50*100&gt;=50,3,IF(N10/50*100&gt;=40,2,IF(N10/50*100&gt;=33,1,0)))))))/8+IF(IF(O10&gt;=80,5,IF(O10&gt;=70,4,IF(O10&gt;=60,3.5,IF(O10&gt;=50,3,IF(O10&gt;=40,2,IF(O10&gt;=33,1,0))))))&gt;=2,(IF(O10&gt;=80,5,IF(O10&gt;=70,4,IF(O10&gt;=60,3.5,IF(O10&gt;=50,3,IF(O10&gt;=40,2,IF(O10&gt;=33,1,0))))))-2)/8,0),2)))</f>
        <v/>
      </c>
      <c r="U10" s="6">
        <f>IF(T10&gt;=5,"A+",IF(T10&gt;=4,"A",IF(T10&gt;=3.5,"A-",IF(T10&gt;=3,"B",IF(T10&gt;=2,"C",IF(T10&gt;=1,"D","F"))))))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4" t="n">
        <v>13</v>
      </c>
      <c r="K11" s="5" t="n">
        <v>58</v>
      </c>
      <c r="L11" s="4" t="n">
        <v>13</v>
      </c>
      <c r="M11" s="4" t="n">
        <v>21</v>
      </c>
      <c r="N11" s="2" t="n">
        <v>68</v>
      </c>
      <c r="O11" s="2" t="n">
        <v>61</v>
      </c>
      <c r="P11" s="4" t="n">
        <v>38</v>
      </c>
      <c r="Q11" s="2" t="n">
        <v>74</v>
      </c>
      <c r="R11" t="n">
        <v>71</v>
      </c>
      <c r="S11" t="n">
        <v>94</v>
      </c>
      <c r="T11" s="6">
        <f>IF(OR((C11+D11)&lt;66,(E11+F11)&lt;66,G11&lt;33,(H11+I11)&lt;66,NOT(OR(AND(J11&gt;=10,K11&gt;=23,L11&gt;=10,M11&gt;=23),AND((J11+L11)&gt;=20,(K11+M11)&gt;=46))),N11&lt;33,O11&lt;33,P11&lt;8.25,R11&lt;33,S11&lt;33),0,MIN(5,ROUND((IF((C11+D11)/200*100&gt;=80,5,IF((C11+D11)/200*100&gt;=70,4,IF((C11+D11)/200*100&gt;=60,3.5,IF((C11+D11)/200*100&gt;=50,3,IF((C11+D11)/200*100&gt;=40,2,IF((C11+D11)/200*100&gt;=33,1,0))))))+IF((E11+F11)/200*100&gt;=80,5,IF((E11+F11)/200*100&gt;=70,4,IF((E11+F11)/200*100&gt;=60,3.5,IF((E11+F11)/200*100&gt;=50,3,IF((E11+F11)/200*100&gt;=40,2,IF((E11+F11)/200*100&gt;=33,1,0))))))+IF(G11&gt;=80,5,IF(G11&gt;=70,4,IF(G11&gt;=60,3.5,IF(G11&gt;=50,3,IF(G11&gt;=40,2,IF(G11&gt;=33,1,0))))))+IF((H11+I11)/200*100&gt;=80,5,IF((H11+I11)/200*100&gt;=70,4,IF((H11+I11)/200*100&gt;=60,3.5,IF((H11+I11)/200*100&gt;=50,3,IF((H11+I11)/200*100&gt;=40,2,IF((H11+I11)/200*100&gt;=33,1,0))))))+IF((J11+K11)/200*100&gt;=80,5,IF((J11+K11)/200*100&gt;=70,4,IF((J11+K11)/200*100&gt;=60,3.5,IF((J11+K11)/200*100&gt;=50,3,IF((J11+K11)/200*100&gt;=40,2,IF((J11+K11)/200*100&gt;=33,1,0))))))+IF(L11&gt;=80,5,IF(L11&gt;=70,4,IF(L11&gt;=60,3.5,IF(L11&gt;=50,3,IF(L11&gt;=40,2,IF(L11&gt;=33,1,0))))))+IF(M11&gt;=80,5,IF(M11&gt;=70,4,IF(M11&gt;=60,3.5,IF(M11&gt;=50,3,IF(M11&gt;=40,2,IF(M11&gt;=33,1,0))))))+IF(N11/50*100&gt;=80,5,IF(N11/50*100&gt;=70,4,IF(N11/50*100&gt;=60,3.5,IF(N11/50*100&gt;=50,3,IF(N11/50*100&gt;=40,2,IF(N11/50*100&gt;=33,1,0)))))))/8+IF(IF(O11&gt;=80,5,IF(O11&gt;=70,4,IF(O11&gt;=60,3.5,IF(O11&gt;=50,3,IF(O11&gt;=40,2,IF(O11&gt;=33,1,0))))))&gt;=2,(IF(O11&gt;=80,5,IF(O11&gt;=70,4,IF(O11&gt;=60,3.5,IF(O11&gt;=50,3,IF(O11&gt;=40,2,IF(O11&gt;=33,1,0))))))-2)/8,0),2)))</f>
        <v/>
      </c>
      <c r="U11" s="6">
        <f>IF(T11&gt;=5,"A+",IF(T11&gt;=4,"A",IF(T11&gt;=3.5,"A-",IF(T11&gt;=3,"B",IF(T11&gt;=2,"C",IF(T11&gt;=1,"D","F"))))))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4" t="n">
        <v>22</v>
      </c>
      <c r="K12" s="5" t="n">
        <v>40</v>
      </c>
      <c r="L12" s="4" t="n">
        <v>16</v>
      </c>
      <c r="M12" s="5" t="n">
        <v>57</v>
      </c>
      <c r="N12" s="3" t="n">
        <v>89</v>
      </c>
      <c r="O12" s="3" t="n">
        <v>81</v>
      </c>
      <c r="P12" s="5" t="n">
        <v>44</v>
      </c>
      <c r="Q12" s="5" t="n">
        <v>50</v>
      </c>
      <c r="R12" t="n">
        <v>71</v>
      </c>
      <c r="S12" t="n">
        <v>76</v>
      </c>
      <c r="T12" s="6">
        <f>IF(OR((C12+D12)&lt;66,(E12+F12)&lt;66,G12&lt;33,(H12+I12)&lt;66,NOT(OR(AND(J12&gt;=10,K12&gt;=23,L12&gt;=10,M12&gt;=23),AND((J12+L12)&gt;=20,(K12+M12)&gt;=46))),N12&lt;33,O12&lt;33,P12&lt;8.25,R12&lt;33,S12&lt;33),0,MIN(5,ROUND((IF((C12+D12)/200*100&gt;=80,5,IF((C12+D12)/200*100&gt;=70,4,IF((C12+D12)/200*100&gt;=60,3.5,IF((C12+D12)/200*100&gt;=50,3,IF((C12+D12)/200*100&gt;=40,2,IF((C12+D12)/200*100&gt;=33,1,0))))))+IF((E12+F12)/200*100&gt;=80,5,IF((E12+F12)/200*100&gt;=70,4,IF((E12+F12)/200*100&gt;=60,3.5,IF((E12+F12)/200*100&gt;=50,3,IF((E12+F12)/200*100&gt;=40,2,IF((E12+F12)/200*100&gt;=33,1,0))))))+IF(G12&gt;=80,5,IF(G12&gt;=70,4,IF(G12&gt;=60,3.5,IF(G12&gt;=50,3,IF(G12&gt;=40,2,IF(G12&gt;=33,1,0))))))+IF((H12+I12)/200*100&gt;=80,5,IF((H12+I12)/200*100&gt;=70,4,IF((H12+I12)/200*100&gt;=60,3.5,IF((H12+I12)/200*100&gt;=50,3,IF((H12+I12)/200*100&gt;=40,2,IF((H12+I12)/200*100&gt;=33,1,0))))))+IF((J12+K12)/200*100&gt;=80,5,IF((J12+K12)/200*100&gt;=70,4,IF((J12+K12)/200*100&gt;=60,3.5,IF((J12+K12)/200*100&gt;=50,3,IF((J12+K12)/200*100&gt;=40,2,IF((J12+K12)/200*100&gt;=33,1,0))))))+IF(L12&gt;=80,5,IF(L12&gt;=70,4,IF(L12&gt;=60,3.5,IF(L12&gt;=50,3,IF(L12&gt;=40,2,IF(L12&gt;=33,1,0))))))+IF(M12&gt;=80,5,IF(M12&gt;=70,4,IF(M12&gt;=60,3.5,IF(M12&gt;=50,3,IF(M12&gt;=40,2,IF(M12&gt;=33,1,0))))))+IF(N12/50*100&gt;=80,5,IF(N12/50*100&gt;=70,4,IF(N12/50*100&gt;=60,3.5,IF(N12/50*100&gt;=50,3,IF(N12/50*100&gt;=40,2,IF(N12/50*100&gt;=33,1,0)))))))/8+IF(IF(O12&gt;=80,5,IF(O12&gt;=70,4,IF(O12&gt;=60,3.5,IF(O12&gt;=50,3,IF(O12&gt;=40,2,IF(O12&gt;=33,1,0))))))&gt;=2,(IF(O12&gt;=80,5,IF(O12&gt;=70,4,IF(O12&gt;=60,3.5,IF(O12&gt;=50,3,IF(O12&gt;=40,2,IF(O12&gt;=33,1,0))))))-2)/8,0),2)))</f>
        <v/>
      </c>
      <c r="U12" s="6">
        <f>IF(T12&gt;=5,"A+",IF(T12&gt;=4,"A",IF(T12&gt;=3.5,"A-",IF(T12&gt;=3,"B",IF(T12&gt;=2,"C",IF(T12&gt;=1,"D","F"))))))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4" t="n">
        <v>8</v>
      </c>
      <c r="K13" s="5" t="n">
        <v>51</v>
      </c>
      <c r="L13" s="4" t="n">
        <v>24</v>
      </c>
      <c r="M13" s="5" t="n">
        <v>55</v>
      </c>
      <c r="N13" s="2" t="n">
        <v>63</v>
      </c>
      <c r="O13" s="3" t="n">
        <v>80</v>
      </c>
      <c r="P13" s="4" t="n">
        <v>37</v>
      </c>
      <c r="Q13" s="2" t="n">
        <v>74</v>
      </c>
      <c r="R13" t="n">
        <v>88</v>
      </c>
      <c r="S13" t="n">
        <v>94</v>
      </c>
      <c r="T13" s="6">
        <f>IF(OR((C13+D13)&lt;66,(E13+F13)&lt;66,G13&lt;33,(H13+I13)&lt;66,NOT(OR(AND(J13&gt;=10,K13&gt;=23,L13&gt;=10,M13&gt;=23),AND((J13+L13)&gt;=20,(K13+M13)&gt;=46))),N13&lt;33,O13&lt;33,P13&lt;8.25,R13&lt;33,S13&lt;33),0,MIN(5,ROUND((IF((C13+D13)/200*100&gt;=80,5,IF((C13+D13)/200*100&gt;=70,4,IF((C13+D13)/200*100&gt;=60,3.5,IF((C13+D13)/200*100&gt;=50,3,IF((C13+D13)/200*100&gt;=40,2,IF((C13+D13)/200*100&gt;=33,1,0))))))+IF((E13+F13)/200*100&gt;=80,5,IF((E13+F13)/200*100&gt;=70,4,IF((E13+F13)/200*100&gt;=60,3.5,IF((E13+F13)/200*100&gt;=50,3,IF((E13+F13)/200*100&gt;=40,2,IF((E13+F13)/200*100&gt;=33,1,0))))))+IF(G13&gt;=80,5,IF(G13&gt;=70,4,IF(G13&gt;=60,3.5,IF(G13&gt;=50,3,IF(G13&gt;=40,2,IF(G13&gt;=33,1,0))))))+IF((H13+I13)/200*100&gt;=80,5,IF((H13+I13)/200*100&gt;=70,4,IF((H13+I13)/200*100&gt;=60,3.5,IF((H13+I13)/200*100&gt;=50,3,IF((H13+I13)/200*100&gt;=40,2,IF((H13+I13)/200*100&gt;=33,1,0))))))+IF((J13+K13)/200*100&gt;=80,5,IF((J13+K13)/200*100&gt;=70,4,IF((J13+K13)/200*100&gt;=60,3.5,IF((J13+K13)/200*100&gt;=50,3,IF((J13+K13)/200*100&gt;=40,2,IF((J13+K13)/200*100&gt;=33,1,0))))))+IF(L13&gt;=80,5,IF(L13&gt;=70,4,IF(L13&gt;=60,3.5,IF(L13&gt;=50,3,IF(L13&gt;=40,2,IF(L13&gt;=33,1,0))))))+IF(M13&gt;=80,5,IF(M13&gt;=70,4,IF(M13&gt;=60,3.5,IF(M13&gt;=50,3,IF(M13&gt;=40,2,IF(M13&gt;=33,1,0))))))+IF(N13/50*100&gt;=80,5,IF(N13/50*100&gt;=70,4,IF(N13/50*100&gt;=60,3.5,IF(N13/50*100&gt;=50,3,IF(N13/50*100&gt;=40,2,IF(N13/50*100&gt;=33,1,0)))))))/8+IF(IF(O13&gt;=80,5,IF(O13&gt;=70,4,IF(O13&gt;=60,3.5,IF(O13&gt;=50,3,IF(O13&gt;=40,2,IF(O13&gt;=33,1,0))))))&gt;=2,(IF(O13&gt;=80,5,IF(O13&gt;=70,4,IF(O13&gt;=60,3.5,IF(O13&gt;=50,3,IF(O13&gt;=40,2,IF(O13&gt;=33,1,0))))))-2)/8,0),2)))</f>
        <v/>
      </c>
      <c r="U13" s="6">
        <f>IF(T13&gt;=5,"A+",IF(T13&gt;=4,"A",IF(T13&gt;=3.5,"A-",IF(T13&gt;=3,"B",IF(T13&gt;=2,"C",IF(T13&gt;=1,"D","F"))))))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4" t="n">
        <v>16</v>
      </c>
      <c r="K14" s="4" t="n">
        <v>21</v>
      </c>
      <c r="L14" s="4" t="n">
        <v>27</v>
      </c>
      <c r="M14" s="4" t="n">
        <v>34</v>
      </c>
      <c r="N14" s="3" t="n">
        <v>91</v>
      </c>
      <c r="O14" s="3" t="n">
        <v>80</v>
      </c>
      <c r="P14" s="4" t="n">
        <v>32</v>
      </c>
      <c r="Q14" s="2" t="n">
        <v>66</v>
      </c>
      <c r="R14" t="n">
        <v>85</v>
      </c>
      <c r="S14" t="n">
        <v>77</v>
      </c>
      <c r="T14" s="6">
        <f>IF(OR((C14+D14)&lt;66,(E14+F14)&lt;66,G14&lt;33,(H14+I14)&lt;66,NOT(OR(AND(J14&gt;=10,K14&gt;=23,L14&gt;=10,M14&gt;=23),AND((J14+L14)&gt;=20,(K14+M14)&gt;=46))),N14&lt;33,O14&lt;33,P14&lt;8.25,R14&lt;33,S14&lt;33),0,MIN(5,ROUND((IF((C14+D14)/200*100&gt;=80,5,IF((C14+D14)/200*100&gt;=70,4,IF((C14+D14)/200*100&gt;=60,3.5,IF((C14+D14)/200*100&gt;=50,3,IF((C14+D14)/200*100&gt;=40,2,IF((C14+D14)/200*100&gt;=33,1,0))))))+IF((E14+F14)/200*100&gt;=80,5,IF((E14+F14)/200*100&gt;=70,4,IF((E14+F14)/200*100&gt;=60,3.5,IF((E14+F14)/200*100&gt;=50,3,IF((E14+F14)/200*100&gt;=40,2,IF((E14+F14)/200*100&gt;=33,1,0))))))+IF(G14&gt;=80,5,IF(G14&gt;=70,4,IF(G14&gt;=60,3.5,IF(G14&gt;=50,3,IF(G14&gt;=40,2,IF(G14&gt;=33,1,0))))))+IF((H14+I14)/200*100&gt;=80,5,IF((H14+I14)/200*100&gt;=70,4,IF((H14+I14)/200*100&gt;=60,3.5,IF((H14+I14)/200*100&gt;=50,3,IF((H14+I14)/200*100&gt;=40,2,IF((H14+I14)/200*100&gt;=33,1,0))))))+IF((J14+K14)/200*100&gt;=80,5,IF((J14+K14)/200*100&gt;=70,4,IF((J14+K14)/200*100&gt;=60,3.5,IF((J14+K14)/200*100&gt;=50,3,IF((J14+K14)/200*100&gt;=40,2,IF((J14+K14)/200*100&gt;=33,1,0))))))+IF(L14&gt;=80,5,IF(L14&gt;=70,4,IF(L14&gt;=60,3.5,IF(L14&gt;=50,3,IF(L14&gt;=40,2,IF(L14&gt;=33,1,0))))))+IF(M14&gt;=80,5,IF(M14&gt;=70,4,IF(M14&gt;=60,3.5,IF(M14&gt;=50,3,IF(M14&gt;=40,2,IF(M14&gt;=33,1,0))))))+IF(N14/50*100&gt;=80,5,IF(N14/50*100&gt;=70,4,IF(N14/50*100&gt;=60,3.5,IF(N14/50*100&gt;=50,3,IF(N14/50*100&gt;=40,2,IF(N14/50*100&gt;=33,1,0)))))))/8+IF(IF(O14&gt;=80,5,IF(O14&gt;=70,4,IF(O14&gt;=60,3.5,IF(O14&gt;=50,3,IF(O14&gt;=40,2,IF(O14&gt;=33,1,0))))))&gt;=2,(IF(O14&gt;=80,5,IF(O14&gt;=70,4,IF(O14&gt;=60,3.5,IF(O14&gt;=50,3,IF(O14&gt;=40,2,IF(O14&gt;=33,1,0))))))-2)/8,0),2)))</f>
        <v/>
      </c>
      <c r="U14" s="6">
        <f>IF(T14&gt;=5,"A+",IF(T14&gt;=4,"A",IF(T14&gt;=3.5,"A-",IF(T14&gt;=3,"B",IF(T14&gt;=2,"C",IF(T14&gt;=1,"D","F"))))))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4" t="n">
        <v>24</v>
      </c>
      <c r="K15" s="4" t="n">
        <v>27</v>
      </c>
      <c r="L15" s="4" t="n">
        <v>21</v>
      </c>
      <c r="M15" s="5" t="n">
        <v>57</v>
      </c>
      <c r="N15" s="3" t="n">
        <v>91</v>
      </c>
      <c r="O15" s="2" t="n">
        <v>63</v>
      </c>
      <c r="P15" s="5" t="n">
        <v>44</v>
      </c>
      <c r="Q15" s="2" t="n">
        <v>79</v>
      </c>
      <c r="R15" t="n">
        <v>86</v>
      </c>
      <c r="S15" t="n">
        <v>88</v>
      </c>
      <c r="T15" s="6">
        <f>IF(OR((C15+D15)&lt;66,(E15+F15)&lt;66,G15&lt;33,(H15+I15)&lt;66,NOT(OR(AND(J15&gt;=10,K15&gt;=23,L15&gt;=10,M15&gt;=23),AND((J15+L15)&gt;=20,(K15+M15)&gt;=46))),N15&lt;33,O15&lt;33,P15&lt;8.25,R15&lt;33,S15&lt;33),0,MIN(5,ROUND((IF((C15+D15)/200*100&gt;=80,5,IF((C15+D15)/200*100&gt;=70,4,IF((C15+D15)/200*100&gt;=60,3.5,IF((C15+D15)/200*100&gt;=50,3,IF((C15+D15)/200*100&gt;=40,2,IF((C15+D15)/200*100&gt;=33,1,0))))))+IF((E15+F15)/200*100&gt;=80,5,IF((E15+F15)/200*100&gt;=70,4,IF((E15+F15)/200*100&gt;=60,3.5,IF((E15+F15)/200*100&gt;=50,3,IF((E15+F15)/200*100&gt;=40,2,IF((E15+F15)/200*100&gt;=33,1,0))))))+IF(G15&gt;=80,5,IF(G15&gt;=70,4,IF(G15&gt;=60,3.5,IF(G15&gt;=50,3,IF(G15&gt;=40,2,IF(G15&gt;=33,1,0))))))+IF((H15+I15)/200*100&gt;=80,5,IF((H15+I15)/200*100&gt;=70,4,IF((H15+I15)/200*100&gt;=60,3.5,IF((H15+I15)/200*100&gt;=50,3,IF((H15+I15)/200*100&gt;=40,2,IF((H15+I15)/200*100&gt;=33,1,0))))))+IF((J15+K15)/200*100&gt;=80,5,IF((J15+K15)/200*100&gt;=70,4,IF((J15+K15)/200*100&gt;=60,3.5,IF((J15+K15)/200*100&gt;=50,3,IF((J15+K15)/200*100&gt;=40,2,IF((J15+K15)/200*100&gt;=33,1,0))))))+IF(L15&gt;=80,5,IF(L15&gt;=70,4,IF(L15&gt;=60,3.5,IF(L15&gt;=50,3,IF(L15&gt;=40,2,IF(L15&gt;=33,1,0))))))+IF(M15&gt;=80,5,IF(M15&gt;=70,4,IF(M15&gt;=60,3.5,IF(M15&gt;=50,3,IF(M15&gt;=40,2,IF(M15&gt;=33,1,0))))))+IF(N15/50*100&gt;=80,5,IF(N15/50*100&gt;=70,4,IF(N15/50*100&gt;=60,3.5,IF(N15/50*100&gt;=50,3,IF(N15/50*100&gt;=40,2,IF(N15/50*100&gt;=33,1,0)))))))/8+IF(IF(O15&gt;=80,5,IF(O15&gt;=70,4,IF(O15&gt;=60,3.5,IF(O15&gt;=50,3,IF(O15&gt;=40,2,IF(O15&gt;=33,1,0))))))&gt;=2,(IF(O15&gt;=80,5,IF(O15&gt;=70,4,IF(O15&gt;=60,3.5,IF(O15&gt;=50,3,IF(O15&gt;=40,2,IF(O15&gt;=33,1,0))))))-2)/8,0),2)))</f>
        <v/>
      </c>
      <c r="U15" s="6">
        <f>IF(T15&gt;=5,"A+",IF(T15&gt;=4,"A",IF(T15&gt;=3.5,"A-",IF(T15&gt;=3,"B",IF(T15&gt;=2,"C",IF(T15&gt;=1,"D","F"))))))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4" t="n">
        <v>13</v>
      </c>
      <c r="K16" s="5" t="n">
        <v>43</v>
      </c>
      <c r="L16" s="4" t="n">
        <v>14</v>
      </c>
      <c r="M16" s="4" t="n">
        <v>34</v>
      </c>
      <c r="N16" s="3" t="n">
        <v>85</v>
      </c>
      <c r="O16" s="2" t="n">
        <v>61</v>
      </c>
      <c r="P16" s="5" t="n">
        <v>47</v>
      </c>
      <c r="Q16" s="2" t="n">
        <v>68</v>
      </c>
      <c r="R16" t="n">
        <v>86</v>
      </c>
      <c r="S16" t="n">
        <v>93</v>
      </c>
      <c r="T16" s="6">
        <f>IF(OR((C16+D16)&lt;66,(E16+F16)&lt;66,G16&lt;33,(H16+I16)&lt;66,NOT(OR(AND(J16&gt;=10,K16&gt;=23,L16&gt;=10,M16&gt;=23),AND((J16+L16)&gt;=20,(K16+M16)&gt;=46))),N16&lt;33,O16&lt;33,P16&lt;8.25,R16&lt;33,S16&lt;33),0,MIN(5,ROUND((IF((C16+D16)/200*100&gt;=80,5,IF((C16+D16)/200*100&gt;=70,4,IF((C16+D16)/200*100&gt;=60,3.5,IF((C16+D16)/200*100&gt;=50,3,IF((C16+D16)/200*100&gt;=40,2,IF((C16+D16)/200*100&gt;=33,1,0))))))+IF((E16+F16)/200*100&gt;=80,5,IF((E16+F16)/200*100&gt;=70,4,IF((E16+F16)/200*100&gt;=60,3.5,IF((E16+F16)/200*100&gt;=50,3,IF((E16+F16)/200*100&gt;=40,2,IF((E16+F16)/200*100&gt;=33,1,0))))))+IF(G16&gt;=80,5,IF(G16&gt;=70,4,IF(G16&gt;=60,3.5,IF(G16&gt;=50,3,IF(G16&gt;=40,2,IF(G16&gt;=33,1,0))))))+IF((H16+I16)/200*100&gt;=80,5,IF((H16+I16)/200*100&gt;=70,4,IF((H16+I16)/200*100&gt;=60,3.5,IF((H16+I16)/200*100&gt;=50,3,IF((H16+I16)/200*100&gt;=40,2,IF((H16+I16)/200*100&gt;=33,1,0))))))+IF((J16+K16)/200*100&gt;=80,5,IF((J16+K16)/200*100&gt;=70,4,IF((J16+K16)/200*100&gt;=60,3.5,IF((J16+K16)/200*100&gt;=50,3,IF((J16+K16)/200*100&gt;=40,2,IF((J16+K16)/200*100&gt;=33,1,0))))))+IF(L16&gt;=80,5,IF(L16&gt;=70,4,IF(L16&gt;=60,3.5,IF(L16&gt;=50,3,IF(L16&gt;=40,2,IF(L16&gt;=33,1,0))))))+IF(M16&gt;=80,5,IF(M16&gt;=70,4,IF(M16&gt;=60,3.5,IF(M16&gt;=50,3,IF(M16&gt;=40,2,IF(M16&gt;=33,1,0))))))+IF(N16/50*100&gt;=80,5,IF(N16/50*100&gt;=70,4,IF(N16/50*100&gt;=60,3.5,IF(N16/50*100&gt;=50,3,IF(N16/50*100&gt;=40,2,IF(N16/50*100&gt;=33,1,0)))))))/8+IF(IF(O16&gt;=80,5,IF(O16&gt;=70,4,IF(O16&gt;=60,3.5,IF(O16&gt;=50,3,IF(O16&gt;=40,2,IF(O16&gt;=33,1,0))))))&gt;=2,(IF(O16&gt;=80,5,IF(O16&gt;=70,4,IF(O16&gt;=60,3.5,IF(O16&gt;=50,3,IF(O16&gt;=40,2,IF(O16&gt;=33,1,0))))))-2)/8,0),2)))</f>
        <v/>
      </c>
      <c r="U16" s="6">
        <f>IF(T16&gt;=5,"A+",IF(T16&gt;=4,"A",IF(T16&gt;=3.5,"A-",IF(T16&gt;=3,"B",IF(T16&gt;=2,"C",IF(T16&gt;=1,"D","F"))))))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4" t="n">
        <v>24</v>
      </c>
      <c r="K17" s="4" t="n">
        <v>39</v>
      </c>
      <c r="L17" s="4" t="n">
        <v>25</v>
      </c>
      <c r="M17" s="4" t="n">
        <v>20</v>
      </c>
      <c r="N17" s="2" t="n">
        <v>70</v>
      </c>
      <c r="O17" s="2" t="n">
        <v>72</v>
      </c>
      <c r="P17" s="4" t="n">
        <v>33</v>
      </c>
      <c r="Q17" s="2" t="n">
        <v>77</v>
      </c>
      <c r="R17" t="n">
        <v>75</v>
      </c>
      <c r="S17" t="n">
        <v>93</v>
      </c>
      <c r="T17" s="6">
        <f>IF(OR((C17+D17)&lt;66,(E17+F17)&lt;66,G17&lt;33,(H17+I17)&lt;66,NOT(OR(AND(J17&gt;=10,K17&gt;=23,L17&gt;=10,M17&gt;=23),AND((J17+L17)&gt;=20,(K17+M17)&gt;=46))),N17&lt;33,O17&lt;33,P17&lt;8.25,R17&lt;33,S17&lt;33),0,MIN(5,ROUND((IF((C17+D17)/200*100&gt;=80,5,IF((C17+D17)/200*100&gt;=70,4,IF((C17+D17)/200*100&gt;=60,3.5,IF((C17+D17)/200*100&gt;=50,3,IF((C17+D17)/200*100&gt;=40,2,IF((C17+D17)/200*100&gt;=33,1,0))))))+IF((E17+F17)/200*100&gt;=80,5,IF((E17+F17)/200*100&gt;=70,4,IF((E17+F17)/200*100&gt;=60,3.5,IF((E17+F17)/200*100&gt;=50,3,IF((E17+F17)/200*100&gt;=40,2,IF((E17+F17)/200*100&gt;=33,1,0))))))+IF(G17&gt;=80,5,IF(G17&gt;=70,4,IF(G17&gt;=60,3.5,IF(G17&gt;=50,3,IF(G17&gt;=40,2,IF(G17&gt;=33,1,0))))))+IF((H17+I17)/200*100&gt;=80,5,IF((H17+I17)/200*100&gt;=70,4,IF((H17+I17)/200*100&gt;=60,3.5,IF((H17+I17)/200*100&gt;=50,3,IF((H17+I17)/200*100&gt;=40,2,IF((H17+I17)/200*100&gt;=33,1,0))))))+IF((J17+K17)/200*100&gt;=80,5,IF((J17+K17)/200*100&gt;=70,4,IF((J17+K17)/200*100&gt;=60,3.5,IF((J17+K17)/200*100&gt;=50,3,IF((J17+K17)/200*100&gt;=40,2,IF((J17+K17)/200*100&gt;=33,1,0))))))+IF(L17&gt;=80,5,IF(L17&gt;=70,4,IF(L17&gt;=60,3.5,IF(L17&gt;=50,3,IF(L17&gt;=40,2,IF(L17&gt;=33,1,0))))))+IF(M17&gt;=80,5,IF(M17&gt;=70,4,IF(M17&gt;=60,3.5,IF(M17&gt;=50,3,IF(M17&gt;=40,2,IF(M17&gt;=33,1,0))))))+IF(N17/50*100&gt;=80,5,IF(N17/50*100&gt;=70,4,IF(N17/50*100&gt;=60,3.5,IF(N17/50*100&gt;=50,3,IF(N17/50*100&gt;=40,2,IF(N17/50*100&gt;=33,1,0)))))))/8+IF(IF(O17&gt;=80,5,IF(O17&gt;=70,4,IF(O17&gt;=60,3.5,IF(O17&gt;=50,3,IF(O17&gt;=40,2,IF(O17&gt;=33,1,0))))))&gt;=2,(IF(O17&gt;=80,5,IF(O17&gt;=70,4,IF(O17&gt;=60,3.5,IF(O17&gt;=50,3,IF(O17&gt;=40,2,IF(O17&gt;=33,1,0))))))-2)/8,0),2)))</f>
        <v/>
      </c>
      <c r="U17" s="6">
        <f>IF(T17&gt;=5,"A+",IF(T17&gt;=4,"A",IF(T17&gt;=3.5,"A-",IF(T17&gt;=3,"B",IF(T17&gt;=2,"C",IF(T17&gt;=1,"D","F"))))))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4" t="n">
        <v>11</v>
      </c>
      <c r="K18" s="4" t="n">
        <v>35</v>
      </c>
      <c r="L18" s="4" t="n">
        <v>14</v>
      </c>
      <c r="M18" s="4" t="n">
        <v>24</v>
      </c>
      <c r="N18" s="3" t="n">
        <v>85</v>
      </c>
      <c r="O18" s="3" t="n">
        <v>83</v>
      </c>
      <c r="P18" s="4" t="n">
        <v>31</v>
      </c>
      <c r="Q18" s="3" t="n">
        <v>85</v>
      </c>
      <c r="R18" t="n">
        <v>71</v>
      </c>
      <c r="S18" t="n">
        <v>91</v>
      </c>
      <c r="T18" s="6">
        <f>IF(OR((C18+D18)&lt;66,(E18+F18)&lt;66,G18&lt;33,(H18+I18)&lt;66,NOT(OR(AND(J18&gt;=10,K18&gt;=23,L18&gt;=10,M18&gt;=23),AND((J18+L18)&gt;=20,(K18+M18)&gt;=46))),N18&lt;33,O18&lt;33,P18&lt;8.25,R18&lt;33,S18&lt;33),0,MIN(5,ROUND((IF((C18+D18)/200*100&gt;=80,5,IF((C18+D18)/200*100&gt;=70,4,IF((C18+D18)/200*100&gt;=60,3.5,IF((C18+D18)/200*100&gt;=50,3,IF((C18+D18)/200*100&gt;=40,2,IF((C18+D18)/200*100&gt;=33,1,0))))))+IF((E18+F18)/200*100&gt;=80,5,IF((E18+F18)/200*100&gt;=70,4,IF((E18+F18)/200*100&gt;=60,3.5,IF((E18+F18)/200*100&gt;=50,3,IF((E18+F18)/200*100&gt;=40,2,IF((E18+F18)/200*100&gt;=33,1,0))))))+IF(G18&gt;=80,5,IF(G18&gt;=70,4,IF(G18&gt;=60,3.5,IF(G18&gt;=50,3,IF(G18&gt;=40,2,IF(G18&gt;=33,1,0))))))+IF((H18+I18)/200*100&gt;=80,5,IF((H18+I18)/200*100&gt;=70,4,IF((H18+I18)/200*100&gt;=60,3.5,IF((H18+I18)/200*100&gt;=50,3,IF((H18+I18)/200*100&gt;=40,2,IF((H18+I18)/200*100&gt;=33,1,0))))))+IF((J18+K18)/200*100&gt;=80,5,IF((J18+K18)/200*100&gt;=70,4,IF((J18+K18)/200*100&gt;=60,3.5,IF((J18+K18)/200*100&gt;=50,3,IF((J18+K18)/200*100&gt;=40,2,IF((J18+K18)/200*100&gt;=33,1,0))))))+IF(L18&gt;=80,5,IF(L18&gt;=70,4,IF(L18&gt;=60,3.5,IF(L18&gt;=50,3,IF(L18&gt;=40,2,IF(L18&gt;=33,1,0))))))+IF(M18&gt;=80,5,IF(M18&gt;=70,4,IF(M18&gt;=60,3.5,IF(M18&gt;=50,3,IF(M18&gt;=40,2,IF(M18&gt;=33,1,0))))))+IF(N18/50*100&gt;=80,5,IF(N18/50*100&gt;=70,4,IF(N18/50*100&gt;=60,3.5,IF(N18/50*100&gt;=50,3,IF(N18/50*100&gt;=40,2,IF(N18/50*100&gt;=33,1,0)))))))/8+IF(IF(O18&gt;=80,5,IF(O18&gt;=70,4,IF(O18&gt;=60,3.5,IF(O18&gt;=50,3,IF(O18&gt;=40,2,IF(O18&gt;=33,1,0))))))&gt;=2,(IF(O18&gt;=80,5,IF(O18&gt;=70,4,IF(O18&gt;=60,3.5,IF(O18&gt;=50,3,IF(O18&gt;=40,2,IF(O18&gt;=33,1,0))))))-2)/8,0),2)))</f>
        <v/>
      </c>
      <c r="U18" s="6">
        <f>IF(T18&gt;=5,"A+",IF(T18&gt;=4,"A",IF(T18&gt;=3.5,"A-",IF(T18&gt;=3,"B",IF(T18&gt;=2,"C",IF(T18&gt;=1,"D","F"))))))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4" t="n">
        <v>28</v>
      </c>
      <c r="K19" s="4" t="n">
        <v>23</v>
      </c>
      <c r="L19" s="4" t="n">
        <v>17</v>
      </c>
      <c r="M19" s="2" t="n">
        <v>65</v>
      </c>
      <c r="N19" s="3" t="n">
        <v>81</v>
      </c>
      <c r="O19" s="2" t="n">
        <v>70</v>
      </c>
      <c r="P19" s="5" t="n">
        <v>47</v>
      </c>
      <c r="Q19" s="3" t="n">
        <v>81</v>
      </c>
      <c r="R19" t="n">
        <v>86</v>
      </c>
      <c r="S19" t="n">
        <v>85</v>
      </c>
      <c r="T19" s="6">
        <f>IF(OR((C19+D19)&lt;66,(E19+F19)&lt;66,G19&lt;33,(H19+I19)&lt;66,NOT(OR(AND(J19&gt;=10,K19&gt;=23,L19&gt;=10,M19&gt;=23),AND((J19+L19)&gt;=20,(K19+M19)&gt;=46))),N19&lt;33,O19&lt;33,P19&lt;8.25,R19&lt;33,S19&lt;33),0,MIN(5,ROUND((IF((C19+D19)/200*100&gt;=80,5,IF((C19+D19)/200*100&gt;=70,4,IF((C19+D19)/200*100&gt;=60,3.5,IF((C19+D19)/200*100&gt;=50,3,IF((C19+D19)/200*100&gt;=40,2,IF((C19+D19)/200*100&gt;=33,1,0))))))+IF((E19+F19)/200*100&gt;=80,5,IF((E19+F19)/200*100&gt;=70,4,IF((E19+F19)/200*100&gt;=60,3.5,IF((E19+F19)/200*100&gt;=50,3,IF((E19+F19)/200*100&gt;=40,2,IF((E19+F19)/200*100&gt;=33,1,0))))))+IF(G19&gt;=80,5,IF(G19&gt;=70,4,IF(G19&gt;=60,3.5,IF(G19&gt;=50,3,IF(G19&gt;=40,2,IF(G19&gt;=33,1,0))))))+IF((H19+I19)/200*100&gt;=80,5,IF((H19+I19)/200*100&gt;=70,4,IF((H19+I19)/200*100&gt;=60,3.5,IF((H19+I19)/200*100&gt;=50,3,IF((H19+I19)/200*100&gt;=40,2,IF((H19+I19)/200*100&gt;=33,1,0))))))+IF((J19+K19)/200*100&gt;=80,5,IF((J19+K19)/200*100&gt;=70,4,IF((J19+K19)/200*100&gt;=60,3.5,IF((J19+K19)/200*100&gt;=50,3,IF((J19+K19)/200*100&gt;=40,2,IF((J19+K19)/200*100&gt;=33,1,0))))))+IF(L19&gt;=80,5,IF(L19&gt;=70,4,IF(L19&gt;=60,3.5,IF(L19&gt;=50,3,IF(L19&gt;=40,2,IF(L19&gt;=33,1,0))))))+IF(M19&gt;=80,5,IF(M19&gt;=70,4,IF(M19&gt;=60,3.5,IF(M19&gt;=50,3,IF(M19&gt;=40,2,IF(M19&gt;=33,1,0))))))+IF(N19/50*100&gt;=80,5,IF(N19/50*100&gt;=70,4,IF(N19/50*100&gt;=60,3.5,IF(N19/50*100&gt;=50,3,IF(N19/50*100&gt;=40,2,IF(N19/50*100&gt;=33,1,0)))))))/8+IF(IF(O19&gt;=80,5,IF(O19&gt;=70,4,IF(O19&gt;=60,3.5,IF(O19&gt;=50,3,IF(O19&gt;=40,2,IF(O19&gt;=33,1,0))))))&gt;=2,(IF(O19&gt;=80,5,IF(O19&gt;=70,4,IF(O19&gt;=60,3.5,IF(O19&gt;=50,3,IF(O19&gt;=40,2,IF(O19&gt;=33,1,0))))))-2)/8,0),2)))</f>
        <v/>
      </c>
      <c r="U19" s="6">
        <f>IF(T19&gt;=5,"A+",IF(T19&gt;=4,"A",IF(T19&gt;=3.5,"A-",IF(T19&gt;=3,"B",IF(T19&gt;=2,"C",IF(T19&gt;=1,"D","F"))))))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4" t="n">
        <v>17</v>
      </c>
      <c r="K20" s="4" t="n">
        <v>35</v>
      </c>
      <c r="L20" s="4" t="n">
        <v>20</v>
      </c>
      <c r="M20" s="2" t="n">
        <v>60</v>
      </c>
      <c r="N20" s="2" t="n">
        <v>67</v>
      </c>
      <c r="O20" s="3" t="n">
        <v>85</v>
      </c>
      <c r="P20" s="4" t="n">
        <v>30</v>
      </c>
      <c r="Q20" s="5" t="n">
        <v>59</v>
      </c>
      <c r="R20" t="n">
        <v>72</v>
      </c>
      <c r="S20" t="n">
        <v>83</v>
      </c>
      <c r="T20" s="6">
        <f>IF(OR((C20+D20)&lt;66,(E20+F20)&lt;66,G20&lt;33,(H20+I20)&lt;66,NOT(OR(AND(J20&gt;=10,K20&gt;=23,L20&gt;=10,M20&gt;=23),AND((J20+L20)&gt;=20,(K20+M20)&gt;=46))),N20&lt;33,O20&lt;33,P20&lt;8.25,R20&lt;33,S20&lt;33),0,MIN(5,ROUND((IF((C20+D20)/200*100&gt;=80,5,IF((C20+D20)/200*100&gt;=70,4,IF((C20+D20)/200*100&gt;=60,3.5,IF((C20+D20)/200*100&gt;=50,3,IF((C20+D20)/200*100&gt;=40,2,IF((C20+D20)/200*100&gt;=33,1,0))))))+IF((E20+F20)/200*100&gt;=80,5,IF((E20+F20)/200*100&gt;=70,4,IF((E20+F20)/200*100&gt;=60,3.5,IF((E20+F20)/200*100&gt;=50,3,IF((E20+F20)/200*100&gt;=40,2,IF((E20+F20)/200*100&gt;=33,1,0))))))+IF(G20&gt;=80,5,IF(G20&gt;=70,4,IF(G20&gt;=60,3.5,IF(G20&gt;=50,3,IF(G20&gt;=40,2,IF(G20&gt;=33,1,0))))))+IF((H20+I20)/200*100&gt;=80,5,IF((H20+I20)/200*100&gt;=70,4,IF((H20+I20)/200*100&gt;=60,3.5,IF((H20+I20)/200*100&gt;=50,3,IF((H20+I20)/200*100&gt;=40,2,IF((H20+I20)/200*100&gt;=33,1,0))))))+IF((J20+K20)/200*100&gt;=80,5,IF((J20+K20)/200*100&gt;=70,4,IF((J20+K20)/200*100&gt;=60,3.5,IF((J20+K20)/200*100&gt;=50,3,IF((J20+K20)/200*100&gt;=40,2,IF((J20+K20)/200*100&gt;=33,1,0))))))+IF(L20&gt;=80,5,IF(L20&gt;=70,4,IF(L20&gt;=60,3.5,IF(L20&gt;=50,3,IF(L20&gt;=40,2,IF(L20&gt;=33,1,0))))))+IF(M20&gt;=80,5,IF(M20&gt;=70,4,IF(M20&gt;=60,3.5,IF(M20&gt;=50,3,IF(M20&gt;=40,2,IF(M20&gt;=33,1,0))))))+IF(N20/50*100&gt;=80,5,IF(N20/50*100&gt;=70,4,IF(N20/50*100&gt;=60,3.5,IF(N20/50*100&gt;=50,3,IF(N20/50*100&gt;=40,2,IF(N20/50*100&gt;=33,1,0)))))))/8+IF(IF(O20&gt;=80,5,IF(O20&gt;=70,4,IF(O20&gt;=60,3.5,IF(O20&gt;=50,3,IF(O20&gt;=40,2,IF(O20&gt;=33,1,0))))))&gt;=2,(IF(O20&gt;=80,5,IF(O20&gt;=70,4,IF(O20&gt;=60,3.5,IF(O20&gt;=50,3,IF(O20&gt;=40,2,IF(O20&gt;=33,1,0))))))-2)/8,0),2)))</f>
        <v/>
      </c>
      <c r="U20" s="6">
        <f>IF(T20&gt;=5,"A+",IF(T20&gt;=4,"A",IF(T20&gt;=3.5,"A-",IF(T20&gt;=3,"B",IF(T20&gt;=2,"C",IF(T20&gt;=1,"D","F"))))))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4" t="n">
        <v>28</v>
      </c>
      <c r="K21" s="5" t="n">
        <v>56</v>
      </c>
      <c r="L21" s="4" t="n">
        <v>28</v>
      </c>
      <c r="M21" s="4" t="n">
        <v>23</v>
      </c>
      <c r="N21" s="2" t="n">
        <v>61</v>
      </c>
      <c r="O21" s="3" t="n">
        <v>87</v>
      </c>
      <c r="P21" s="4" t="n">
        <v>32</v>
      </c>
      <c r="Q21" s="2" t="n">
        <v>62</v>
      </c>
      <c r="R21" t="n">
        <v>75</v>
      </c>
      <c r="S21" t="n">
        <v>81</v>
      </c>
      <c r="T21" s="6">
        <f>IF(OR((C21+D21)&lt;66,(E21+F21)&lt;66,G21&lt;33,(H21+I21)&lt;66,NOT(OR(AND(J21&gt;=10,K21&gt;=23,L21&gt;=10,M21&gt;=23),AND((J21+L21)&gt;=20,(K21+M21)&gt;=46))),N21&lt;33,O21&lt;33,P21&lt;8.25,R21&lt;33,S21&lt;33),0,MIN(5,ROUND((IF((C21+D21)/200*100&gt;=80,5,IF((C21+D21)/200*100&gt;=70,4,IF((C21+D21)/200*100&gt;=60,3.5,IF((C21+D21)/200*100&gt;=50,3,IF((C21+D21)/200*100&gt;=40,2,IF((C21+D21)/200*100&gt;=33,1,0))))))+IF((E21+F21)/200*100&gt;=80,5,IF((E21+F21)/200*100&gt;=70,4,IF((E21+F21)/200*100&gt;=60,3.5,IF((E21+F21)/200*100&gt;=50,3,IF((E21+F21)/200*100&gt;=40,2,IF((E21+F21)/200*100&gt;=33,1,0))))))+IF(G21&gt;=80,5,IF(G21&gt;=70,4,IF(G21&gt;=60,3.5,IF(G21&gt;=50,3,IF(G21&gt;=40,2,IF(G21&gt;=33,1,0))))))+IF((H21+I21)/200*100&gt;=80,5,IF((H21+I21)/200*100&gt;=70,4,IF((H21+I21)/200*100&gt;=60,3.5,IF((H21+I21)/200*100&gt;=50,3,IF((H21+I21)/200*100&gt;=40,2,IF((H21+I21)/200*100&gt;=33,1,0))))))+IF((J21+K21)/200*100&gt;=80,5,IF((J21+K21)/200*100&gt;=70,4,IF((J21+K21)/200*100&gt;=60,3.5,IF((J21+K21)/200*100&gt;=50,3,IF((J21+K21)/200*100&gt;=40,2,IF((J21+K21)/200*100&gt;=33,1,0))))))+IF(L21&gt;=80,5,IF(L21&gt;=70,4,IF(L21&gt;=60,3.5,IF(L21&gt;=50,3,IF(L21&gt;=40,2,IF(L21&gt;=33,1,0))))))+IF(M21&gt;=80,5,IF(M21&gt;=70,4,IF(M21&gt;=60,3.5,IF(M21&gt;=50,3,IF(M21&gt;=40,2,IF(M21&gt;=33,1,0))))))+IF(N21/50*100&gt;=80,5,IF(N21/50*100&gt;=70,4,IF(N21/50*100&gt;=60,3.5,IF(N21/50*100&gt;=50,3,IF(N21/50*100&gt;=40,2,IF(N21/50*100&gt;=33,1,0)))))))/8+IF(IF(O21&gt;=80,5,IF(O21&gt;=70,4,IF(O21&gt;=60,3.5,IF(O21&gt;=50,3,IF(O21&gt;=40,2,IF(O21&gt;=33,1,0))))))&gt;=2,(IF(O21&gt;=80,5,IF(O21&gt;=70,4,IF(O21&gt;=60,3.5,IF(O21&gt;=50,3,IF(O21&gt;=40,2,IF(O21&gt;=33,1,0))))))-2)/8,0),2)))</f>
        <v/>
      </c>
      <c r="U21" s="6">
        <f>IF(T21&gt;=5,"A+",IF(T21&gt;=4,"A",IF(T21&gt;=3.5,"A-",IF(T21&gt;=3,"B",IF(T21&gt;=2,"C",IF(T21&gt;=1,"D","F"))))))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7" t="inlineStr">
        <is>
          <t>📊 ACADEMIC RESULTS DASHBOARD</t>
        </is>
      </c>
    </row>
    <row r="2"/>
    <row r="4">
      <c r="A4" s="8" t="inlineStr">
        <is>
          <t>SUMMARY STATISTICS</t>
        </is>
      </c>
    </row>
    <row r="5">
      <c r="B5" s="9" t="inlineStr">
        <is>
          <t>Total Students:</t>
        </is>
      </c>
      <c r="C5" s="10">
        <f>COUNTA('Data Source'!B:B)-1</f>
        <v/>
      </c>
      <c r="E5" s="9" t="inlineStr">
        <is>
          <t>Average GPA:</t>
        </is>
      </c>
      <c r="F5" s="11">
        <f>IFERROR(ROUND(AVERAGE('Data Source'!T:T),2), 0)</f>
        <v/>
      </c>
      <c r="H5" s="9" t="inlineStr">
        <is>
          <t>Highest Total:</t>
        </is>
      </c>
      <c r="I5" s="10">
        <f>MAX('Data Source'!R:R)</f>
        <v/>
      </c>
      <c r="K5" s="9" t="inlineStr">
        <is>
          <t>Pass Rate:</t>
        </is>
      </c>
      <c r="L5" s="12">
        <f>IF(C5&gt;0,COUNTIF('Data Source'!T:T,"&gt;0")/C5,0)</f>
        <v/>
      </c>
    </row>
    <row r="7">
      <c r="A7" s="13" t="inlineStr">
        <is>
          <t>GRADE DISTRIBUTION</t>
        </is>
      </c>
      <c r="D7" s="13" t="inlineStr">
        <is>
          <t>SUBJECT-WISE AVERAGE</t>
        </is>
      </c>
      <c r="G7" s="13" t="inlineStr">
        <is>
          <t>TOP 5 STUDENTS</t>
        </is>
      </c>
    </row>
    <row r="8">
      <c r="A8" s="14" t="inlineStr">
        <is>
          <t>Grade</t>
        </is>
      </c>
      <c r="B8" s="14" t="inlineStr">
        <is>
          <t>Count</t>
        </is>
      </c>
      <c r="D8" s="9" t="inlineStr">
        <is>
          <t>Subject</t>
        </is>
      </c>
      <c r="E8" s="14" t="inlineStr">
        <is>
          <t>Avg</t>
        </is>
      </c>
      <c r="F8" s="14" t="inlineStr">
        <is>
          <t>%</t>
        </is>
      </c>
      <c r="G8" s="14" t="inlineStr">
        <is>
          <t>Rank</t>
        </is>
      </c>
      <c r="H8" s="9" t="inlineStr">
        <is>
          <t>Name</t>
        </is>
      </c>
      <c r="I8" s="14" t="inlineStr">
        <is>
          <t>GPA</t>
        </is>
      </c>
    </row>
    <row r="9">
      <c r="A9" s="15" t="inlineStr">
        <is>
          <t>A+</t>
        </is>
      </c>
      <c r="B9" s="15">
        <f>COUNTIF('Data Source'!Q:Q,"A+")</f>
        <v/>
      </c>
      <c r="D9" t="inlineStr">
        <is>
          <t>Quran Mazid</t>
        </is>
      </c>
      <c r="E9" s="6">
        <f>IFERROR(ROUND(AVERAGE('Data Source'!C:C),2),0)</f>
        <v/>
      </c>
      <c r="F9" s="16">
        <f>IFERROR(ROUND(E9/100*100,1),0)</f>
        <v/>
      </c>
      <c r="G9" s="15" t="n">
        <v>1</v>
      </c>
      <c r="H9">
        <f>'Data Source'!B10</f>
        <v/>
      </c>
      <c r="I9" s="6">
        <f>'Data Source'!T10</f>
        <v/>
      </c>
    </row>
    <row r="10">
      <c r="A10" s="15" t="inlineStr">
        <is>
          <t>A</t>
        </is>
      </c>
      <c r="B10" s="15">
        <f>COUNTIF('Data Source'!Q:Q,"A")</f>
        <v/>
      </c>
      <c r="D10" t="inlineStr">
        <is>
          <t>Arabic (Comb.)</t>
        </is>
      </c>
      <c r="E10" s="6">
        <f>IFERROR(ROUND(AVERAGE('Data Source'!D:D),2),0)</f>
        <v/>
      </c>
      <c r="F10" s="16">
        <f>IFERROR(ROUND(E10/200*100,1),0)</f>
        <v/>
      </c>
      <c r="G10" s="15" t="n">
        <v>2</v>
      </c>
      <c r="H10">
        <f>'Data Source'!B21</f>
        <v/>
      </c>
      <c r="I10" s="6">
        <f>'Data Source'!T21</f>
        <v/>
      </c>
    </row>
    <row r="11">
      <c r="A11" s="15" t="inlineStr">
        <is>
          <t>A-</t>
        </is>
      </c>
      <c r="B11" s="15">
        <f>COUNTIF('Data Source'!Q:Q,"A-")</f>
        <v/>
      </c>
      <c r="D11" t="inlineStr">
        <is>
          <t>Aqaid</t>
        </is>
      </c>
      <c r="E11" s="6">
        <f>IFERROR(ROUND(AVERAGE('Data Source'!E:E),2),0)</f>
        <v/>
      </c>
      <c r="F11" s="16">
        <f>IFERROR(ROUND(E11/100*100,1),0)</f>
        <v/>
      </c>
      <c r="G11" s="15" t="n">
        <v>3</v>
      </c>
      <c r="H11">
        <f>'Data Source'!B15</f>
        <v/>
      </c>
      <c r="I11" s="6">
        <f>'Data Source'!T15</f>
        <v/>
      </c>
    </row>
    <row r="12">
      <c r="A12" s="15" t="inlineStr">
        <is>
          <t>B</t>
        </is>
      </c>
      <c r="B12" s="15">
        <f>COUNTIF('Data Source'!Q:Q,"B")</f>
        <v/>
      </c>
      <c r="D12" t="inlineStr">
        <is>
          <t>English (Comb.)</t>
        </is>
      </c>
      <c r="E12" s="6">
        <f>IFERROR(ROUND(AVERAGE('Data Source'!F:F),2),0)</f>
        <v/>
      </c>
      <c r="F12" s="16">
        <f>IFERROR(ROUND(E12/200*100,1),0)</f>
        <v/>
      </c>
      <c r="G12" s="15" t="n">
        <v>4</v>
      </c>
      <c r="H12">
        <f>'Data Source'!B19</f>
        <v/>
      </c>
      <c r="I12" s="6">
        <f>'Data Source'!T19</f>
        <v/>
      </c>
    </row>
    <row r="13">
      <c r="A13" s="15" t="inlineStr">
        <is>
          <t>C</t>
        </is>
      </c>
      <c r="B13" s="15">
        <f>COUNTIF('Data Source'!Q:Q,"C")</f>
        <v/>
      </c>
      <c r="D13" t="inlineStr">
        <is>
          <t>Bangla (Comb.)</t>
        </is>
      </c>
      <c r="E13" s="6">
        <f>IFERROR(ROUND(AVERAGE('Data Source'!G:G),2),0)</f>
        <v/>
      </c>
      <c r="F13" s="16">
        <f>IFERROR(ROUND(E13/200*100,1),0)</f>
        <v/>
      </c>
      <c r="G13" s="15" t="n">
        <v>5</v>
      </c>
      <c r="H13">
        <f>'Data Source'!B12</f>
        <v/>
      </c>
      <c r="I13" s="6">
        <f>'Data Source'!T12</f>
        <v/>
      </c>
    </row>
    <row r="14">
      <c r="A14" s="15" t="inlineStr">
        <is>
          <t>D</t>
        </is>
      </c>
      <c r="B14" s="15">
        <f>COUNTIF('Data Source'!Q:Q,"D")</f>
        <v/>
      </c>
      <c r="D14" t="inlineStr">
        <is>
          <t>Mathematics</t>
        </is>
      </c>
      <c r="E14" s="6">
        <f>IFERROR(ROUND(AVERAGE('Data Source'!H:H),2),0)</f>
        <v/>
      </c>
      <c r="F14" s="16">
        <f>IFERROR(ROUND(E14/100*100,1),0)</f>
        <v/>
      </c>
    </row>
    <row r="15">
      <c r="A15" s="15" t="inlineStr">
        <is>
          <t>F</t>
        </is>
      </c>
      <c r="B15" s="15">
        <f>COUNTIF('Data Source'!Q:Q,"F")</f>
        <v/>
      </c>
      <c r="D15" t="inlineStr">
        <is>
          <t>Islamic History</t>
        </is>
      </c>
      <c r="E15" s="6">
        <f>IFERROR(ROUND(AVERAGE('Data Source'!I:I),2),0)</f>
        <v/>
      </c>
      <c r="F15" s="16">
        <f>IFERROR(ROUND(E15/100*100,1),0)</f>
        <v/>
      </c>
    </row>
    <row r="16">
      <c r="D16" t="inlineStr">
        <is>
          <t>ICT</t>
        </is>
      </c>
      <c r="E16" s="6">
        <f>IFERROR(ROUND(AVERAGE('Data Source'!J:J),2),0)</f>
        <v/>
      </c>
      <c r="F16" s="16">
        <f>IFERROR(ROUND(E16/100*100,1),0)</f>
        <v/>
      </c>
    </row>
    <row r="17">
      <c r="D17" t="inlineStr">
        <is>
          <t>Mantiq</t>
        </is>
      </c>
      <c r="E17" s="6">
        <f>IFERROR(ROUND(AVERAGE('Data Source'!K:K),2),0)</f>
        <v/>
      </c>
      <c r="F17" s="16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7" t="inlineStr">
        <is>
          <t>SUBJECT-WISE GRADES</t>
        </is>
      </c>
    </row>
    <row r="2">
      <c r="A2" s="18" t="inlineStr">
        <is>
          <t>SL</t>
        </is>
      </c>
      <c r="B2" s="18" t="inlineStr">
        <is>
          <t>Name</t>
        </is>
      </c>
      <c r="C2" s="18" t="inlineStr">
        <is>
          <t>Quran+Hadith</t>
        </is>
      </c>
      <c r="D2" s="18" t="inlineStr">
        <is>
          <t>Arabic</t>
        </is>
      </c>
      <c r="E2" s="18" t="inlineStr">
        <is>
          <t>Aqaid</t>
        </is>
      </c>
      <c r="F2" s="18" t="inlineStr">
        <is>
          <t>English</t>
        </is>
      </c>
      <c r="G2" s="18" t="inlineStr">
        <is>
          <t>Bangla</t>
        </is>
      </c>
      <c r="H2" s="18" t="inlineStr">
        <is>
          <t>Math</t>
        </is>
      </c>
      <c r="I2" s="18" t="inlineStr">
        <is>
          <t>History</t>
        </is>
      </c>
      <c r="J2" s="18" t="inlineStr">
        <is>
          <t>ICT</t>
        </is>
      </c>
      <c r="K2" s="18" t="inlineStr">
        <is>
          <t>Mantiq</t>
        </is>
      </c>
      <c r="L2" s="18" t="inlineStr">
        <is>
          <t>Career</t>
        </is>
      </c>
      <c r="M2" s="18" t="inlineStr">
        <is>
          <t>Physical</t>
        </is>
      </c>
      <c r="N2" s="18" t="inlineStr">
        <is>
          <t>Overall GPA</t>
        </is>
      </c>
      <c r="O2" s="18" t="inlineStr">
        <is>
          <t>Overall Grade</t>
        </is>
      </c>
    </row>
    <row r="3">
      <c r="A3" s="15">
        <f>'Data Source'!A2</f>
        <v/>
      </c>
      <c r="B3">
        <f>'Data Source'!B2</f>
        <v/>
      </c>
      <c r="C3" s="15">
        <f>IF(('Data Source'!C2+'Data Source'!D2)/200*100&gt;=80,"A+",IF(('Data Source'!C2+'Data Source'!D2)/200*100&gt;=70,"A",IF(('Data Source'!C2+'Data Source'!D2)/200*100&gt;=60,"A-",IF(('Data Source'!C2+'Data Source'!D2)/200*100&gt;=50,"B",IF(('Data Source'!C2+'Data Source'!D2)/200*100&gt;=40,"C",IF(('Data Source'!C2+'Data Source'!D2)/200*100&gt;=33,"D","F"))))))</f>
        <v/>
      </c>
      <c r="D3" s="15">
        <f>IF(('Data Source'!E2+'Data Source'!F2)/200*100&gt;=80,"A+",IF(('Data Source'!E2+'Data Source'!F2)/200*100&gt;=70,"A",IF(('Data Source'!E2+'Data Source'!F2)/200*100&gt;=60,"A-",IF(('Data Source'!E2+'Data Source'!F2)/200*100&gt;=50,"B",IF(('Data Source'!E2+'Data Source'!F2)/200*100&gt;=40,"C",IF(('Data Source'!E2+'Data Source'!F2)/200*100&gt;=33,"D","F"))))))</f>
        <v/>
      </c>
      <c r="E3" s="15">
        <f>IF('Data Source'!G2&gt;=80,"A+",IF('Data Source'!G2&gt;=70,"A",IF('Data Source'!G2&gt;=60,"A-",IF('Data Source'!G2&gt;=50,"B",IF('Data Source'!G2&gt;=40,"C",IF('Data Source'!G2&gt;=33,"D","F"))))))</f>
        <v/>
      </c>
      <c r="F3" s="15">
        <f>IF(('Data Source'!H2+'Data Source'!I2)/200*100&gt;=80,"A+",IF(('Data Source'!H2+'Data Source'!I2)/200*100&gt;=70,"A",IF(('Data Source'!H2+'Data Source'!I2)/200*100&gt;=60,"A-",IF(('Data Source'!H2+'Data Source'!I2)/200*100&gt;=50,"B",IF(('Data Source'!H2+'Data Source'!I2)/200*100&gt;=40,"C",IF(('Data Source'!H2+'Data Source'!I2)/200*100&gt;=33,"D","F"))))))</f>
        <v/>
      </c>
      <c r="G3" s="15">
        <f>IF(('Data Source'!J2+'Data Source'!K2)/200*100&gt;=80,"A+",IF(('Data Source'!J2+'Data Source'!K2)/200*100&gt;=70,"A",IF(('Data Source'!J2+'Data Source'!K2)/200*100&gt;=60,"A-",IF(('Data Source'!J2+'Data Source'!K2)/200*100&gt;=50,"B",IF(('Data Source'!J2+'Data Source'!K2)/200*100&gt;=40,"C",IF(('Data Source'!J2+'Data Source'!K2)/200*100&gt;=33,"D","F"))))))</f>
        <v/>
      </c>
      <c r="H3" s="15">
        <f>IF('Data Source'!L2&gt;=80,"A+",IF('Data Source'!L2&gt;=70,"A",IF('Data Source'!L2&gt;=60,"A-",IF('Data Source'!L2&gt;=50,"B",IF('Data Source'!L2&gt;=40,"C",IF('Data Source'!L2&gt;=33,"D","F"))))))</f>
        <v/>
      </c>
      <c r="I3" s="15">
        <f>IF('Data Source'!M2&gt;=80,"A+",IF('Data Source'!M2&gt;=70,"A",IF('Data Source'!M2&gt;=60,"A-",IF('Data Source'!M2&gt;=50,"B",IF('Data Source'!M2&gt;=40,"C",IF('Data Source'!M2&gt;=33,"D","F"))))))</f>
        <v/>
      </c>
      <c r="J3" s="15">
        <f>IF('Data Source'!N2/50*100&gt;=80,"A+",IF('Data Source'!N2/50*100&gt;=70,"A",IF('Data Source'!N2/50*100&gt;=60,"A-",IF('Data Source'!N2/50*100&gt;=50,"B",IF('Data Source'!N2/50*100&gt;=40,"C",IF('Data Source'!N2/50*100&gt;=33,"D","F"))))))</f>
        <v/>
      </c>
      <c r="K3" s="15">
        <f>IF('Data Source'!O2&gt;=80,"A+",IF('Data Source'!O2&gt;=70,"A",IF('Data Source'!O2&gt;=60,"A-",IF('Data Source'!O2&gt;=50,"B",IF('Data Source'!O2&gt;=40,"C",IF('Data Source'!O2&gt;=33,"D","F"))))))</f>
        <v/>
      </c>
      <c r="L3" s="15">
        <f>IF('Data Source'!P2&gt;=33,"Pass","Fail")</f>
        <v/>
      </c>
      <c r="M3" s="15">
        <f>IF('Data Source'!Q2&gt;=33,"Pass","Fail")</f>
        <v/>
      </c>
      <c r="N3" s="6">
        <f>'Data Source'!T2</f>
        <v/>
      </c>
      <c r="O3" s="15">
        <f>'Data Source'!U2</f>
        <v/>
      </c>
    </row>
    <row r="4">
      <c r="A4" s="15">
        <f>'Data Source'!A3</f>
        <v/>
      </c>
      <c r="B4">
        <f>'Data Source'!B3</f>
        <v/>
      </c>
      <c r="C4" s="15">
        <f>IF(('Data Source'!C3+'Data Source'!D3)/200*100&gt;=80,"A+",IF(('Data Source'!C3+'Data Source'!D3)/200*100&gt;=70,"A",IF(('Data Source'!C3+'Data Source'!D3)/200*100&gt;=60,"A-",IF(('Data Source'!C3+'Data Source'!D3)/200*100&gt;=50,"B",IF(('Data Source'!C3+'Data Source'!D3)/200*100&gt;=40,"C",IF(('Data Source'!C3+'Data Source'!D3)/200*100&gt;=33,"D","F"))))))</f>
        <v/>
      </c>
      <c r="D4" s="15">
        <f>IF(('Data Source'!E3+'Data Source'!F3)/200*100&gt;=80,"A+",IF(('Data Source'!E3+'Data Source'!F3)/200*100&gt;=70,"A",IF(('Data Source'!E3+'Data Source'!F3)/200*100&gt;=60,"A-",IF(('Data Source'!E3+'Data Source'!F3)/200*100&gt;=50,"B",IF(('Data Source'!E3+'Data Source'!F3)/200*100&gt;=40,"C",IF(('Data Source'!E3+'Data Source'!F3)/200*100&gt;=33,"D","F"))))))</f>
        <v/>
      </c>
      <c r="E4" s="15">
        <f>IF('Data Source'!G3&gt;=80,"A+",IF('Data Source'!G3&gt;=70,"A",IF('Data Source'!G3&gt;=60,"A-",IF('Data Source'!G3&gt;=50,"B",IF('Data Source'!G3&gt;=40,"C",IF('Data Source'!G3&gt;=33,"D","F"))))))</f>
        <v/>
      </c>
      <c r="F4" s="15">
        <f>IF(('Data Source'!H3+'Data Source'!I3)/200*100&gt;=80,"A+",IF(('Data Source'!H3+'Data Source'!I3)/200*100&gt;=70,"A",IF(('Data Source'!H3+'Data Source'!I3)/200*100&gt;=60,"A-",IF(('Data Source'!H3+'Data Source'!I3)/200*100&gt;=50,"B",IF(('Data Source'!H3+'Data Source'!I3)/200*100&gt;=40,"C",IF(('Data Source'!H3+'Data Source'!I3)/200*100&gt;=33,"D","F"))))))</f>
        <v/>
      </c>
      <c r="G4" s="15">
        <f>IF(('Data Source'!J3+'Data Source'!K3)/200*100&gt;=80,"A+",IF(('Data Source'!J3+'Data Source'!K3)/200*100&gt;=70,"A",IF(('Data Source'!J3+'Data Source'!K3)/200*100&gt;=60,"A-",IF(('Data Source'!J3+'Data Source'!K3)/200*100&gt;=50,"B",IF(('Data Source'!J3+'Data Source'!K3)/200*100&gt;=40,"C",IF(('Data Source'!J3+'Data Source'!K3)/200*100&gt;=33,"D","F"))))))</f>
        <v/>
      </c>
      <c r="H4" s="15">
        <f>IF('Data Source'!L3&gt;=80,"A+",IF('Data Source'!L3&gt;=70,"A",IF('Data Source'!L3&gt;=60,"A-",IF('Data Source'!L3&gt;=50,"B",IF('Data Source'!L3&gt;=40,"C",IF('Data Source'!L3&gt;=33,"D","F"))))))</f>
        <v/>
      </c>
      <c r="I4" s="15">
        <f>IF('Data Source'!M3&gt;=80,"A+",IF('Data Source'!M3&gt;=70,"A",IF('Data Source'!M3&gt;=60,"A-",IF('Data Source'!M3&gt;=50,"B",IF('Data Source'!M3&gt;=40,"C",IF('Data Source'!M3&gt;=33,"D","F"))))))</f>
        <v/>
      </c>
      <c r="J4" s="15">
        <f>IF('Data Source'!N3/50*100&gt;=80,"A+",IF('Data Source'!N3/50*100&gt;=70,"A",IF('Data Source'!N3/50*100&gt;=60,"A-",IF('Data Source'!N3/50*100&gt;=50,"B",IF('Data Source'!N3/50*100&gt;=40,"C",IF('Data Source'!N3/50*100&gt;=33,"D","F"))))))</f>
        <v/>
      </c>
      <c r="K4" s="15">
        <f>IF('Data Source'!O3&gt;=80,"A+",IF('Data Source'!O3&gt;=70,"A",IF('Data Source'!O3&gt;=60,"A-",IF('Data Source'!O3&gt;=50,"B",IF('Data Source'!O3&gt;=40,"C",IF('Data Source'!O3&gt;=33,"D","F"))))))</f>
        <v/>
      </c>
      <c r="L4" s="15">
        <f>IF('Data Source'!P3&gt;=33,"Pass","Fail")</f>
        <v/>
      </c>
      <c r="M4" s="15">
        <f>IF('Data Source'!Q3&gt;=33,"Pass","Fail")</f>
        <v/>
      </c>
      <c r="N4" s="6">
        <f>'Data Source'!T3</f>
        <v/>
      </c>
      <c r="O4" s="15">
        <f>'Data Source'!U3</f>
        <v/>
      </c>
    </row>
    <row r="5">
      <c r="A5" s="15">
        <f>'Data Source'!A4</f>
        <v/>
      </c>
      <c r="B5">
        <f>'Data Source'!B4</f>
        <v/>
      </c>
      <c r="C5" s="15">
        <f>IF(('Data Source'!C4+'Data Source'!D4)/200*100&gt;=80,"A+",IF(('Data Source'!C4+'Data Source'!D4)/200*100&gt;=70,"A",IF(('Data Source'!C4+'Data Source'!D4)/200*100&gt;=60,"A-",IF(('Data Source'!C4+'Data Source'!D4)/200*100&gt;=50,"B",IF(('Data Source'!C4+'Data Source'!D4)/200*100&gt;=40,"C",IF(('Data Source'!C4+'Data Source'!D4)/200*100&gt;=33,"D","F"))))))</f>
        <v/>
      </c>
      <c r="D5" s="15">
        <f>IF(('Data Source'!E4+'Data Source'!F4)/200*100&gt;=80,"A+",IF(('Data Source'!E4+'Data Source'!F4)/200*100&gt;=70,"A",IF(('Data Source'!E4+'Data Source'!F4)/200*100&gt;=60,"A-",IF(('Data Source'!E4+'Data Source'!F4)/200*100&gt;=50,"B",IF(('Data Source'!E4+'Data Source'!F4)/200*100&gt;=40,"C",IF(('Data Source'!E4+'Data Source'!F4)/200*100&gt;=33,"D","F"))))))</f>
        <v/>
      </c>
      <c r="E5" s="15">
        <f>IF('Data Source'!G4&gt;=80,"A+",IF('Data Source'!G4&gt;=70,"A",IF('Data Source'!G4&gt;=60,"A-",IF('Data Source'!G4&gt;=50,"B",IF('Data Source'!G4&gt;=40,"C",IF('Data Source'!G4&gt;=33,"D","F"))))))</f>
        <v/>
      </c>
      <c r="F5" s="15">
        <f>IF(('Data Source'!H4+'Data Source'!I4)/200*100&gt;=80,"A+",IF(('Data Source'!H4+'Data Source'!I4)/200*100&gt;=70,"A",IF(('Data Source'!H4+'Data Source'!I4)/200*100&gt;=60,"A-",IF(('Data Source'!H4+'Data Source'!I4)/200*100&gt;=50,"B",IF(('Data Source'!H4+'Data Source'!I4)/200*100&gt;=40,"C",IF(('Data Source'!H4+'Data Source'!I4)/200*100&gt;=33,"D","F"))))))</f>
        <v/>
      </c>
      <c r="G5" s="15">
        <f>IF(('Data Source'!J4+'Data Source'!K4)/200*100&gt;=80,"A+",IF(('Data Source'!J4+'Data Source'!K4)/200*100&gt;=70,"A",IF(('Data Source'!J4+'Data Source'!K4)/200*100&gt;=60,"A-",IF(('Data Source'!J4+'Data Source'!K4)/200*100&gt;=50,"B",IF(('Data Source'!J4+'Data Source'!K4)/200*100&gt;=40,"C",IF(('Data Source'!J4+'Data Source'!K4)/200*100&gt;=33,"D","F"))))))</f>
        <v/>
      </c>
      <c r="H5" s="15">
        <f>IF('Data Source'!L4&gt;=80,"A+",IF('Data Source'!L4&gt;=70,"A",IF('Data Source'!L4&gt;=60,"A-",IF('Data Source'!L4&gt;=50,"B",IF('Data Source'!L4&gt;=40,"C",IF('Data Source'!L4&gt;=33,"D","F"))))))</f>
        <v/>
      </c>
      <c r="I5" s="15">
        <f>IF('Data Source'!M4&gt;=80,"A+",IF('Data Source'!M4&gt;=70,"A",IF('Data Source'!M4&gt;=60,"A-",IF('Data Source'!M4&gt;=50,"B",IF('Data Source'!M4&gt;=40,"C",IF('Data Source'!M4&gt;=33,"D","F"))))))</f>
        <v/>
      </c>
      <c r="J5" s="15">
        <f>IF('Data Source'!N4/50*100&gt;=80,"A+",IF('Data Source'!N4/50*100&gt;=70,"A",IF('Data Source'!N4/50*100&gt;=60,"A-",IF('Data Source'!N4/50*100&gt;=50,"B",IF('Data Source'!N4/50*100&gt;=40,"C",IF('Data Source'!N4/50*100&gt;=33,"D","F"))))))</f>
        <v/>
      </c>
      <c r="K5" s="15">
        <f>IF('Data Source'!O4&gt;=80,"A+",IF('Data Source'!O4&gt;=70,"A",IF('Data Source'!O4&gt;=60,"A-",IF('Data Source'!O4&gt;=50,"B",IF('Data Source'!O4&gt;=40,"C",IF('Data Source'!O4&gt;=33,"D","F"))))))</f>
        <v/>
      </c>
      <c r="L5" s="15">
        <f>IF('Data Source'!P4&gt;=33,"Pass","Fail")</f>
        <v/>
      </c>
      <c r="M5" s="15">
        <f>IF('Data Source'!Q4&gt;=33,"Pass","Fail")</f>
        <v/>
      </c>
      <c r="N5" s="6">
        <f>'Data Source'!T4</f>
        <v/>
      </c>
      <c r="O5" s="15">
        <f>'Data Source'!U4</f>
        <v/>
      </c>
    </row>
    <row r="6">
      <c r="A6" s="15">
        <f>'Data Source'!A5</f>
        <v/>
      </c>
      <c r="B6">
        <f>'Data Source'!B5</f>
        <v/>
      </c>
      <c r="C6" s="15">
        <f>IF(('Data Source'!C5+'Data Source'!D5)/200*100&gt;=80,"A+",IF(('Data Source'!C5+'Data Source'!D5)/200*100&gt;=70,"A",IF(('Data Source'!C5+'Data Source'!D5)/200*100&gt;=60,"A-",IF(('Data Source'!C5+'Data Source'!D5)/200*100&gt;=50,"B",IF(('Data Source'!C5+'Data Source'!D5)/200*100&gt;=40,"C",IF(('Data Source'!C5+'Data Source'!D5)/200*100&gt;=33,"D","F"))))))</f>
        <v/>
      </c>
      <c r="D6" s="15">
        <f>IF(('Data Source'!E5+'Data Source'!F5)/200*100&gt;=80,"A+",IF(('Data Source'!E5+'Data Source'!F5)/200*100&gt;=70,"A",IF(('Data Source'!E5+'Data Source'!F5)/200*100&gt;=60,"A-",IF(('Data Source'!E5+'Data Source'!F5)/200*100&gt;=50,"B",IF(('Data Source'!E5+'Data Source'!F5)/200*100&gt;=40,"C",IF(('Data Source'!E5+'Data Source'!F5)/200*100&gt;=33,"D","F"))))))</f>
        <v/>
      </c>
      <c r="E6" s="15">
        <f>IF('Data Source'!G5&gt;=80,"A+",IF('Data Source'!G5&gt;=70,"A",IF('Data Source'!G5&gt;=60,"A-",IF('Data Source'!G5&gt;=50,"B",IF('Data Source'!G5&gt;=40,"C",IF('Data Source'!G5&gt;=33,"D","F"))))))</f>
        <v/>
      </c>
      <c r="F6" s="15">
        <f>IF(('Data Source'!H5+'Data Source'!I5)/200*100&gt;=80,"A+",IF(('Data Source'!H5+'Data Source'!I5)/200*100&gt;=70,"A",IF(('Data Source'!H5+'Data Source'!I5)/200*100&gt;=60,"A-",IF(('Data Source'!H5+'Data Source'!I5)/200*100&gt;=50,"B",IF(('Data Source'!H5+'Data Source'!I5)/200*100&gt;=40,"C",IF(('Data Source'!H5+'Data Source'!I5)/200*100&gt;=33,"D","F"))))))</f>
        <v/>
      </c>
      <c r="G6" s="15">
        <f>IF(('Data Source'!J5+'Data Source'!K5)/200*100&gt;=80,"A+",IF(('Data Source'!J5+'Data Source'!K5)/200*100&gt;=70,"A",IF(('Data Source'!J5+'Data Source'!K5)/200*100&gt;=60,"A-",IF(('Data Source'!J5+'Data Source'!K5)/200*100&gt;=50,"B",IF(('Data Source'!J5+'Data Source'!K5)/200*100&gt;=40,"C",IF(('Data Source'!J5+'Data Source'!K5)/200*100&gt;=33,"D","F"))))))</f>
        <v/>
      </c>
      <c r="H6" s="15">
        <f>IF('Data Source'!L5&gt;=80,"A+",IF('Data Source'!L5&gt;=70,"A",IF('Data Source'!L5&gt;=60,"A-",IF('Data Source'!L5&gt;=50,"B",IF('Data Source'!L5&gt;=40,"C",IF('Data Source'!L5&gt;=33,"D","F"))))))</f>
        <v/>
      </c>
      <c r="I6" s="15">
        <f>IF('Data Source'!M5&gt;=80,"A+",IF('Data Source'!M5&gt;=70,"A",IF('Data Source'!M5&gt;=60,"A-",IF('Data Source'!M5&gt;=50,"B",IF('Data Source'!M5&gt;=40,"C",IF('Data Source'!M5&gt;=33,"D","F"))))))</f>
        <v/>
      </c>
      <c r="J6" s="15">
        <f>IF('Data Source'!N5/50*100&gt;=80,"A+",IF('Data Source'!N5/50*100&gt;=70,"A",IF('Data Source'!N5/50*100&gt;=60,"A-",IF('Data Source'!N5/50*100&gt;=50,"B",IF('Data Source'!N5/50*100&gt;=40,"C",IF('Data Source'!N5/50*100&gt;=33,"D","F"))))))</f>
        <v/>
      </c>
      <c r="K6" s="15">
        <f>IF('Data Source'!O5&gt;=80,"A+",IF('Data Source'!O5&gt;=70,"A",IF('Data Source'!O5&gt;=60,"A-",IF('Data Source'!O5&gt;=50,"B",IF('Data Source'!O5&gt;=40,"C",IF('Data Source'!O5&gt;=33,"D","F"))))))</f>
        <v/>
      </c>
      <c r="L6" s="15">
        <f>IF('Data Source'!P5&gt;=33,"Pass","Fail")</f>
        <v/>
      </c>
      <c r="M6" s="15">
        <f>IF('Data Source'!Q5&gt;=33,"Pass","Fail")</f>
        <v/>
      </c>
      <c r="N6" s="6">
        <f>'Data Source'!T5</f>
        <v/>
      </c>
      <c r="O6" s="15">
        <f>'Data Source'!U5</f>
        <v/>
      </c>
    </row>
    <row r="7">
      <c r="A7" s="15">
        <f>'Data Source'!A6</f>
        <v/>
      </c>
      <c r="B7">
        <f>'Data Source'!B6</f>
        <v/>
      </c>
      <c r="C7" s="15">
        <f>IF(('Data Source'!C6+'Data Source'!D6)/200*100&gt;=80,"A+",IF(('Data Source'!C6+'Data Source'!D6)/200*100&gt;=70,"A",IF(('Data Source'!C6+'Data Source'!D6)/200*100&gt;=60,"A-",IF(('Data Source'!C6+'Data Source'!D6)/200*100&gt;=50,"B",IF(('Data Source'!C6+'Data Source'!D6)/200*100&gt;=40,"C",IF(('Data Source'!C6+'Data Source'!D6)/200*100&gt;=33,"D","F"))))))</f>
        <v/>
      </c>
      <c r="D7" s="15">
        <f>IF(('Data Source'!E6+'Data Source'!F6)/200*100&gt;=80,"A+",IF(('Data Source'!E6+'Data Source'!F6)/200*100&gt;=70,"A",IF(('Data Source'!E6+'Data Source'!F6)/200*100&gt;=60,"A-",IF(('Data Source'!E6+'Data Source'!F6)/200*100&gt;=50,"B",IF(('Data Source'!E6+'Data Source'!F6)/200*100&gt;=40,"C",IF(('Data Source'!E6+'Data Source'!F6)/200*100&gt;=33,"D","F"))))))</f>
        <v/>
      </c>
      <c r="E7" s="15">
        <f>IF('Data Source'!G6&gt;=80,"A+",IF('Data Source'!G6&gt;=70,"A",IF('Data Source'!G6&gt;=60,"A-",IF('Data Source'!G6&gt;=50,"B",IF('Data Source'!G6&gt;=40,"C",IF('Data Source'!G6&gt;=33,"D","F"))))))</f>
        <v/>
      </c>
      <c r="F7" s="15">
        <f>IF(('Data Source'!H6+'Data Source'!I6)/200*100&gt;=80,"A+",IF(('Data Source'!H6+'Data Source'!I6)/200*100&gt;=70,"A",IF(('Data Source'!H6+'Data Source'!I6)/200*100&gt;=60,"A-",IF(('Data Source'!H6+'Data Source'!I6)/200*100&gt;=50,"B",IF(('Data Source'!H6+'Data Source'!I6)/200*100&gt;=40,"C",IF(('Data Source'!H6+'Data Source'!I6)/200*100&gt;=33,"D","F"))))))</f>
        <v/>
      </c>
      <c r="G7" s="15">
        <f>IF(('Data Source'!J6+'Data Source'!K6)/200*100&gt;=80,"A+",IF(('Data Source'!J6+'Data Source'!K6)/200*100&gt;=70,"A",IF(('Data Source'!J6+'Data Source'!K6)/200*100&gt;=60,"A-",IF(('Data Source'!J6+'Data Source'!K6)/200*100&gt;=50,"B",IF(('Data Source'!J6+'Data Source'!K6)/200*100&gt;=40,"C",IF(('Data Source'!J6+'Data Source'!K6)/200*100&gt;=33,"D","F"))))))</f>
        <v/>
      </c>
      <c r="H7" s="15">
        <f>IF('Data Source'!L6&gt;=80,"A+",IF('Data Source'!L6&gt;=70,"A",IF('Data Source'!L6&gt;=60,"A-",IF('Data Source'!L6&gt;=50,"B",IF('Data Source'!L6&gt;=40,"C",IF('Data Source'!L6&gt;=33,"D","F"))))))</f>
        <v/>
      </c>
      <c r="I7" s="15">
        <f>IF('Data Source'!M6&gt;=80,"A+",IF('Data Source'!M6&gt;=70,"A",IF('Data Source'!M6&gt;=60,"A-",IF('Data Source'!M6&gt;=50,"B",IF('Data Source'!M6&gt;=40,"C",IF('Data Source'!M6&gt;=33,"D","F"))))))</f>
        <v/>
      </c>
      <c r="J7" s="15">
        <f>IF('Data Source'!N6/50*100&gt;=80,"A+",IF('Data Source'!N6/50*100&gt;=70,"A",IF('Data Source'!N6/50*100&gt;=60,"A-",IF('Data Source'!N6/50*100&gt;=50,"B",IF('Data Source'!N6/50*100&gt;=40,"C",IF('Data Source'!N6/50*100&gt;=33,"D","F"))))))</f>
        <v/>
      </c>
      <c r="K7" s="15">
        <f>IF('Data Source'!O6&gt;=80,"A+",IF('Data Source'!O6&gt;=70,"A",IF('Data Source'!O6&gt;=60,"A-",IF('Data Source'!O6&gt;=50,"B",IF('Data Source'!O6&gt;=40,"C",IF('Data Source'!O6&gt;=33,"D","F"))))))</f>
        <v/>
      </c>
      <c r="L7" s="15">
        <f>IF('Data Source'!P6&gt;=33,"Pass","Fail")</f>
        <v/>
      </c>
      <c r="M7" s="15">
        <f>IF('Data Source'!Q6&gt;=33,"Pass","Fail")</f>
        <v/>
      </c>
      <c r="N7" s="6">
        <f>'Data Source'!T6</f>
        <v/>
      </c>
      <c r="O7" s="15">
        <f>'Data Source'!U6</f>
        <v/>
      </c>
    </row>
    <row r="8">
      <c r="A8" s="15">
        <f>'Data Source'!A7</f>
        <v/>
      </c>
      <c r="B8">
        <f>'Data Source'!B7</f>
        <v/>
      </c>
      <c r="C8" s="15">
        <f>IF(('Data Source'!C7+'Data Source'!D7)/200*100&gt;=80,"A+",IF(('Data Source'!C7+'Data Source'!D7)/200*100&gt;=70,"A",IF(('Data Source'!C7+'Data Source'!D7)/200*100&gt;=60,"A-",IF(('Data Source'!C7+'Data Source'!D7)/200*100&gt;=50,"B",IF(('Data Source'!C7+'Data Source'!D7)/200*100&gt;=40,"C",IF(('Data Source'!C7+'Data Source'!D7)/200*100&gt;=33,"D","F"))))))</f>
        <v/>
      </c>
      <c r="D8" s="15">
        <f>IF(('Data Source'!E7+'Data Source'!F7)/200*100&gt;=80,"A+",IF(('Data Source'!E7+'Data Source'!F7)/200*100&gt;=70,"A",IF(('Data Source'!E7+'Data Source'!F7)/200*100&gt;=60,"A-",IF(('Data Source'!E7+'Data Source'!F7)/200*100&gt;=50,"B",IF(('Data Source'!E7+'Data Source'!F7)/200*100&gt;=40,"C",IF(('Data Source'!E7+'Data Source'!F7)/200*100&gt;=33,"D","F"))))))</f>
        <v/>
      </c>
      <c r="E8" s="15">
        <f>IF('Data Source'!G7&gt;=80,"A+",IF('Data Source'!G7&gt;=70,"A",IF('Data Source'!G7&gt;=60,"A-",IF('Data Source'!G7&gt;=50,"B",IF('Data Source'!G7&gt;=40,"C",IF('Data Source'!G7&gt;=33,"D","F"))))))</f>
        <v/>
      </c>
      <c r="F8" s="15">
        <f>IF(('Data Source'!H7+'Data Source'!I7)/200*100&gt;=80,"A+",IF(('Data Source'!H7+'Data Source'!I7)/200*100&gt;=70,"A",IF(('Data Source'!H7+'Data Source'!I7)/200*100&gt;=60,"A-",IF(('Data Source'!H7+'Data Source'!I7)/200*100&gt;=50,"B",IF(('Data Source'!H7+'Data Source'!I7)/200*100&gt;=40,"C",IF(('Data Source'!H7+'Data Source'!I7)/200*100&gt;=33,"D","F"))))))</f>
        <v/>
      </c>
      <c r="G8" s="15">
        <f>IF(('Data Source'!J7+'Data Source'!K7)/200*100&gt;=80,"A+",IF(('Data Source'!J7+'Data Source'!K7)/200*100&gt;=70,"A",IF(('Data Source'!J7+'Data Source'!K7)/200*100&gt;=60,"A-",IF(('Data Source'!J7+'Data Source'!K7)/200*100&gt;=50,"B",IF(('Data Source'!J7+'Data Source'!K7)/200*100&gt;=40,"C",IF(('Data Source'!J7+'Data Source'!K7)/200*100&gt;=33,"D","F"))))))</f>
        <v/>
      </c>
      <c r="H8" s="15">
        <f>IF('Data Source'!L7&gt;=80,"A+",IF('Data Source'!L7&gt;=70,"A",IF('Data Source'!L7&gt;=60,"A-",IF('Data Source'!L7&gt;=50,"B",IF('Data Source'!L7&gt;=40,"C",IF('Data Source'!L7&gt;=33,"D","F"))))))</f>
        <v/>
      </c>
      <c r="I8" s="15">
        <f>IF('Data Source'!M7&gt;=80,"A+",IF('Data Source'!M7&gt;=70,"A",IF('Data Source'!M7&gt;=60,"A-",IF('Data Source'!M7&gt;=50,"B",IF('Data Source'!M7&gt;=40,"C",IF('Data Source'!M7&gt;=33,"D","F"))))))</f>
        <v/>
      </c>
      <c r="J8" s="15">
        <f>IF('Data Source'!N7/50*100&gt;=80,"A+",IF('Data Source'!N7/50*100&gt;=70,"A",IF('Data Source'!N7/50*100&gt;=60,"A-",IF('Data Source'!N7/50*100&gt;=50,"B",IF('Data Source'!N7/50*100&gt;=40,"C",IF('Data Source'!N7/50*100&gt;=33,"D","F"))))))</f>
        <v/>
      </c>
      <c r="K8" s="15">
        <f>IF('Data Source'!O7&gt;=80,"A+",IF('Data Source'!O7&gt;=70,"A",IF('Data Source'!O7&gt;=60,"A-",IF('Data Source'!O7&gt;=50,"B",IF('Data Source'!O7&gt;=40,"C",IF('Data Source'!O7&gt;=33,"D","F"))))))</f>
        <v/>
      </c>
      <c r="L8" s="15">
        <f>IF('Data Source'!P7&gt;=33,"Pass","Fail")</f>
        <v/>
      </c>
      <c r="M8" s="15">
        <f>IF('Data Source'!Q7&gt;=33,"Pass","Fail")</f>
        <v/>
      </c>
      <c r="N8" s="6">
        <f>'Data Source'!T7</f>
        <v/>
      </c>
      <c r="O8" s="15">
        <f>'Data Source'!U7</f>
        <v/>
      </c>
    </row>
    <row r="9">
      <c r="A9" s="15">
        <f>'Data Source'!A8</f>
        <v/>
      </c>
      <c r="B9">
        <f>'Data Source'!B8</f>
        <v/>
      </c>
      <c r="C9" s="15">
        <f>IF(('Data Source'!C8+'Data Source'!D8)/200*100&gt;=80,"A+",IF(('Data Source'!C8+'Data Source'!D8)/200*100&gt;=70,"A",IF(('Data Source'!C8+'Data Source'!D8)/200*100&gt;=60,"A-",IF(('Data Source'!C8+'Data Source'!D8)/200*100&gt;=50,"B",IF(('Data Source'!C8+'Data Source'!D8)/200*100&gt;=40,"C",IF(('Data Source'!C8+'Data Source'!D8)/200*100&gt;=33,"D","F"))))))</f>
        <v/>
      </c>
      <c r="D9" s="15">
        <f>IF(('Data Source'!E8+'Data Source'!F8)/200*100&gt;=80,"A+",IF(('Data Source'!E8+'Data Source'!F8)/200*100&gt;=70,"A",IF(('Data Source'!E8+'Data Source'!F8)/200*100&gt;=60,"A-",IF(('Data Source'!E8+'Data Source'!F8)/200*100&gt;=50,"B",IF(('Data Source'!E8+'Data Source'!F8)/200*100&gt;=40,"C",IF(('Data Source'!E8+'Data Source'!F8)/200*100&gt;=33,"D","F"))))))</f>
        <v/>
      </c>
      <c r="E9" s="15">
        <f>IF('Data Source'!G8&gt;=80,"A+",IF('Data Source'!G8&gt;=70,"A",IF('Data Source'!G8&gt;=60,"A-",IF('Data Source'!G8&gt;=50,"B",IF('Data Source'!G8&gt;=40,"C",IF('Data Source'!G8&gt;=33,"D","F"))))))</f>
        <v/>
      </c>
      <c r="F9" s="15">
        <f>IF(('Data Source'!H8+'Data Source'!I8)/200*100&gt;=80,"A+",IF(('Data Source'!H8+'Data Source'!I8)/200*100&gt;=70,"A",IF(('Data Source'!H8+'Data Source'!I8)/200*100&gt;=60,"A-",IF(('Data Source'!H8+'Data Source'!I8)/200*100&gt;=50,"B",IF(('Data Source'!H8+'Data Source'!I8)/200*100&gt;=40,"C",IF(('Data Source'!H8+'Data Source'!I8)/200*100&gt;=33,"D","F"))))))</f>
        <v/>
      </c>
      <c r="G9" s="15">
        <f>IF(('Data Source'!J8+'Data Source'!K8)/200*100&gt;=80,"A+",IF(('Data Source'!J8+'Data Source'!K8)/200*100&gt;=70,"A",IF(('Data Source'!J8+'Data Source'!K8)/200*100&gt;=60,"A-",IF(('Data Source'!J8+'Data Source'!K8)/200*100&gt;=50,"B",IF(('Data Source'!J8+'Data Source'!K8)/200*100&gt;=40,"C",IF(('Data Source'!J8+'Data Source'!K8)/200*100&gt;=33,"D","F"))))))</f>
        <v/>
      </c>
      <c r="H9" s="15">
        <f>IF('Data Source'!L8&gt;=80,"A+",IF('Data Source'!L8&gt;=70,"A",IF('Data Source'!L8&gt;=60,"A-",IF('Data Source'!L8&gt;=50,"B",IF('Data Source'!L8&gt;=40,"C",IF('Data Source'!L8&gt;=33,"D","F"))))))</f>
        <v/>
      </c>
      <c r="I9" s="15">
        <f>IF('Data Source'!M8&gt;=80,"A+",IF('Data Source'!M8&gt;=70,"A",IF('Data Source'!M8&gt;=60,"A-",IF('Data Source'!M8&gt;=50,"B",IF('Data Source'!M8&gt;=40,"C",IF('Data Source'!M8&gt;=33,"D","F"))))))</f>
        <v/>
      </c>
      <c r="J9" s="15">
        <f>IF('Data Source'!N8/50*100&gt;=80,"A+",IF('Data Source'!N8/50*100&gt;=70,"A",IF('Data Source'!N8/50*100&gt;=60,"A-",IF('Data Source'!N8/50*100&gt;=50,"B",IF('Data Source'!N8/50*100&gt;=40,"C",IF('Data Source'!N8/50*100&gt;=33,"D","F"))))))</f>
        <v/>
      </c>
      <c r="K9" s="15">
        <f>IF('Data Source'!O8&gt;=80,"A+",IF('Data Source'!O8&gt;=70,"A",IF('Data Source'!O8&gt;=60,"A-",IF('Data Source'!O8&gt;=50,"B",IF('Data Source'!O8&gt;=40,"C",IF('Data Source'!O8&gt;=33,"D","F"))))))</f>
        <v/>
      </c>
      <c r="L9" s="15">
        <f>IF('Data Source'!P8&gt;=33,"Pass","Fail")</f>
        <v/>
      </c>
      <c r="M9" s="15">
        <f>IF('Data Source'!Q8&gt;=33,"Pass","Fail")</f>
        <v/>
      </c>
      <c r="N9" s="6">
        <f>'Data Source'!T8</f>
        <v/>
      </c>
      <c r="O9" s="15">
        <f>'Data Source'!U8</f>
        <v/>
      </c>
    </row>
    <row r="10">
      <c r="A10" s="15">
        <f>'Data Source'!A9</f>
        <v/>
      </c>
      <c r="B10">
        <f>'Data Source'!B9</f>
        <v/>
      </c>
      <c r="C10" s="15">
        <f>IF(('Data Source'!C9+'Data Source'!D9)/200*100&gt;=80,"A+",IF(('Data Source'!C9+'Data Source'!D9)/200*100&gt;=70,"A",IF(('Data Source'!C9+'Data Source'!D9)/200*100&gt;=60,"A-",IF(('Data Source'!C9+'Data Source'!D9)/200*100&gt;=50,"B",IF(('Data Source'!C9+'Data Source'!D9)/200*100&gt;=40,"C",IF(('Data Source'!C9+'Data Source'!D9)/200*100&gt;=33,"D","F"))))))</f>
        <v/>
      </c>
      <c r="D10" s="15">
        <f>IF(('Data Source'!E9+'Data Source'!F9)/200*100&gt;=80,"A+",IF(('Data Source'!E9+'Data Source'!F9)/200*100&gt;=70,"A",IF(('Data Source'!E9+'Data Source'!F9)/200*100&gt;=60,"A-",IF(('Data Source'!E9+'Data Source'!F9)/200*100&gt;=50,"B",IF(('Data Source'!E9+'Data Source'!F9)/200*100&gt;=40,"C",IF(('Data Source'!E9+'Data Source'!F9)/200*100&gt;=33,"D","F"))))))</f>
        <v/>
      </c>
      <c r="E10" s="15">
        <f>IF('Data Source'!G9&gt;=80,"A+",IF('Data Source'!G9&gt;=70,"A",IF('Data Source'!G9&gt;=60,"A-",IF('Data Source'!G9&gt;=50,"B",IF('Data Source'!G9&gt;=40,"C",IF('Data Source'!G9&gt;=33,"D","F"))))))</f>
        <v/>
      </c>
      <c r="F10" s="15">
        <f>IF(('Data Source'!H9+'Data Source'!I9)/200*100&gt;=80,"A+",IF(('Data Source'!H9+'Data Source'!I9)/200*100&gt;=70,"A",IF(('Data Source'!H9+'Data Source'!I9)/200*100&gt;=60,"A-",IF(('Data Source'!H9+'Data Source'!I9)/200*100&gt;=50,"B",IF(('Data Source'!H9+'Data Source'!I9)/200*100&gt;=40,"C",IF(('Data Source'!H9+'Data Source'!I9)/200*100&gt;=33,"D","F"))))))</f>
        <v/>
      </c>
      <c r="G10" s="15">
        <f>IF(('Data Source'!J9+'Data Source'!K9)/200*100&gt;=80,"A+",IF(('Data Source'!J9+'Data Source'!K9)/200*100&gt;=70,"A",IF(('Data Source'!J9+'Data Source'!K9)/200*100&gt;=60,"A-",IF(('Data Source'!J9+'Data Source'!K9)/200*100&gt;=50,"B",IF(('Data Source'!J9+'Data Source'!K9)/200*100&gt;=40,"C",IF(('Data Source'!J9+'Data Source'!K9)/200*100&gt;=33,"D","F"))))))</f>
        <v/>
      </c>
      <c r="H10" s="15">
        <f>IF('Data Source'!L9&gt;=80,"A+",IF('Data Source'!L9&gt;=70,"A",IF('Data Source'!L9&gt;=60,"A-",IF('Data Source'!L9&gt;=50,"B",IF('Data Source'!L9&gt;=40,"C",IF('Data Source'!L9&gt;=33,"D","F"))))))</f>
        <v/>
      </c>
      <c r="I10" s="15">
        <f>IF('Data Source'!M9&gt;=80,"A+",IF('Data Source'!M9&gt;=70,"A",IF('Data Source'!M9&gt;=60,"A-",IF('Data Source'!M9&gt;=50,"B",IF('Data Source'!M9&gt;=40,"C",IF('Data Source'!M9&gt;=33,"D","F"))))))</f>
        <v/>
      </c>
      <c r="J10" s="15">
        <f>IF('Data Source'!N9/50*100&gt;=80,"A+",IF('Data Source'!N9/50*100&gt;=70,"A",IF('Data Source'!N9/50*100&gt;=60,"A-",IF('Data Source'!N9/50*100&gt;=50,"B",IF('Data Source'!N9/50*100&gt;=40,"C",IF('Data Source'!N9/50*100&gt;=33,"D","F"))))))</f>
        <v/>
      </c>
      <c r="K10" s="15">
        <f>IF('Data Source'!O9&gt;=80,"A+",IF('Data Source'!O9&gt;=70,"A",IF('Data Source'!O9&gt;=60,"A-",IF('Data Source'!O9&gt;=50,"B",IF('Data Source'!O9&gt;=40,"C",IF('Data Source'!O9&gt;=33,"D","F"))))))</f>
        <v/>
      </c>
      <c r="L10" s="15">
        <f>IF('Data Source'!P9&gt;=33,"Pass","Fail")</f>
        <v/>
      </c>
      <c r="M10" s="15">
        <f>IF('Data Source'!Q9&gt;=33,"Pass","Fail")</f>
        <v/>
      </c>
      <c r="N10" s="6">
        <f>'Data Source'!T9</f>
        <v/>
      </c>
      <c r="O10" s="15">
        <f>'Data Source'!U9</f>
        <v/>
      </c>
    </row>
    <row r="11">
      <c r="A11" s="15">
        <f>'Data Source'!A10</f>
        <v/>
      </c>
      <c r="B11">
        <f>'Data Source'!B10</f>
        <v/>
      </c>
      <c r="C11" s="15">
        <f>IF(('Data Source'!C10+'Data Source'!D10)/200*100&gt;=80,"A+",IF(('Data Source'!C10+'Data Source'!D10)/200*100&gt;=70,"A",IF(('Data Source'!C10+'Data Source'!D10)/200*100&gt;=60,"A-",IF(('Data Source'!C10+'Data Source'!D10)/200*100&gt;=50,"B",IF(('Data Source'!C10+'Data Source'!D10)/200*100&gt;=40,"C",IF(('Data Source'!C10+'Data Source'!D10)/200*100&gt;=33,"D","F"))))))</f>
        <v/>
      </c>
      <c r="D11" s="15">
        <f>IF(('Data Source'!E10+'Data Source'!F10)/200*100&gt;=80,"A+",IF(('Data Source'!E10+'Data Source'!F10)/200*100&gt;=70,"A",IF(('Data Source'!E10+'Data Source'!F10)/200*100&gt;=60,"A-",IF(('Data Source'!E10+'Data Source'!F10)/200*100&gt;=50,"B",IF(('Data Source'!E10+'Data Source'!F10)/200*100&gt;=40,"C",IF(('Data Source'!E10+'Data Source'!F10)/200*100&gt;=33,"D","F"))))))</f>
        <v/>
      </c>
      <c r="E11" s="15">
        <f>IF('Data Source'!G10&gt;=80,"A+",IF('Data Source'!G10&gt;=70,"A",IF('Data Source'!G10&gt;=60,"A-",IF('Data Source'!G10&gt;=50,"B",IF('Data Source'!G10&gt;=40,"C",IF('Data Source'!G10&gt;=33,"D","F"))))))</f>
        <v/>
      </c>
      <c r="F11" s="15">
        <f>IF(('Data Source'!H10+'Data Source'!I10)/200*100&gt;=80,"A+",IF(('Data Source'!H10+'Data Source'!I10)/200*100&gt;=70,"A",IF(('Data Source'!H10+'Data Source'!I10)/200*100&gt;=60,"A-",IF(('Data Source'!H10+'Data Source'!I10)/200*100&gt;=50,"B",IF(('Data Source'!H10+'Data Source'!I10)/200*100&gt;=40,"C",IF(('Data Source'!H10+'Data Source'!I10)/200*100&gt;=33,"D","F"))))))</f>
        <v/>
      </c>
      <c r="G11" s="15">
        <f>IF(('Data Source'!J10+'Data Source'!K10)/200*100&gt;=80,"A+",IF(('Data Source'!J10+'Data Source'!K10)/200*100&gt;=70,"A",IF(('Data Source'!J10+'Data Source'!K10)/200*100&gt;=60,"A-",IF(('Data Source'!J10+'Data Source'!K10)/200*100&gt;=50,"B",IF(('Data Source'!J10+'Data Source'!K10)/200*100&gt;=40,"C",IF(('Data Source'!J10+'Data Source'!K10)/200*100&gt;=33,"D","F"))))))</f>
        <v/>
      </c>
      <c r="H11" s="15">
        <f>IF('Data Source'!L10&gt;=80,"A+",IF('Data Source'!L10&gt;=70,"A",IF('Data Source'!L10&gt;=60,"A-",IF('Data Source'!L10&gt;=50,"B",IF('Data Source'!L10&gt;=40,"C",IF('Data Source'!L10&gt;=33,"D","F"))))))</f>
        <v/>
      </c>
      <c r="I11" s="15">
        <f>IF('Data Source'!M10&gt;=80,"A+",IF('Data Source'!M10&gt;=70,"A",IF('Data Source'!M10&gt;=60,"A-",IF('Data Source'!M10&gt;=50,"B",IF('Data Source'!M10&gt;=40,"C",IF('Data Source'!M10&gt;=33,"D","F"))))))</f>
        <v/>
      </c>
      <c r="J11" s="15">
        <f>IF('Data Source'!N10/50*100&gt;=80,"A+",IF('Data Source'!N10/50*100&gt;=70,"A",IF('Data Source'!N10/50*100&gt;=60,"A-",IF('Data Source'!N10/50*100&gt;=50,"B",IF('Data Source'!N10/50*100&gt;=40,"C",IF('Data Source'!N10/50*100&gt;=33,"D","F"))))))</f>
        <v/>
      </c>
      <c r="K11" s="15">
        <f>IF('Data Source'!O10&gt;=80,"A+",IF('Data Source'!O10&gt;=70,"A",IF('Data Source'!O10&gt;=60,"A-",IF('Data Source'!O10&gt;=50,"B",IF('Data Source'!O10&gt;=40,"C",IF('Data Source'!O10&gt;=33,"D","F"))))))</f>
        <v/>
      </c>
      <c r="L11" s="15">
        <f>IF('Data Source'!P10&gt;=33,"Pass","Fail")</f>
        <v/>
      </c>
      <c r="M11" s="15">
        <f>IF('Data Source'!Q10&gt;=33,"Pass","Fail")</f>
        <v/>
      </c>
      <c r="N11" s="6">
        <f>'Data Source'!T10</f>
        <v/>
      </c>
      <c r="O11" s="15">
        <f>'Data Source'!U10</f>
        <v/>
      </c>
    </row>
    <row r="12">
      <c r="A12" s="15">
        <f>'Data Source'!A11</f>
        <v/>
      </c>
      <c r="B12">
        <f>'Data Source'!B11</f>
        <v/>
      </c>
      <c r="C12" s="15">
        <f>IF(('Data Source'!C11+'Data Source'!D11)/200*100&gt;=80,"A+",IF(('Data Source'!C11+'Data Source'!D11)/200*100&gt;=70,"A",IF(('Data Source'!C11+'Data Source'!D11)/200*100&gt;=60,"A-",IF(('Data Source'!C11+'Data Source'!D11)/200*100&gt;=50,"B",IF(('Data Source'!C11+'Data Source'!D11)/200*100&gt;=40,"C",IF(('Data Source'!C11+'Data Source'!D11)/200*100&gt;=33,"D","F"))))))</f>
        <v/>
      </c>
      <c r="D12" s="15">
        <f>IF(('Data Source'!E11+'Data Source'!F11)/200*100&gt;=80,"A+",IF(('Data Source'!E11+'Data Source'!F11)/200*100&gt;=70,"A",IF(('Data Source'!E11+'Data Source'!F11)/200*100&gt;=60,"A-",IF(('Data Source'!E11+'Data Source'!F11)/200*100&gt;=50,"B",IF(('Data Source'!E11+'Data Source'!F11)/200*100&gt;=40,"C",IF(('Data Source'!E11+'Data Source'!F11)/200*100&gt;=33,"D","F"))))))</f>
        <v/>
      </c>
      <c r="E12" s="15">
        <f>IF('Data Source'!G11&gt;=80,"A+",IF('Data Source'!G11&gt;=70,"A",IF('Data Source'!G11&gt;=60,"A-",IF('Data Source'!G11&gt;=50,"B",IF('Data Source'!G11&gt;=40,"C",IF('Data Source'!G11&gt;=33,"D","F"))))))</f>
        <v/>
      </c>
      <c r="F12" s="15">
        <f>IF(('Data Source'!H11+'Data Source'!I11)/200*100&gt;=80,"A+",IF(('Data Source'!H11+'Data Source'!I11)/200*100&gt;=70,"A",IF(('Data Source'!H11+'Data Source'!I11)/200*100&gt;=60,"A-",IF(('Data Source'!H11+'Data Source'!I11)/200*100&gt;=50,"B",IF(('Data Source'!H11+'Data Source'!I11)/200*100&gt;=40,"C",IF(('Data Source'!H11+'Data Source'!I11)/200*100&gt;=33,"D","F"))))))</f>
        <v/>
      </c>
      <c r="G12" s="15">
        <f>IF(('Data Source'!J11+'Data Source'!K11)/200*100&gt;=80,"A+",IF(('Data Source'!J11+'Data Source'!K11)/200*100&gt;=70,"A",IF(('Data Source'!J11+'Data Source'!K11)/200*100&gt;=60,"A-",IF(('Data Source'!J11+'Data Source'!K11)/200*100&gt;=50,"B",IF(('Data Source'!J11+'Data Source'!K11)/200*100&gt;=40,"C",IF(('Data Source'!J11+'Data Source'!K11)/200*100&gt;=33,"D","F"))))))</f>
        <v/>
      </c>
      <c r="H12" s="15">
        <f>IF('Data Source'!L11&gt;=80,"A+",IF('Data Source'!L11&gt;=70,"A",IF('Data Source'!L11&gt;=60,"A-",IF('Data Source'!L11&gt;=50,"B",IF('Data Source'!L11&gt;=40,"C",IF('Data Source'!L11&gt;=33,"D","F"))))))</f>
        <v/>
      </c>
      <c r="I12" s="15">
        <f>IF('Data Source'!M11&gt;=80,"A+",IF('Data Source'!M11&gt;=70,"A",IF('Data Source'!M11&gt;=60,"A-",IF('Data Source'!M11&gt;=50,"B",IF('Data Source'!M11&gt;=40,"C",IF('Data Source'!M11&gt;=33,"D","F"))))))</f>
        <v/>
      </c>
      <c r="J12" s="15">
        <f>IF('Data Source'!N11/50*100&gt;=80,"A+",IF('Data Source'!N11/50*100&gt;=70,"A",IF('Data Source'!N11/50*100&gt;=60,"A-",IF('Data Source'!N11/50*100&gt;=50,"B",IF('Data Source'!N11/50*100&gt;=40,"C",IF('Data Source'!N11/50*100&gt;=33,"D","F"))))))</f>
        <v/>
      </c>
      <c r="K12" s="15">
        <f>IF('Data Source'!O11&gt;=80,"A+",IF('Data Source'!O11&gt;=70,"A",IF('Data Source'!O11&gt;=60,"A-",IF('Data Source'!O11&gt;=50,"B",IF('Data Source'!O11&gt;=40,"C",IF('Data Source'!O11&gt;=33,"D","F"))))))</f>
        <v/>
      </c>
      <c r="L12" s="15">
        <f>IF('Data Source'!P11&gt;=33,"Pass","Fail")</f>
        <v/>
      </c>
      <c r="M12" s="15">
        <f>IF('Data Source'!Q11&gt;=33,"Pass","Fail")</f>
        <v/>
      </c>
      <c r="N12" s="6">
        <f>'Data Source'!T11</f>
        <v/>
      </c>
      <c r="O12" s="15">
        <f>'Data Source'!U11</f>
        <v/>
      </c>
    </row>
    <row r="13">
      <c r="A13" s="15">
        <f>'Data Source'!A12</f>
        <v/>
      </c>
      <c r="B13">
        <f>'Data Source'!B12</f>
        <v/>
      </c>
      <c r="C13" s="15">
        <f>IF(('Data Source'!C12+'Data Source'!D12)/200*100&gt;=80,"A+",IF(('Data Source'!C12+'Data Source'!D12)/200*100&gt;=70,"A",IF(('Data Source'!C12+'Data Source'!D12)/200*100&gt;=60,"A-",IF(('Data Source'!C12+'Data Source'!D12)/200*100&gt;=50,"B",IF(('Data Source'!C12+'Data Source'!D12)/200*100&gt;=40,"C",IF(('Data Source'!C12+'Data Source'!D12)/200*100&gt;=33,"D","F"))))))</f>
        <v/>
      </c>
      <c r="D13" s="15">
        <f>IF(('Data Source'!E12+'Data Source'!F12)/200*100&gt;=80,"A+",IF(('Data Source'!E12+'Data Source'!F12)/200*100&gt;=70,"A",IF(('Data Source'!E12+'Data Source'!F12)/200*100&gt;=60,"A-",IF(('Data Source'!E12+'Data Source'!F12)/200*100&gt;=50,"B",IF(('Data Source'!E12+'Data Source'!F12)/200*100&gt;=40,"C",IF(('Data Source'!E12+'Data Source'!F12)/200*100&gt;=33,"D","F"))))))</f>
        <v/>
      </c>
      <c r="E13" s="15">
        <f>IF('Data Source'!G12&gt;=80,"A+",IF('Data Source'!G12&gt;=70,"A",IF('Data Source'!G12&gt;=60,"A-",IF('Data Source'!G12&gt;=50,"B",IF('Data Source'!G12&gt;=40,"C",IF('Data Source'!G12&gt;=33,"D","F"))))))</f>
        <v/>
      </c>
      <c r="F13" s="15">
        <f>IF(('Data Source'!H12+'Data Source'!I12)/200*100&gt;=80,"A+",IF(('Data Source'!H12+'Data Source'!I12)/200*100&gt;=70,"A",IF(('Data Source'!H12+'Data Source'!I12)/200*100&gt;=60,"A-",IF(('Data Source'!H12+'Data Source'!I12)/200*100&gt;=50,"B",IF(('Data Source'!H12+'Data Source'!I12)/200*100&gt;=40,"C",IF(('Data Source'!H12+'Data Source'!I12)/200*100&gt;=33,"D","F"))))))</f>
        <v/>
      </c>
      <c r="G13" s="15">
        <f>IF(('Data Source'!J12+'Data Source'!K12)/200*100&gt;=80,"A+",IF(('Data Source'!J12+'Data Source'!K12)/200*100&gt;=70,"A",IF(('Data Source'!J12+'Data Source'!K12)/200*100&gt;=60,"A-",IF(('Data Source'!J12+'Data Source'!K12)/200*100&gt;=50,"B",IF(('Data Source'!J12+'Data Source'!K12)/200*100&gt;=40,"C",IF(('Data Source'!J12+'Data Source'!K12)/200*100&gt;=33,"D","F"))))))</f>
        <v/>
      </c>
      <c r="H13" s="15">
        <f>IF('Data Source'!L12&gt;=80,"A+",IF('Data Source'!L12&gt;=70,"A",IF('Data Source'!L12&gt;=60,"A-",IF('Data Source'!L12&gt;=50,"B",IF('Data Source'!L12&gt;=40,"C",IF('Data Source'!L12&gt;=33,"D","F"))))))</f>
        <v/>
      </c>
      <c r="I13" s="15">
        <f>IF('Data Source'!M12&gt;=80,"A+",IF('Data Source'!M12&gt;=70,"A",IF('Data Source'!M12&gt;=60,"A-",IF('Data Source'!M12&gt;=50,"B",IF('Data Source'!M12&gt;=40,"C",IF('Data Source'!M12&gt;=33,"D","F"))))))</f>
        <v/>
      </c>
      <c r="J13" s="15">
        <f>IF('Data Source'!N12/50*100&gt;=80,"A+",IF('Data Source'!N12/50*100&gt;=70,"A",IF('Data Source'!N12/50*100&gt;=60,"A-",IF('Data Source'!N12/50*100&gt;=50,"B",IF('Data Source'!N12/50*100&gt;=40,"C",IF('Data Source'!N12/50*100&gt;=33,"D","F"))))))</f>
        <v/>
      </c>
      <c r="K13" s="15">
        <f>IF('Data Source'!O12&gt;=80,"A+",IF('Data Source'!O12&gt;=70,"A",IF('Data Source'!O12&gt;=60,"A-",IF('Data Source'!O12&gt;=50,"B",IF('Data Source'!O12&gt;=40,"C",IF('Data Source'!O12&gt;=33,"D","F"))))))</f>
        <v/>
      </c>
      <c r="L13" s="15">
        <f>IF('Data Source'!P12&gt;=33,"Pass","Fail")</f>
        <v/>
      </c>
      <c r="M13" s="15">
        <f>IF('Data Source'!Q12&gt;=33,"Pass","Fail")</f>
        <v/>
      </c>
      <c r="N13" s="6">
        <f>'Data Source'!T12</f>
        <v/>
      </c>
      <c r="O13" s="15">
        <f>'Data Source'!U12</f>
        <v/>
      </c>
    </row>
    <row r="14">
      <c r="A14" s="15">
        <f>'Data Source'!A13</f>
        <v/>
      </c>
      <c r="B14">
        <f>'Data Source'!B13</f>
        <v/>
      </c>
      <c r="C14" s="15">
        <f>IF(('Data Source'!C13+'Data Source'!D13)/200*100&gt;=80,"A+",IF(('Data Source'!C13+'Data Source'!D13)/200*100&gt;=70,"A",IF(('Data Source'!C13+'Data Source'!D13)/200*100&gt;=60,"A-",IF(('Data Source'!C13+'Data Source'!D13)/200*100&gt;=50,"B",IF(('Data Source'!C13+'Data Source'!D13)/200*100&gt;=40,"C",IF(('Data Source'!C13+'Data Source'!D13)/200*100&gt;=33,"D","F"))))))</f>
        <v/>
      </c>
      <c r="D14" s="15">
        <f>IF(('Data Source'!E13+'Data Source'!F13)/200*100&gt;=80,"A+",IF(('Data Source'!E13+'Data Source'!F13)/200*100&gt;=70,"A",IF(('Data Source'!E13+'Data Source'!F13)/200*100&gt;=60,"A-",IF(('Data Source'!E13+'Data Source'!F13)/200*100&gt;=50,"B",IF(('Data Source'!E13+'Data Source'!F13)/200*100&gt;=40,"C",IF(('Data Source'!E13+'Data Source'!F13)/200*100&gt;=33,"D","F"))))))</f>
        <v/>
      </c>
      <c r="E14" s="15">
        <f>IF('Data Source'!G13&gt;=80,"A+",IF('Data Source'!G13&gt;=70,"A",IF('Data Source'!G13&gt;=60,"A-",IF('Data Source'!G13&gt;=50,"B",IF('Data Source'!G13&gt;=40,"C",IF('Data Source'!G13&gt;=33,"D","F"))))))</f>
        <v/>
      </c>
      <c r="F14" s="15">
        <f>IF(('Data Source'!H13+'Data Source'!I13)/200*100&gt;=80,"A+",IF(('Data Source'!H13+'Data Source'!I13)/200*100&gt;=70,"A",IF(('Data Source'!H13+'Data Source'!I13)/200*100&gt;=60,"A-",IF(('Data Source'!H13+'Data Source'!I13)/200*100&gt;=50,"B",IF(('Data Source'!H13+'Data Source'!I13)/200*100&gt;=40,"C",IF(('Data Source'!H13+'Data Source'!I13)/200*100&gt;=33,"D","F"))))))</f>
        <v/>
      </c>
      <c r="G14" s="15">
        <f>IF(('Data Source'!J13+'Data Source'!K13)/200*100&gt;=80,"A+",IF(('Data Source'!J13+'Data Source'!K13)/200*100&gt;=70,"A",IF(('Data Source'!J13+'Data Source'!K13)/200*100&gt;=60,"A-",IF(('Data Source'!J13+'Data Source'!K13)/200*100&gt;=50,"B",IF(('Data Source'!J13+'Data Source'!K13)/200*100&gt;=40,"C",IF(('Data Source'!J13+'Data Source'!K13)/200*100&gt;=33,"D","F"))))))</f>
        <v/>
      </c>
      <c r="H14" s="15">
        <f>IF('Data Source'!L13&gt;=80,"A+",IF('Data Source'!L13&gt;=70,"A",IF('Data Source'!L13&gt;=60,"A-",IF('Data Source'!L13&gt;=50,"B",IF('Data Source'!L13&gt;=40,"C",IF('Data Source'!L13&gt;=33,"D","F"))))))</f>
        <v/>
      </c>
      <c r="I14" s="15">
        <f>IF('Data Source'!M13&gt;=80,"A+",IF('Data Source'!M13&gt;=70,"A",IF('Data Source'!M13&gt;=60,"A-",IF('Data Source'!M13&gt;=50,"B",IF('Data Source'!M13&gt;=40,"C",IF('Data Source'!M13&gt;=33,"D","F"))))))</f>
        <v/>
      </c>
      <c r="J14" s="15">
        <f>IF('Data Source'!N13/50*100&gt;=80,"A+",IF('Data Source'!N13/50*100&gt;=70,"A",IF('Data Source'!N13/50*100&gt;=60,"A-",IF('Data Source'!N13/50*100&gt;=50,"B",IF('Data Source'!N13/50*100&gt;=40,"C",IF('Data Source'!N13/50*100&gt;=33,"D","F"))))))</f>
        <v/>
      </c>
      <c r="K14" s="15">
        <f>IF('Data Source'!O13&gt;=80,"A+",IF('Data Source'!O13&gt;=70,"A",IF('Data Source'!O13&gt;=60,"A-",IF('Data Source'!O13&gt;=50,"B",IF('Data Source'!O13&gt;=40,"C",IF('Data Source'!O13&gt;=33,"D","F"))))))</f>
        <v/>
      </c>
      <c r="L14" s="15">
        <f>IF('Data Source'!P13&gt;=33,"Pass","Fail")</f>
        <v/>
      </c>
      <c r="M14" s="15">
        <f>IF('Data Source'!Q13&gt;=33,"Pass","Fail")</f>
        <v/>
      </c>
      <c r="N14" s="6">
        <f>'Data Source'!T13</f>
        <v/>
      </c>
      <c r="O14" s="15">
        <f>'Data Source'!U13</f>
        <v/>
      </c>
    </row>
    <row r="15">
      <c r="A15" s="15">
        <f>'Data Source'!A14</f>
        <v/>
      </c>
      <c r="B15">
        <f>'Data Source'!B14</f>
        <v/>
      </c>
      <c r="C15" s="15">
        <f>IF(('Data Source'!C14+'Data Source'!D14)/200*100&gt;=80,"A+",IF(('Data Source'!C14+'Data Source'!D14)/200*100&gt;=70,"A",IF(('Data Source'!C14+'Data Source'!D14)/200*100&gt;=60,"A-",IF(('Data Source'!C14+'Data Source'!D14)/200*100&gt;=50,"B",IF(('Data Source'!C14+'Data Source'!D14)/200*100&gt;=40,"C",IF(('Data Source'!C14+'Data Source'!D14)/200*100&gt;=33,"D","F"))))))</f>
        <v/>
      </c>
      <c r="D15" s="15">
        <f>IF(('Data Source'!E14+'Data Source'!F14)/200*100&gt;=80,"A+",IF(('Data Source'!E14+'Data Source'!F14)/200*100&gt;=70,"A",IF(('Data Source'!E14+'Data Source'!F14)/200*100&gt;=60,"A-",IF(('Data Source'!E14+'Data Source'!F14)/200*100&gt;=50,"B",IF(('Data Source'!E14+'Data Source'!F14)/200*100&gt;=40,"C",IF(('Data Source'!E14+'Data Source'!F14)/200*100&gt;=33,"D","F"))))))</f>
        <v/>
      </c>
      <c r="E15" s="15">
        <f>IF('Data Source'!G14&gt;=80,"A+",IF('Data Source'!G14&gt;=70,"A",IF('Data Source'!G14&gt;=60,"A-",IF('Data Source'!G14&gt;=50,"B",IF('Data Source'!G14&gt;=40,"C",IF('Data Source'!G14&gt;=33,"D","F"))))))</f>
        <v/>
      </c>
      <c r="F15" s="15">
        <f>IF(('Data Source'!H14+'Data Source'!I14)/200*100&gt;=80,"A+",IF(('Data Source'!H14+'Data Source'!I14)/200*100&gt;=70,"A",IF(('Data Source'!H14+'Data Source'!I14)/200*100&gt;=60,"A-",IF(('Data Source'!H14+'Data Source'!I14)/200*100&gt;=50,"B",IF(('Data Source'!H14+'Data Source'!I14)/200*100&gt;=40,"C",IF(('Data Source'!H14+'Data Source'!I14)/200*100&gt;=33,"D","F"))))))</f>
        <v/>
      </c>
      <c r="G15" s="15">
        <f>IF(('Data Source'!J14+'Data Source'!K14)/200*100&gt;=80,"A+",IF(('Data Source'!J14+'Data Source'!K14)/200*100&gt;=70,"A",IF(('Data Source'!J14+'Data Source'!K14)/200*100&gt;=60,"A-",IF(('Data Source'!J14+'Data Source'!K14)/200*100&gt;=50,"B",IF(('Data Source'!J14+'Data Source'!K14)/200*100&gt;=40,"C",IF(('Data Source'!J14+'Data Source'!K14)/200*100&gt;=33,"D","F"))))))</f>
        <v/>
      </c>
      <c r="H15" s="15">
        <f>IF('Data Source'!L14&gt;=80,"A+",IF('Data Source'!L14&gt;=70,"A",IF('Data Source'!L14&gt;=60,"A-",IF('Data Source'!L14&gt;=50,"B",IF('Data Source'!L14&gt;=40,"C",IF('Data Source'!L14&gt;=33,"D","F"))))))</f>
        <v/>
      </c>
      <c r="I15" s="15">
        <f>IF('Data Source'!M14&gt;=80,"A+",IF('Data Source'!M14&gt;=70,"A",IF('Data Source'!M14&gt;=60,"A-",IF('Data Source'!M14&gt;=50,"B",IF('Data Source'!M14&gt;=40,"C",IF('Data Source'!M14&gt;=33,"D","F"))))))</f>
        <v/>
      </c>
      <c r="J15" s="15">
        <f>IF('Data Source'!N14/50*100&gt;=80,"A+",IF('Data Source'!N14/50*100&gt;=70,"A",IF('Data Source'!N14/50*100&gt;=60,"A-",IF('Data Source'!N14/50*100&gt;=50,"B",IF('Data Source'!N14/50*100&gt;=40,"C",IF('Data Source'!N14/50*100&gt;=33,"D","F"))))))</f>
        <v/>
      </c>
      <c r="K15" s="15">
        <f>IF('Data Source'!O14&gt;=80,"A+",IF('Data Source'!O14&gt;=70,"A",IF('Data Source'!O14&gt;=60,"A-",IF('Data Source'!O14&gt;=50,"B",IF('Data Source'!O14&gt;=40,"C",IF('Data Source'!O14&gt;=33,"D","F"))))))</f>
        <v/>
      </c>
      <c r="L15" s="15">
        <f>IF('Data Source'!P14&gt;=33,"Pass","Fail")</f>
        <v/>
      </c>
      <c r="M15" s="15">
        <f>IF('Data Source'!Q14&gt;=33,"Pass","Fail")</f>
        <v/>
      </c>
      <c r="N15" s="6">
        <f>'Data Source'!T14</f>
        <v/>
      </c>
      <c r="O15" s="15">
        <f>'Data Source'!U14</f>
        <v/>
      </c>
    </row>
    <row r="16">
      <c r="A16" s="15">
        <f>'Data Source'!A15</f>
        <v/>
      </c>
      <c r="B16">
        <f>'Data Source'!B15</f>
        <v/>
      </c>
      <c r="C16" s="15">
        <f>IF(('Data Source'!C15+'Data Source'!D15)/200*100&gt;=80,"A+",IF(('Data Source'!C15+'Data Source'!D15)/200*100&gt;=70,"A",IF(('Data Source'!C15+'Data Source'!D15)/200*100&gt;=60,"A-",IF(('Data Source'!C15+'Data Source'!D15)/200*100&gt;=50,"B",IF(('Data Source'!C15+'Data Source'!D15)/200*100&gt;=40,"C",IF(('Data Source'!C15+'Data Source'!D15)/200*100&gt;=33,"D","F"))))))</f>
        <v/>
      </c>
      <c r="D16" s="15">
        <f>IF(('Data Source'!E15+'Data Source'!F15)/200*100&gt;=80,"A+",IF(('Data Source'!E15+'Data Source'!F15)/200*100&gt;=70,"A",IF(('Data Source'!E15+'Data Source'!F15)/200*100&gt;=60,"A-",IF(('Data Source'!E15+'Data Source'!F15)/200*100&gt;=50,"B",IF(('Data Source'!E15+'Data Source'!F15)/200*100&gt;=40,"C",IF(('Data Source'!E15+'Data Source'!F15)/200*100&gt;=33,"D","F"))))))</f>
        <v/>
      </c>
      <c r="E16" s="15">
        <f>IF('Data Source'!G15&gt;=80,"A+",IF('Data Source'!G15&gt;=70,"A",IF('Data Source'!G15&gt;=60,"A-",IF('Data Source'!G15&gt;=50,"B",IF('Data Source'!G15&gt;=40,"C",IF('Data Source'!G15&gt;=33,"D","F"))))))</f>
        <v/>
      </c>
      <c r="F16" s="15">
        <f>IF(('Data Source'!H15+'Data Source'!I15)/200*100&gt;=80,"A+",IF(('Data Source'!H15+'Data Source'!I15)/200*100&gt;=70,"A",IF(('Data Source'!H15+'Data Source'!I15)/200*100&gt;=60,"A-",IF(('Data Source'!H15+'Data Source'!I15)/200*100&gt;=50,"B",IF(('Data Source'!H15+'Data Source'!I15)/200*100&gt;=40,"C",IF(('Data Source'!H15+'Data Source'!I15)/200*100&gt;=33,"D","F"))))))</f>
        <v/>
      </c>
      <c r="G16" s="15">
        <f>IF(('Data Source'!J15+'Data Source'!K15)/200*100&gt;=80,"A+",IF(('Data Source'!J15+'Data Source'!K15)/200*100&gt;=70,"A",IF(('Data Source'!J15+'Data Source'!K15)/200*100&gt;=60,"A-",IF(('Data Source'!J15+'Data Source'!K15)/200*100&gt;=50,"B",IF(('Data Source'!J15+'Data Source'!K15)/200*100&gt;=40,"C",IF(('Data Source'!J15+'Data Source'!K15)/200*100&gt;=33,"D","F"))))))</f>
        <v/>
      </c>
      <c r="H16" s="15">
        <f>IF('Data Source'!L15&gt;=80,"A+",IF('Data Source'!L15&gt;=70,"A",IF('Data Source'!L15&gt;=60,"A-",IF('Data Source'!L15&gt;=50,"B",IF('Data Source'!L15&gt;=40,"C",IF('Data Source'!L15&gt;=33,"D","F"))))))</f>
        <v/>
      </c>
      <c r="I16" s="15">
        <f>IF('Data Source'!M15&gt;=80,"A+",IF('Data Source'!M15&gt;=70,"A",IF('Data Source'!M15&gt;=60,"A-",IF('Data Source'!M15&gt;=50,"B",IF('Data Source'!M15&gt;=40,"C",IF('Data Source'!M15&gt;=33,"D","F"))))))</f>
        <v/>
      </c>
      <c r="J16" s="15">
        <f>IF('Data Source'!N15/50*100&gt;=80,"A+",IF('Data Source'!N15/50*100&gt;=70,"A",IF('Data Source'!N15/50*100&gt;=60,"A-",IF('Data Source'!N15/50*100&gt;=50,"B",IF('Data Source'!N15/50*100&gt;=40,"C",IF('Data Source'!N15/50*100&gt;=33,"D","F"))))))</f>
        <v/>
      </c>
      <c r="K16" s="15">
        <f>IF('Data Source'!O15&gt;=80,"A+",IF('Data Source'!O15&gt;=70,"A",IF('Data Source'!O15&gt;=60,"A-",IF('Data Source'!O15&gt;=50,"B",IF('Data Source'!O15&gt;=40,"C",IF('Data Source'!O15&gt;=33,"D","F"))))))</f>
        <v/>
      </c>
      <c r="L16" s="15">
        <f>IF('Data Source'!P15&gt;=33,"Pass","Fail")</f>
        <v/>
      </c>
      <c r="M16" s="15">
        <f>IF('Data Source'!Q15&gt;=33,"Pass","Fail")</f>
        <v/>
      </c>
      <c r="N16" s="6">
        <f>'Data Source'!T15</f>
        <v/>
      </c>
      <c r="O16" s="15">
        <f>'Data Source'!U15</f>
        <v/>
      </c>
    </row>
    <row r="17">
      <c r="A17" s="15">
        <f>'Data Source'!A16</f>
        <v/>
      </c>
      <c r="B17">
        <f>'Data Source'!B16</f>
        <v/>
      </c>
      <c r="C17" s="15">
        <f>IF(('Data Source'!C16+'Data Source'!D16)/200*100&gt;=80,"A+",IF(('Data Source'!C16+'Data Source'!D16)/200*100&gt;=70,"A",IF(('Data Source'!C16+'Data Source'!D16)/200*100&gt;=60,"A-",IF(('Data Source'!C16+'Data Source'!D16)/200*100&gt;=50,"B",IF(('Data Source'!C16+'Data Source'!D16)/200*100&gt;=40,"C",IF(('Data Source'!C16+'Data Source'!D16)/200*100&gt;=33,"D","F"))))))</f>
        <v/>
      </c>
      <c r="D17" s="15">
        <f>IF(('Data Source'!E16+'Data Source'!F16)/200*100&gt;=80,"A+",IF(('Data Source'!E16+'Data Source'!F16)/200*100&gt;=70,"A",IF(('Data Source'!E16+'Data Source'!F16)/200*100&gt;=60,"A-",IF(('Data Source'!E16+'Data Source'!F16)/200*100&gt;=50,"B",IF(('Data Source'!E16+'Data Source'!F16)/200*100&gt;=40,"C",IF(('Data Source'!E16+'Data Source'!F16)/200*100&gt;=33,"D","F"))))))</f>
        <v/>
      </c>
      <c r="E17" s="15">
        <f>IF('Data Source'!G16&gt;=80,"A+",IF('Data Source'!G16&gt;=70,"A",IF('Data Source'!G16&gt;=60,"A-",IF('Data Source'!G16&gt;=50,"B",IF('Data Source'!G16&gt;=40,"C",IF('Data Source'!G16&gt;=33,"D","F"))))))</f>
        <v/>
      </c>
      <c r="F17" s="15">
        <f>IF(('Data Source'!H16+'Data Source'!I16)/200*100&gt;=80,"A+",IF(('Data Source'!H16+'Data Source'!I16)/200*100&gt;=70,"A",IF(('Data Source'!H16+'Data Source'!I16)/200*100&gt;=60,"A-",IF(('Data Source'!H16+'Data Source'!I16)/200*100&gt;=50,"B",IF(('Data Source'!H16+'Data Source'!I16)/200*100&gt;=40,"C",IF(('Data Source'!H16+'Data Source'!I16)/200*100&gt;=33,"D","F"))))))</f>
        <v/>
      </c>
      <c r="G17" s="15">
        <f>IF(('Data Source'!J16+'Data Source'!K16)/200*100&gt;=80,"A+",IF(('Data Source'!J16+'Data Source'!K16)/200*100&gt;=70,"A",IF(('Data Source'!J16+'Data Source'!K16)/200*100&gt;=60,"A-",IF(('Data Source'!J16+'Data Source'!K16)/200*100&gt;=50,"B",IF(('Data Source'!J16+'Data Source'!K16)/200*100&gt;=40,"C",IF(('Data Source'!J16+'Data Source'!K16)/200*100&gt;=33,"D","F"))))))</f>
        <v/>
      </c>
      <c r="H17" s="15">
        <f>IF('Data Source'!L16&gt;=80,"A+",IF('Data Source'!L16&gt;=70,"A",IF('Data Source'!L16&gt;=60,"A-",IF('Data Source'!L16&gt;=50,"B",IF('Data Source'!L16&gt;=40,"C",IF('Data Source'!L16&gt;=33,"D","F"))))))</f>
        <v/>
      </c>
      <c r="I17" s="15">
        <f>IF('Data Source'!M16&gt;=80,"A+",IF('Data Source'!M16&gt;=70,"A",IF('Data Source'!M16&gt;=60,"A-",IF('Data Source'!M16&gt;=50,"B",IF('Data Source'!M16&gt;=40,"C",IF('Data Source'!M16&gt;=33,"D","F"))))))</f>
        <v/>
      </c>
      <c r="J17" s="15">
        <f>IF('Data Source'!N16/50*100&gt;=80,"A+",IF('Data Source'!N16/50*100&gt;=70,"A",IF('Data Source'!N16/50*100&gt;=60,"A-",IF('Data Source'!N16/50*100&gt;=50,"B",IF('Data Source'!N16/50*100&gt;=40,"C",IF('Data Source'!N16/50*100&gt;=33,"D","F"))))))</f>
        <v/>
      </c>
      <c r="K17" s="15">
        <f>IF('Data Source'!O16&gt;=80,"A+",IF('Data Source'!O16&gt;=70,"A",IF('Data Source'!O16&gt;=60,"A-",IF('Data Source'!O16&gt;=50,"B",IF('Data Source'!O16&gt;=40,"C",IF('Data Source'!O16&gt;=33,"D","F"))))))</f>
        <v/>
      </c>
      <c r="L17" s="15">
        <f>IF('Data Source'!P16&gt;=33,"Pass","Fail")</f>
        <v/>
      </c>
      <c r="M17" s="15">
        <f>IF('Data Source'!Q16&gt;=33,"Pass","Fail")</f>
        <v/>
      </c>
      <c r="N17" s="6">
        <f>'Data Source'!T16</f>
        <v/>
      </c>
      <c r="O17" s="15">
        <f>'Data Source'!U16</f>
        <v/>
      </c>
    </row>
    <row r="18">
      <c r="A18" s="15">
        <f>'Data Source'!A17</f>
        <v/>
      </c>
      <c r="B18">
        <f>'Data Source'!B17</f>
        <v/>
      </c>
      <c r="C18" s="15">
        <f>IF(('Data Source'!C17+'Data Source'!D17)/200*100&gt;=80,"A+",IF(('Data Source'!C17+'Data Source'!D17)/200*100&gt;=70,"A",IF(('Data Source'!C17+'Data Source'!D17)/200*100&gt;=60,"A-",IF(('Data Source'!C17+'Data Source'!D17)/200*100&gt;=50,"B",IF(('Data Source'!C17+'Data Source'!D17)/200*100&gt;=40,"C",IF(('Data Source'!C17+'Data Source'!D17)/200*100&gt;=33,"D","F"))))))</f>
        <v/>
      </c>
      <c r="D18" s="15">
        <f>IF(('Data Source'!E17+'Data Source'!F17)/200*100&gt;=80,"A+",IF(('Data Source'!E17+'Data Source'!F17)/200*100&gt;=70,"A",IF(('Data Source'!E17+'Data Source'!F17)/200*100&gt;=60,"A-",IF(('Data Source'!E17+'Data Source'!F17)/200*100&gt;=50,"B",IF(('Data Source'!E17+'Data Source'!F17)/200*100&gt;=40,"C",IF(('Data Source'!E17+'Data Source'!F17)/200*100&gt;=33,"D","F"))))))</f>
        <v/>
      </c>
      <c r="E18" s="15">
        <f>IF('Data Source'!G17&gt;=80,"A+",IF('Data Source'!G17&gt;=70,"A",IF('Data Source'!G17&gt;=60,"A-",IF('Data Source'!G17&gt;=50,"B",IF('Data Source'!G17&gt;=40,"C",IF('Data Source'!G17&gt;=33,"D","F"))))))</f>
        <v/>
      </c>
      <c r="F18" s="15">
        <f>IF(('Data Source'!H17+'Data Source'!I17)/200*100&gt;=80,"A+",IF(('Data Source'!H17+'Data Source'!I17)/200*100&gt;=70,"A",IF(('Data Source'!H17+'Data Source'!I17)/200*100&gt;=60,"A-",IF(('Data Source'!H17+'Data Source'!I17)/200*100&gt;=50,"B",IF(('Data Source'!H17+'Data Source'!I17)/200*100&gt;=40,"C",IF(('Data Source'!H17+'Data Source'!I17)/200*100&gt;=33,"D","F"))))))</f>
        <v/>
      </c>
      <c r="G18" s="15">
        <f>IF(('Data Source'!J17+'Data Source'!K17)/200*100&gt;=80,"A+",IF(('Data Source'!J17+'Data Source'!K17)/200*100&gt;=70,"A",IF(('Data Source'!J17+'Data Source'!K17)/200*100&gt;=60,"A-",IF(('Data Source'!J17+'Data Source'!K17)/200*100&gt;=50,"B",IF(('Data Source'!J17+'Data Source'!K17)/200*100&gt;=40,"C",IF(('Data Source'!J17+'Data Source'!K17)/200*100&gt;=33,"D","F"))))))</f>
        <v/>
      </c>
      <c r="H18" s="15">
        <f>IF('Data Source'!L17&gt;=80,"A+",IF('Data Source'!L17&gt;=70,"A",IF('Data Source'!L17&gt;=60,"A-",IF('Data Source'!L17&gt;=50,"B",IF('Data Source'!L17&gt;=40,"C",IF('Data Source'!L17&gt;=33,"D","F"))))))</f>
        <v/>
      </c>
      <c r="I18" s="15">
        <f>IF('Data Source'!M17&gt;=80,"A+",IF('Data Source'!M17&gt;=70,"A",IF('Data Source'!M17&gt;=60,"A-",IF('Data Source'!M17&gt;=50,"B",IF('Data Source'!M17&gt;=40,"C",IF('Data Source'!M17&gt;=33,"D","F"))))))</f>
        <v/>
      </c>
      <c r="J18" s="15">
        <f>IF('Data Source'!N17/50*100&gt;=80,"A+",IF('Data Source'!N17/50*100&gt;=70,"A",IF('Data Source'!N17/50*100&gt;=60,"A-",IF('Data Source'!N17/50*100&gt;=50,"B",IF('Data Source'!N17/50*100&gt;=40,"C",IF('Data Source'!N17/50*100&gt;=33,"D","F"))))))</f>
        <v/>
      </c>
      <c r="K18" s="15">
        <f>IF('Data Source'!O17&gt;=80,"A+",IF('Data Source'!O17&gt;=70,"A",IF('Data Source'!O17&gt;=60,"A-",IF('Data Source'!O17&gt;=50,"B",IF('Data Source'!O17&gt;=40,"C",IF('Data Source'!O17&gt;=33,"D","F"))))))</f>
        <v/>
      </c>
      <c r="L18" s="15">
        <f>IF('Data Source'!P17&gt;=33,"Pass","Fail")</f>
        <v/>
      </c>
      <c r="M18" s="15">
        <f>IF('Data Source'!Q17&gt;=33,"Pass","Fail")</f>
        <v/>
      </c>
      <c r="N18" s="6">
        <f>'Data Source'!T17</f>
        <v/>
      </c>
      <c r="O18" s="15">
        <f>'Data Source'!U17</f>
        <v/>
      </c>
    </row>
    <row r="19">
      <c r="A19" s="15">
        <f>'Data Source'!A18</f>
        <v/>
      </c>
      <c r="B19">
        <f>'Data Source'!B18</f>
        <v/>
      </c>
      <c r="C19" s="15">
        <f>IF(('Data Source'!C18+'Data Source'!D18)/200*100&gt;=80,"A+",IF(('Data Source'!C18+'Data Source'!D18)/200*100&gt;=70,"A",IF(('Data Source'!C18+'Data Source'!D18)/200*100&gt;=60,"A-",IF(('Data Source'!C18+'Data Source'!D18)/200*100&gt;=50,"B",IF(('Data Source'!C18+'Data Source'!D18)/200*100&gt;=40,"C",IF(('Data Source'!C18+'Data Source'!D18)/200*100&gt;=33,"D","F"))))))</f>
        <v/>
      </c>
      <c r="D19" s="15">
        <f>IF(('Data Source'!E18+'Data Source'!F18)/200*100&gt;=80,"A+",IF(('Data Source'!E18+'Data Source'!F18)/200*100&gt;=70,"A",IF(('Data Source'!E18+'Data Source'!F18)/200*100&gt;=60,"A-",IF(('Data Source'!E18+'Data Source'!F18)/200*100&gt;=50,"B",IF(('Data Source'!E18+'Data Source'!F18)/200*100&gt;=40,"C",IF(('Data Source'!E18+'Data Source'!F18)/200*100&gt;=33,"D","F"))))))</f>
        <v/>
      </c>
      <c r="E19" s="15">
        <f>IF('Data Source'!G18&gt;=80,"A+",IF('Data Source'!G18&gt;=70,"A",IF('Data Source'!G18&gt;=60,"A-",IF('Data Source'!G18&gt;=50,"B",IF('Data Source'!G18&gt;=40,"C",IF('Data Source'!G18&gt;=33,"D","F"))))))</f>
        <v/>
      </c>
      <c r="F19" s="15">
        <f>IF(('Data Source'!H18+'Data Source'!I18)/200*100&gt;=80,"A+",IF(('Data Source'!H18+'Data Source'!I18)/200*100&gt;=70,"A",IF(('Data Source'!H18+'Data Source'!I18)/200*100&gt;=60,"A-",IF(('Data Source'!H18+'Data Source'!I18)/200*100&gt;=50,"B",IF(('Data Source'!H18+'Data Source'!I18)/200*100&gt;=40,"C",IF(('Data Source'!H18+'Data Source'!I18)/200*100&gt;=33,"D","F"))))))</f>
        <v/>
      </c>
      <c r="G19" s="15">
        <f>IF(('Data Source'!J18+'Data Source'!K18)/200*100&gt;=80,"A+",IF(('Data Source'!J18+'Data Source'!K18)/200*100&gt;=70,"A",IF(('Data Source'!J18+'Data Source'!K18)/200*100&gt;=60,"A-",IF(('Data Source'!J18+'Data Source'!K18)/200*100&gt;=50,"B",IF(('Data Source'!J18+'Data Source'!K18)/200*100&gt;=40,"C",IF(('Data Source'!J18+'Data Source'!K18)/200*100&gt;=33,"D","F"))))))</f>
        <v/>
      </c>
      <c r="H19" s="15">
        <f>IF('Data Source'!L18&gt;=80,"A+",IF('Data Source'!L18&gt;=70,"A",IF('Data Source'!L18&gt;=60,"A-",IF('Data Source'!L18&gt;=50,"B",IF('Data Source'!L18&gt;=40,"C",IF('Data Source'!L18&gt;=33,"D","F"))))))</f>
        <v/>
      </c>
      <c r="I19" s="15">
        <f>IF('Data Source'!M18&gt;=80,"A+",IF('Data Source'!M18&gt;=70,"A",IF('Data Source'!M18&gt;=60,"A-",IF('Data Source'!M18&gt;=50,"B",IF('Data Source'!M18&gt;=40,"C",IF('Data Source'!M18&gt;=33,"D","F"))))))</f>
        <v/>
      </c>
      <c r="J19" s="15">
        <f>IF('Data Source'!N18/50*100&gt;=80,"A+",IF('Data Source'!N18/50*100&gt;=70,"A",IF('Data Source'!N18/50*100&gt;=60,"A-",IF('Data Source'!N18/50*100&gt;=50,"B",IF('Data Source'!N18/50*100&gt;=40,"C",IF('Data Source'!N18/50*100&gt;=33,"D","F"))))))</f>
        <v/>
      </c>
      <c r="K19" s="15">
        <f>IF('Data Source'!O18&gt;=80,"A+",IF('Data Source'!O18&gt;=70,"A",IF('Data Source'!O18&gt;=60,"A-",IF('Data Source'!O18&gt;=50,"B",IF('Data Source'!O18&gt;=40,"C",IF('Data Source'!O18&gt;=33,"D","F"))))))</f>
        <v/>
      </c>
      <c r="L19" s="15">
        <f>IF('Data Source'!P18&gt;=33,"Pass","Fail")</f>
        <v/>
      </c>
      <c r="M19" s="15">
        <f>IF('Data Source'!Q18&gt;=33,"Pass","Fail")</f>
        <v/>
      </c>
      <c r="N19" s="6">
        <f>'Data Source'!T18</f>
        <v/>
      </c>
      <c r="O19" s="15">
        <f>'Data Source'!U18</f>
        <v/>
      </c>
    </row>
    <row r="20">
      <c r="A20" s="15">
        <f>'Data Source'!A19</f>
        <v/>
      </c>
      <c r="B20">
        <f>'Data Source'!B19</f>
        <v/>
      </c>
      <c r="C20" s="15">
        <f>IF(('Data Source'!C19+'Data Source'!D19)/200*100&gt;=80,"A+",IF(('Data Source'!C19+'Data Source'!D19)/200*100&gt;=70,"A",IF(('Data Source'!C19+'Data Source'!D19)/200*100&gt;=60,"A-",IF(('Data Source'!C19+'Data Source'!D19)/200*100&gt;=50,"B",IF(('Data Source'!C19+'Data Source'!D19)/200*100&gt;=40,"C",IF(('Data Source'!C19+'Data Source'!D19)/200*100&gt;=33,"D","F"))))))</f>
        <v/>
      </c>
      <c r="D20" s="15">
        <f>IF(('Data Source'!E19+'Data Source'!F19)/200*100&gt;=80,"A+",IF(('Data Source'!E19+'Data Source'!F19)/200*100&gt;=70,"A",IF(('Data Source'!E19+'Data Source'!F19)/200*100&gt;=60,"A-",IF(('Data Source'!E19+'Data Source'!F19)/200*100&gt;=50,"B",IF(('Data Source'!E19+'Data Source'!F19)/200*100&gt;=40,"C",IF(('Data Source'!E19+'Data Source'!F19)/200*100&gt;=33,"D","F"))))))</f>
        <v/>
      </c>
      <c r="E20" s="15">
        <f>IF('Data Source'!G19&gt;=80,"A+",IF('Data Source'!G19&gt;=70,"A",IF('Data Source'!G19&gt;=60,"A-",IF('Data Source'!G19&gt;=50,"B",IF('Data Source'!G19&gt;=40,"C",IF('Data Source'!G19&gt;=33,"D","F"))))))</f>
        <v/>
      </c>
      <c r="F20" s="15">
        <f>IF(('Data Source'!H19+'Data Source'!I19)/200*100&gt;=80,"A+",IF(('Data Source'!H19+'Data Source'!I19)/200*100&gt;=70,"A",IF(('Data Source'!H19+'Data Source'!I19)/200*100&gt;=60,"A-",IF(('Data Source'!H19+'Data Source'!I19)/200*100&gt;=50,"B",IF(('Data Source'!H19+'Data Source'!I19)/200*100&gt;=40,"C",IF(('Data Source'!H19+'Data Source'!I19)/200*100&gt;=33,"D","F"))))))</f>
        <v/>
      </c>
      <c r="G20" s="15">
        <f>IF(('Data Source'!J19+'Data Source'!K19)/200*100&gt;=80,"A+",IF(('Data Source'!J19+'Data Source'!K19)/200*100&gt;=70,"A",IF(('Data Source'!J19+'Data Source'!K19)/200*100&gt;=60,"A-",IF(('Data Source'!J19+'Data Source'!K19)/200*100&gt;=50,"B",IF(('Data Source'!J19+'Data Source'!K19)/200*100&gt;=40,"C",IF(('Data Source'!J19+'Data Source'!K19)/200*100&gt;=33,"D","F"))))))</f>
        <v/>
      </c>
      <c r="H20" s="15">
        <f>IF('Data Source'!L19&gt;=80,"A+",IF('Data Source'!L19&gt;=70,"A",IF('Data Source'!L19&gt;=60,"A-",IF('Data Source'!L19&gt;=50,"B",IF('Data Source'!L19&gt;=40,"C",IF('Data Source'!L19&gt;=33,"D","F"))))))</f>
        <v/>
      </c>
      <c r="I20" s="15">
        <f>IF('Data Source'!M19&gt;=80,"A+",IF('Data Source'!M19&gt;=70,"A",IF('Data Source'!M19&gt;=60,"A-",IF('Data Source'!M19&gt;=50,"B",IF('Data Source'!M19&gt;=40,"C",IF('Data Source'!M19&gt;=33,"D","F"))))))</f>
        <v/>
      </c>
      <c r="J20" s="15">
        <f>IF('Data Source'!N19/50*100&gt;=80,"A+",IF('Data Source'!N19/50*100&gt;=70,"A",IF('Data Source'!N19/50*100&gt;=60,"A-",IF('Data Source'!N19/50*100&gt;=50,"B",IF('Data Source'!N19/50*100&gt;=40,"C",IF('Data Source'!N19/50*100&gt;=33,"D","F"))))))</f>
        <v/>
      </c>
      <c r="K20" s="15">
        <f>IF('Data Source'!O19&gt;=80,"A+",IF('Data Source'!O19&gt;=70,"A",IF('Data Source'!O19&gt;=60,"A-",IF('Data Source'!O19&gt;=50,"B",IF('Data Source'!O19&gt;=40,"C",IF('Data Source'!O19&gt;=33,"D","F"))))))</f>
        <v/>
      </c>
      <c r="L20" s="15">
        <f>IF('Data Source'!P19&gt;=33,"Pass","Fail")</f>
        <v/>
      </c>
      <c r="M20" s="15">
        <f>IF('Data Source'!Q19&gt;=33,"Pass","Fail")</f>
        <v/>
      </c>
      <c r="N20" s="6">
        <f>'Data Source'!T19</f>
        <v/>
      </c>
      <c r="O20" s="15">
        <f>'Data Source'!U19</f>
        <v/>
      </c>
    </row>
    <row r="21">
      <c r="A21" s="15">
        <f>'Data Source'!A20</f>
        <v/>
      </c>
      <c r="B21">
        <f>'Data Source'!B20</f>
        <v/>
      </c>
      <c r="C21" s="15">
        <f>IF(('Data Source'!C20+'Data Source'!D20)/200*100&gt;=80,"A+",IF(('Data Source'!C20+'Data Source'!D20)/200*100&gt;=70,"A",IF(('Data Source'!C20+'Data Source'!D20)/200*100&gt;=60,"A-",IF(('Data Source'!C20+'Data Source'!D20)/200*100&gt;=50,"B",IF(('Data Source'!C20+'Data Source'!D20)/200*100&gt;=40,"C",IF(('Data Source'!C20+'Data Source'!D20)/200*100&gt;=33,"D","F"))))))</f>
        <v/>
      </c>
      <c r="D21" s="15">
        <f>IF(('Data Source'!E20+'Data Source'!F20)/200*100&gt;=80,"A+",IF(('Data Source'!E20+'Data Source'!F20)/200*100&gt;=70,"A",IF(('Data Source'!E20+'Data Source'!F20)/200*100&gt;=60,"A-",IF(('Data Source'!E20+'Data Source'!F20)/200*100&gt;=50,"B",IF(('Data Source'!E20+'Data Source'!F20)/200*100&gt;=40,"C",IF(('Data Source'!E20+'Data Source'!F20)/200*100&gt;=33,"D","F"))))))</f>
        <v/>
      </c>
      <c r="E21" s="15">
        <f>IF('Data Source'!G20&gt;=80,"A+",IF('Data Source'!G20&gt;=70,"A",IF('Data Source'!G20&gt;=60,"A-",IF('Data Source'!G20&gt;=50,"B",IF('Data Source'!G20&gt;=40,"C",IF('Data Source'!G20&gt;=33,"D","F"))))))</f>
        <v/>
      </c>
      <c r="F21" s="15">
        <f>IF(('Data Source'!H20+'Data Source'!I20)/200*100&gt;=80,"A+",IF(('Data Source'!H20+'Data Source'!I20)/200*100&gt;=70,"A",IF(('Data Source'!H20+'Data Source'!I20)/200*100&gt;=60,"A-",IF(('Data Source'!H20+'Data Source'!I20)/200*100&gt;=50,"B",IF(('Data Source'!H20+'Data Source'!I20)/200*100&gt;=40,"C",IF(('Data Source'!H20+'Data Source'!I20)/200*100&gt;=33,"D","F"))))))</f>
        <v/>
      </c>
      <c r="G21" s="15">
        <f>IF(('Data Source'!J20+'Data Source'!K20)/200*100&gt;=80,"A+",IF(('Data Source'!J20+'Data Source'!K20)/200*100&gt;=70,"A",IF(('Data Source'!J20+'Data Source'!K20)/200*100&gt;=60,"A-",IF(('Data Source'!J20+'Data Source'!K20)/200*100&gt;=50,"B",IF(('Data Source'!J20+'Data Source'!K20)/200*100&gt;=40,"C",IF(('Data Source'!J20+'Data Source'!K20)/200*100&gt;=33,"D","F"))))))</f>
        <v/>
      </c>
      <c r="H21" s="15">
        <f>IF('Data Source'!L20&gt;=80,"A+",IF('Data Source'!L20&gt;=70,"A",IF('Data Source'!L20&gt;=60,"A-",IF('Data Source'!L20&gt;=50,"B",IF('Data Source'!L20&gt;=40,"C",IF('Data Source'!L20&gt;=33,"D","F"))))))</f>
        <v/>
      </c>
      <c r="I21" s="15">
        <f>IF('Data Source'!M20&gt;=80,"A+",IF('Data Source'!M20&gt;=70,"A",IF('Data Source'!M20&gt;=60,"A-",IF('Data Source'!M20&gt;=50,"B",IF('Data Source'!M20&gt;=40,"C",IF('Data Source'!M20&gt;=33,"D","F"))))))</f>
        <v/>
      </c>
      <c r="J21" s="15">
        <f>IF('Data Source'!N20/50*100&gt;=80,"A+",IF('Data Source'!N20/50*100&gt;=70,"A",IF('Data Source'!N20/50*100&gt;=60,"A-",IF('Data Source'!N20/50*100&gt;=50,"B",IF('Data Source'!N20/50*100&gt;=40,"C",IF('Data Source'!N20/50*100&gt;=33,"D","F"))))))</f>
        <v/>
      </c>
      <c r="K21" s="15">
        <f>IF('Data Source'!O20&gt;=80,"A+",IF('Data Source'!O20&gt;=70,"A",IF('Data Source'!O20&gt;=60,"A-",IF('Data Source'!O20&gt;=50,"B",IF('Data Source'!O20&gt;=40,"C",IF('Data Source'!O20&gt;=33,"D","F"))))))</f>
        <v/>
      </c>
      <c r="L21" s="15">
        <f>IF('Data Source'!P20&gt;=33,"Pass","Fail")</f>
        <v/>
      </c>
      <c r="M21" s="15">
        <f>IF('Data Source'!Q20&gt;=33,"Pass","Fail")</f>
        <v/>
      </c>
      <c r="N21" s="6">
        <f>'Data Source'!T20</f>
        <v/>
      </c>
      <c r="O21" s="15">
        <f>'Data Source'!U20</f>
        <v/>
      </c>
    </row>
    <row r="22">
      <c r="A22" s="15">
        <f>'Data Source'!A21</f>
        <v/>
      </c>
      <c r="B22">
        <f>'Data Source'!B21</f>
        <v/>
      </c>
      <c r="C22" s="15">
        <f>IF(('Data Source'!C21+'Data Source'!D21)/200*100&gt;=80,"A+",IF(('Data Source'!C21+'Data Source'!D21)/200*100&gt;=70,"A",IF(('Data Source'!C21+'Data Source'!D21)/200*100&gt;=60,"A-",IF(('Data Source'!C21+'Data Source'!D21)/200*100&gt;=50,"B",IF(('Data Source'!C21+'Data Source'!D21)/200*100&gt;=40,"C",IF(('Data Source'!C21+'Data Source'!D21)/200*100&gt;=33,"D","F"))))))</f>
        <v/>
      </c>
      <c r="D22" s="15">
        <f>IF(('Data Source'!E21+'Data Source'!F21)/200*100&gt;=80,"A+",IF(('Data Source'!E21+'Data Source'!F21)/200*100&gt;=70,"A",IF(('Data Source'!E21+'Data Source'!F21)/200*100&gt;=60,"A-",IF(('Data Source'!E21+'Data Source'!F21)/200*100&gt;=50,"B",IF(('Data Source'!E21+'Data Source'!F21)/200*100&gt;=40,"C",IF(('Data Source'!E21+'Data Source'!F21)/200*100&gt;=33,"D","F"))))))</f>
        <v/>
      </c>
      <c r="E22" s="15">
        <f>IF('Data Source'!G21&gt;=80,"A+",IF('Data Source'!G21&gt;=70,"A",IF('Data Source'!G21&gt;=60,"A-",IF('Data Source'!G21&gt;=50,"B",IF('Data Source'!G21&gt;=40,"C",IF('Data Source'!G21&gt;=33,"D","F"))))))</f>
        <v/>
      </c>
      <c r="F22" s="15">
        <f>IF(('Data Source'!H21+'Data Source'!I21)/200*100&gt;=80,"A+",IF(('Data Source'!H21+'Data Source'!I21)/200*100&gt;=70,"A",IF(('Data Source'!H21+'Data Source'!I21)/200*100&gt;=60,"A-",IF(('Data Source'!H21+'Data Source'!I21)/200*100&gt;=50,"B",IF(('Data Source'!H21+'Data Source'!I21)/200*100&gt;=40,"C",IF(('Data Source'!H21+'Data Source'!I21)/200*100&gt;=33,"D","F"))))))</f>
        <v/>
      </c>
      <c r="G22" s="15">
        <f>IF(('Data Source'!J21+'Data Source'!K21)/200*100&gt;=80,"A+",IF(('Data Source'!J21+'Data Source'!K21)/200*100&gt;=70,"A",IF(('Data Source'!J21+'Data Source'!K21)/200*100&gt;=60,"A-",IF(('Data Source'!J21+'Data Source'!K21)/200*100&gt;=50,"B",IF(('Data Source'!J21+'Data Source'!K21)/200*100&gt;=40,"C",IF(('Data Source'!J21+'Data Source'!K21)/200*100&gt;=33,"D","F"))))))</f>
        <v/>
      </c>
      <c r="H22" s="15">
        <f>IF('Data Source'!L21&gt;=80,"A+",IF('Data Source'!L21&gt;=70,"A",IF('Data Source'!L21&gt;=60,"A-",IF('Data Source'!L21&gt;=50,"B",IF('Data Source'!L21&gt;=40,"C",IF('Data Source'!L21&gt;=33,"D","F"))))))</f>
        <v/>
      </c>
      <c r="I22" s="15">
        <f>IF('Data Source'!M21&gt;=80,"A+",IF('Data Source'!M21&gt;=70,"A",IF('Data Source'!M21&gt;=60,"A-",IF('Data Source'!M21&gt;=50,"B",IF('Data Source'!M21&gt;=40,"C",IF('Data Source'!M21&gt;=33,"D","F"))))))</f>
        <v/>
      </c>
      <c r="J22" s="15">
        <f>IF('Data Source'!N21/50*100&gt;=80,"A+",IF('Data Source'!N21/50*100&gt;=70,"A",IF('Data Source'!N21/50*100&gt;=60,"A-",IF('Data Source'!N21/50*100&gt;=50,"B",IF('Data Source'!N21/50*100&gt;=40,"C",IF('Data Source'!N21/50*100&gt;=33,"D","F"))))))</f>
        <v/>
      </c>
      <c r="K22" s="15">
        <f>IF('Data Source'!O21&gt;=80,"A+",IF('Data Source'!O21&gt;=70,"A",IF('Data Source'!O21&gt;=60,"A-",IF('Data Source'!O21&gt;=50,"B",IF('Data Source'!O21&gt;=40,"C",IF('Data Source'!O21&gt;=33,"D","F"))))))</f>
        <v/>
      </c>
      <c r="L22" s="15">
        <f>IF('Data Source'!P21&gt;=33,"Pass","Fail")</f>
        <v/>
      </c>
      <c r="M22" s="15">
        <f>IF('Data Source'!Q21&gt;=33,"Pass","Fail")</f>
        <v/>
      </c>
      <c r="N22" s="6">
        <f>'Data Source'!T21</f>
        <v/>
      </c>
      <c r="O22" s="15">
        <f>'Data Source'!U21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2025-11-21T08:36:39Z</dcterms:created>
  <dcterms:modified xsi:type="dcterms:W3CDTF">2025-11-21T08:36:39Z</dcterms:modified>
</cp:coreProperties>
</file>