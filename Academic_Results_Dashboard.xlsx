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Piv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70AD47"/>
        <bgColor rgb="0070AD47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5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'Dashboard'!$D$9:$D$15</f>
            </numRef>
          </cat>
          <val>
            <numRef>
              <f>'Dashboard'!$E$9:$E$15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0" customWidth="1" min="11" max="11"/>
    <col width="8" customWidth="1" min="12" max="12"/>
    <col width="8" customWidth="1" min="13" max="13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Bangla</t>
        </is>
      </c>
      <c r="D1" s="1" t="inlineStr">
        <is>
          <t>English</t>
        </is>
      </c>
      <c r="E1" s="1" t="inlineStr">
        <is>
          <t>Mathematics</t>
        </is>
      </c>
      <c r="F1" s="1" t="inlineStr">
        <is>
          <t>ICT</t>
        </is>
      </c>
      <c r="G1" s="1" t="inlineStr">
        <is>
          <t>Physics</t>
        </is>
      </c>
      <c r="H1" s="1" t="inlineStr">
        <is>
          <t>Chemistry</t>
        </is>
      </c>
      <c r="I1" s="1" t="inlineStr">
        <is>
          <t>Biology</t>
        </is>
      </c>
      <c r="J1" s="1" t="inlineStr">
        <is>
          <t>Total</t>
        </is>
      </c>
      <c r="K1" s="1" t="inlineStr">
        <is>
          <t>Average</t>
        </is>
      </c>
      <c r="L1" s="1" t="inlineStr">
        <is>
          <t>GPA</t>
        </is>
      </c>
      <c r="M1" s="1" t="inlineStr">
        <is>
          <t>Grade</t>
        </is>
      </c>
    </row>
    <row r="2">
      <c r="A2" t="n">
        <v>1</v>
      </c>
      <c r="B2" t="inlineStr">
        <is>
          <t>Ahmed Rahman</t>
        </is>
      </c>
      <c r="C2" s="2" t="n">
        <v>85</v>
      </c>
      <c r="D2" s="3" t="n">
        <v>78</v>
      </c>
      <c r="E2" s="2" t="n">
        <v>92</v>
      </c>
      <c r="F2" s="2" t="n">
        <v>88</v>
      </c>
      <c r="G2" s="3" t="n">
        <v>75</v>
      </c>
      <c r="H2" s="2" t="n">
        <v>82</v>
      </c>
      <c r="I2" s="2" t="n">
        <v>80</v>
      </c>
      <c r="J2">
        <f>SUM(C2:I2)</f>
        <v/>
      </c>
      <c r="K2" s="4">
        <f>ROUND(AVERAGE(C2:I2),2)</f>
        <v/>
      </c>
      <c r="L2" s="5">
        <f>IF(OR(C2&lt;33,D2&lt;33,E2&lt;33,F2&lt;33,G2&lt;33,H2&lt;33,I2&lt;33),0,MIN(5,ROUND((IF(C2&gt;=80,5,IF(C2&gt;=70,4,IF(C2&gt;=60,3.5,IF(C2&gt;=50,3,IF(C2&gt;=40,2,IF(C2&gt;=33,1,0))))))+IF(D2&gt;=80,5,IF(D2&gt;=70,4,IF(D2&gt;=60,3.5,IF(D2&gt;=50,3,IF(D2&gt;=40,2,IF(D2&gt;=33,1,0))))))+IF(E2&gt;=80,5,IF(E2&gt;=70,4,IF(E2&gt;=60,3.5,IF(E2&gt;=50,3,IF(E2&gt;=40,2,IF(E2&gt;=33,1,0))))))+IF(F2&gt;=80,5,IF(F2&gt;=70,4,IF(F2&gt;=60,3.5,IF(F2&gt;=50,3,IF(F2&gt;=40,2,IF(F2&gt;=33,1,0))))))+IF(G2&gt;=80,5,IF(G2&gt;=70,4,IF(G2&gt;=60,3.5,IF(G2&gt;=50,3,IF(G2&gt;=40,2,IF(G2&gt;=33,1,0))))))+IF(H2&gt;=80,5,IF(H2&gt;=70,4,IF(H2&gt;=60,3.5,IF(H2&gt;=50,3,IF(H2&gt;=40,2,IF(H2&gt;=33,1,0))))))+IF(I2&gt;=80,5,IF(I2&gt;=70,4,IF(I2&gt;=60,3.5,IF(I2&gt;=50,3,IF(I2&gt;=40,2,IF(I2&gt;=33,1,0)))))))/7,2)))</f>
        <v/>
      </c>
      <c r="M2" s="6">
        <f>IF(L2&gt;=5,"A+",IF(L2&gt;=4,"A",IF(L2&gt;=3.5,"A-",IF(L2&gt;=3,"B",IF(L2&gt;=2,"C",IF(L2&gt;=1,"D","F"))))))</f>
        <v/>
      </c>
    </row>
    <row r="3">
      <c r="A3" t="n">
        <v>2</v>
      </c>
      <c r="B3" t="inlineStr">
        <is>
          <t>Fatima Khan</t>
        </is>
      </c>
      <c r="C3" s="2" t="n">
        <v>90</v>
      </c>
      <c r="D3" s="2" t="n">
        <v>88</v>
      </c>
      <c r="E3" s="2" t="n">
        <v>85</v>
      </c>
      <c r="F3" s="2" t="n">
        <v>92</v>
      </c>
      <c r="G3" s="2" t="n">
        <v>87</v>
      </c>
      <c r="H3" s="2" t="n">
        <v>89</v>
      </c>
      <c r="I3" s="2" t="n">
        <v>91</v>
      </c>
      <c r="J3">
        <f>SUM(C3:I3)</f>
        <v/>
      </c>
      <c r="K3" s="4">
        <f>ROUND(AVERAGE(C3:I3),2)</f>
        <v/>
      </c>
      <c r="L3" s="5">
        <f>IF(OR(C3&lt;33,D3&lt;33,E3&lt;33,F3&lt;33,G3&lt;33,H3&lt;33,I3&lt;33),0,MIN(5,ROUND((IF(C3&gt;=80,5,IF(C3&gt;=70,4,IF(C3&gt;=60,3.5,IF(C3&gt;=50,3,IF(C3&gt;=40,2,IF(C3&gt;=33,1,0))))))+IF(D3&gt;=80,5,IF(D3&gt;=70,4,IF(D3&gt;=60,3.5,IF(D3&gt;=50,3,IF(D3&gt;=40,2,IF(D3&gt;=33,1,0))))))+IF(E3&gt;=80,5,IF(E3&gt;=70,4,IF(E3&gt;=60,3.5,IF(E3&gt;=50,3,IF(E3&gt;=40,2,IF(E3&gt;=33,1,0))))))+IF(F3&gt;=80,5,IF(F3&gt;=70,4,IF(F3&gt;=60,3.5,IF(F3&gt;=50,3,IF(F3&gt;=40,2,IF(F3&gt;=33,1,0))))))+IF(G3&gt;=80,5,IF(G3&gt;=70,4,IF(G3&gt;=60,3.5,IF(G3&gt;=50,3,IF(G3&gt;=40,2,IF(G3&gt;=33,1,0))))))+IF(H3&gt;=80,5,IF(H3&gt;=70,4,IF(H3&gt;=60,3.5,IF(H3&gt;=50,3,IF(H3&gt;=40,2,IF(H3&gt;=33,1,0))))))+IF(I3&gt;=80,5,IF(I3&gt;=70,4,IF(I3&gt;=60,3.5,IF(I3&gt;=50,3,IF(I3&gt;=40,2,IF(I3&gt;=33,1,0)))))))/7,2)))</f>
        <v/>
      </c>
      <c r="M3" s="6">
        <f>IF(L3&gt;=5,"A+",IF(L3&gt;=4,"A",IF(L3&gt;=3.5,"A-",IF(L3&gt;=3,"B",IF(L3&gt;=2,"C",IF(L3&gt;=1,"D","F"))))))</f>
        <v/>
      </c>
    </row>
    <row r="4">
      <c r="A4" t="n">
        <v>3</v>
      </c>
      <c r="B4" t="inlineStr">
        <is>
          <t>Karim Hassan</t>
        </is>
      </c>
      <c r="C4" s="3" t="n">
        <v>72</v>
      </c>
      <c r="D4" s="3" t="n">
        <v>68</v>
      </c>
      <c r="E4" s="3" t="n">
        <v>75</v>
      </c>
      <c r="F4" s="3" t="n">
        <v>70</v>
      </c>
      <c r="G4" s="3" t="n">
        <v>65</v>
      </c>
      <c r="H4" s="3" t="n">
        <v>71</v>
      </c>
      <c r="I4" s="3" t="n">
        <v>69</v>
      </c>
      <c r="J4">
        <f>SUM(C4:I4)</f>
        <v/>
      </c>
      <c r="K4" s="4">
        <f>ROUND(AVERAGE(C4:I4),2)</f>
        <v/>
      </c>
      <c r="L4" s="5">
        <f>IF(OR(C4&lt;33,D4&lt;33,E4&lt;33,F4&lt;33,G4&lt;33,H4&lt;33,I4&lt;33),0,MIN(5,ROUND((IF(C4&gt;=80,5,IF(C4&gt;=70,4,IF(C4&gt;=60,3.5,IF(C4&gt;=50,3,IF(C4&gt;=40,2,IF(C4&gt;=33,1,0))))))+IF(D4&gt;=80,5,IF(D4&gt;=70,4,IF(D4&gt;=60,3.5,IF(D4&gt;=50,3,IF(D4&gt;=40,2,IF(D4&gt;=33,1,0))))))+IF(E4&gt;=80,5,IF(E4&gt;=70,4,IF(E4&gt;=60,3.5,IF(E4&gt;=50,3,IF(E4&gt;=40,2,IF(E4&gt;=33,1,0))))))+IF(F4&gt;=80,5,IF(F4&gt;=70,4,IF(F4&gt;=60,3.5,IF(F4&gt;=50,3,IF(F4&gt;=40,2,IF(F4&gt;=33,1,0))))))+IF(G4&gt;=80,5,IF(G4&gt;=70,4,IF(G4&gt;=60,3.5,IF(G4&gt;=50,3,IF(G4&gt;=40,2,IF(G4&gt;=33,1,0))))))+IF(H4&gt;=80,5,IF(H4&gt;=70,4,IF(H4&gt;=60,3.5,IF(H4&gt;=50,3,IF(H4&gt;=40,2,IF(H4&gt;=33,1,0))))))+IF(I4&gt;=80,5,IF(I4&gt;=70,4,IF(I4&gt;=60,3.5,IF(I4&gt;=50,3,IF(I4&gt;=40,2,IF(I4&gt;=33,1,0)))))))/7,2)))</f>
        <v/>
      </c>
      <c r="M4" s="6">
        <f>IF(L4&gt;=5,"A+",IF(L4&gt;=4,"A",IF(L4&gt;=3.5,"A-",IF(L4&gt;=3,"B",IF(L4&gt;=2,"C",IF(L4&gt;=1,"D","F"))))))</f>
        <v/>
      </c>
    </row>
    <row r="5">
      <c r="A5" t="n">
        <v>4</v>
      </c>
      <c r="B5" t="inlineStr">
        <is>
          <t>Ayesha Begum</t>
        </is>
      </c>
      <c r="C5" s="2" t="n">
        <v>95</v>
      </c>
      <c r="D5" s="2" t="n">
        <v>92</v>
      </c>
      <c r="E5" s="2" t="n">
        <v>98</v>
      </c>
      <c r="F5" s="2" t="n">
        <v>94</v>
      </c>
      <c r="G5" s="2" t="n">
        <v>90</v>
      </c>
      <c r="H5" s="2" t="n">
        <v>93</v>
      </c>
      <c r="I5" s="2" t="n">
        <v>96</v>
      </c>
      <c r="J5">
        <f>SUM(C5:I5)</f>
        <v/>
      </c>
      <c r="K5" s="4">
        <f>ROUND(AVERAGE(C5:I5),2)</f>
        <v/>
      </c>
      <c r="L5" s="5">
        <f>IF(OR(C5&lt;33,D5&lt;33,E5&lt;33,F5&lt;33,G5&lt;33,H5&lt;33,I5&lt;33),0,MIN(5,ROUND((IF(C5&gt;=80,5,IF(C5&gt;=70,4,IF(C5&gt;=60,3.5,IF(C5&gt;=50,3,IF(C5&gt;=40,2,IF(C5&gt;=33,1,0))))))+IF(D5&gt;=80,5,IF(D5&gt;=70,4,IF(D5&gt;=60,3.5,IF(D5&gt;=50,3,IF(D5&gt;=40,2,IF(D5&gt;=33,1,0))))))+IF(E5&gt;=80,5,IF(E5&gt;=70,4,IF(E5&gt;=60,3.5,IF(E5&gt;=50,3,IF(E5&gt;=40,2,IF(E5&gt;=33,1,0))))))+IF(F5&gt;=80,5,IF(F5&gt;=70,4,IF(F5&gt;=60,3.5,IF(F5&gt;=50,3,IF(F5&gt;=40,2,IF(F5&gt;=33,1,0))))))+IF(G5&gt;=80,5,IF(G5&gt;=70,4,IF(G5&gt;=60,3.5,IF(G5&gt;=50,3,IF(G5&gt;=40,2,IF(G5&gt;=33,1,0))))))+IF(H5&gt;=80,5,IF(H5&gt;=70,4,IF(H5&gt;=60,3.5,IF(H5&gt;=50,3,IF(H5&gt;=40,2,IF(H5&gt;=33,1,0))))))+IF(I5&gt;=80,5,IF(I5&gt;=70,4,IF(I5&gt;=60,3.5,IF(I5&gt;=50,3,IF(I5&gt;=40,2,IF(I5&gt;=33,1,0)))))))/7,2)))</f>
        <v/>
      </c>
      <c r="M5" s="6">
        <f>IF(L5&gt;=5,"A+",IF(L5&gt;=4,"A",IF(L5&gt;=3.5,"A-",IF(L5&gt;=3,"B",IF(L5&gt;=2,"C",IF(L5&gt;=1,"D","F"))))))</f>
        <v/>
      </c>
    </row>
    <row r="6">
      <c r="A6" t="n">
        <v>5</v>
      </c>
      <c r="B6" t="inlineStr">
        <is>
          <t>Rahim Uddin</t>
        </is>
      </c>
      <c r="C6" s="3" t="n">
        <v>65</v>
      </c>
      <c r="D6" s="3" t="n">
        <v>62</v>
      </c>
      <c r="E6" s="3" t="n">
        <v>68</v>
      </c>
      <c r="F6" s="3" t="n">
        <v>70</v>
      </c>
      <c r="G6" s="7" t="n">
        <v>58</v>
      </c>
      <c r="H6" s="3" t="n">
        <v>64</v>
      </c>
      <c r="I6" s="3" t="n">
        <v>66</v>
      </c>
      <c r="J6">
        <f>SUM(C6:I6)</f>
        <v/>
      </c>
      <c r="K6" s="4">
        <f>ROUND(AVERAGE(C6:I6),2)</f>
        <v/>
      </c>
      <c r="L6" s="5">
        <f>IF(OR(C6&lt;33,D6&lt;33,E6&lt;33,F6&lt;33,G6&lt;33,H6&lt;33,I6&lt;33),0,MIN(5,ROUND((IF(C6&gt;=80,5,IF(C6&gt;=70,4,IF(C6&gt;=60,3.5,IF(C6&gt;=50,3,IF(C6&gt;=40,2,IF(C6&gt;=33,1,0))))))+IF(D6&gt;=80,5,IF(D6&gt;=70,4,IF(D6&gt;=60,3.5,IF(D6&gt;=50,3,IF(D6&gt;=40,2,IF(D6&gt;=33,1,0))))))+IF(E6&gt;=80,5,IF(E6&gt;=70,4,IF(E6&gt;=60,3.5,IF(E6&gt;=50,3,IF(E6&gt;=40,2,IF(E6&gt;=33,1,0))))))+IF(F6&gt;=80,5,IF(F6&gt;=70,4,IF(F6&gt;=60,3.5,IF(F6&gt;=50,3,IF(F6&gt;=40,2,IF(F6&gt;=33,1,0))))))+IF(G6&gt;=80,5,IF(G6&gt;=70,4,IF(G6&gt;=60,3.5,IF(G6&gt;=50,3,IF(G6&gt;=40,2,IF(G6&gt;=33,1,0))))))+IF(H6&gt;=80,5,IF(H6&gt;=70,4,IF(H6&gt;=60,3.5,IF(H6&gt;=50,3,IF(H6&gt;=40,2,IF(H6&gt;=33,1,0))))))+IF(I6&gt;=80,5,IF(I6&gt;=70,4,IF(I6&gt;=60,3.5,IF(I6&gt;=50,3,IF(I6&gt;=40,2,IF(I6&gt;=33,1,0)))))))/7,2)))</f>
        <v/>
      </c>
      <c r="M6" s="6">
        <f>IF(L6&gt;=5,"A+",IF(L6&gt;=4,"A",IF(L6&gt;=3.5,"A-",IF(L6&gt;=3,"B",IF(L6&gt;=2,"C",IF(L6&gt;=1,"D","F"))))))</f>
        <v/>
      </c>
    </row>
    <row r="7">
      <c r="A7" t="n">
        <v>6</v>
      </c>
      <c r="B7" t="inlineStr">
        <is>
          <t>Nadia Islam</t>
        </is>
      </c>
      <c r="C7" s="2" t="n">
        <v>82</v>
      </c>
      <c r="D7" s="2" t="n">
        <v>85</v>
      </c>
      <c r="E7" s="2" t="n">
        <v>80</v>
      </c>
      <c r="F7" s="2" t="n">
        <v>88</v>
      </c>
      <c r="G7" s="2" t="n">
        <v>83</v>
      </c>
      <c r="H7" s="2" t="n">
        <v>81</v>
      </c>
      <c r="I7" s="2" t="n">
        <v>84</v>
      </c>
      <c r="J7">
        <f>SUM(C7:I7)</f>
        <v/>
      </c>
      <c r="K7" s="4">
        <f>ROUND(AVERAGE(C7:I7),2)</f>
        <v/>
      </c>
      <c r="L7" s="5">
        <f>IF(OR(C7&lt;33,D7&lt;33,E7&lt;33,F7&lt;33,G7&lt;33,H7&lt;33,I7&lt;33),0,MIN(5,ROUND((IF(C7&gt;=80,5,IF(C7&gt;=70,4,IF(C7&gt;=60,3.5,IF(C7&gt;=50,3,IF(C7&gt;=40,2,IF(C7&gt;=33,1,0))))))+IF(D7&gt;=80,5,IF(D7&gt;=70,4,IF(D7&gt;=60,3.5,IF(D7&gt;=50,3,IF(D7&gt;=40,2,IF(D7&gt;=33,1,0))))))+IF(E7&gt;=80,5,IF(E7&gt;=70,4,IF(E7&gt;=60,3.5,IF(E7&gt;=50,3,IF(E7&gt;=40,2,IF(E7&gt;=33,1,0))))))+IF(F7&gt;=80,5,IF(F7&gt;=70,4,IF(F7&gt;=60,3.5,IF(F7&gt;=50,3,IF(F7&gt;=40,2,IF(F7&gt;=33,1,0))))))+IF(G7&gt;=80,5,IF(G7&gt;=70,4,IF(G7&gt;=60,3.5,IF(G7&gt;=50,3,IF(G7&gt;=40,2,IF(G7&gt;=33,1,0))))))+IF(H7&gt;=80,5,IF(H7&gt;=70,4,IF(H7&gt;=60,3.5,IF(H7&gt;=50,3,IF(H7&gt;=40,2,IF(H7&gt;=33,1,0))))))+IF(I7&gt;=80,5,IF(I7&gt;=70,4,IF(I7&gt;=60,3.5,IF(I7&gt;=50,3,IF(I7&gt;=40,2,IF(I7&gt;=33,1,0)))))))/7,2)))</f>
        <v/>
      </c>
      <c r="M7" s="6">
        <f>IF(L7&gt;=5,"A+",IF(L7&gt;=4,"A",IF(L7&gt;=3.5,"A-",IF(L7&gt;=3,"B",IF(L7&gt;=2,"C",IF(L7&gt;=1,"D","F"))))))</f>
        <v/>
      </c>
    </row>
    <row r="8">
      <c r="A8" t="n">
        <v>7</v>
      </c>
      <c r="B8" t="inlineStr">
        <is>
          <t>Jahir Ahmed</t>
        </is>
      </c>
      <c r="C8" s="7" t="n">
        <v>55</v>
      </c>
      <c r="D8" s="7" t="n">
        <v>58</v>
      </c>
      <c r="E8" s="7" t="n">
        <v>52</v>
      </c>
      <c r="F8" s="3" t="n">
        <v>60</v>
      </c>
      <c r="G8" s="7" t="n">
        <v>50</v>
      </c>
      <c r="H8" s="7" t="n">
        <v>54</v>
      </c>
      <c r="I8" s="7" t="n">
        <v>57</v>
      </c>
      <c r="J8">
        <f>SUM(C8:I8)</f>
        <v/>
      </c>
      <c r="K8" s="4">
        <f>ROUND(AVERAGE(C8:I8),2)</f>
        <v/>
      </c>
      <c r="L8" s="5">
        <f>IF(OR(C8&lt;33,D8&lt;33,E8&lt;33,F8&lt;33,G8&lt;33,H8&lt;33,I8&lt;33),0,MIN(5,ROUND((IF(C8&gt;=80,5,IF(C8&gt;=70,4,IF(C8&gt;=60,3.5,IF(C8&gt;=50,3,IF(C8&gt;=40,2,IF(C8&gt;=33,1,0))))))+IF(D8&gt;=80,5,IF(D8&gt;=70,4,IF(D8&gt;=60,3.5,IF(D8&gt;=50,3,IF(D8&gt;=40,2,IF(D8&gt;=33,1,0))))))+IF(E8&gt;=80,5,IF(E8&gt;=70,4,IF(E8&gt;=60,3.5,IF(E8&gt;=50,3,IF(E8&gt;=40,2,IF(E8&gt;=33,1,0))))))+IF(F8&gt;=80,5,IF(F8&gt;=70,4,IF(F8&gt;=60,3.5,IF(F8&gt;=50,3,IF(F8&gt;=40,2,IF(F8&gt;=33,1,0))))))+IF(G8&gt;=80,5,IF(G8&gt;=70,4,IF(G8&gt;=60,3.5,IF(G8&gt;=50,3,IF(G8&gt;=40,2,IF(G8&gt;=33,1,0))))))+IF(H8&gt;=80,5,IF(H8&gt;=70,4,IF(H8&gt;=60,3.5,IF(H8&gt;=50,3,IF(H8&gt;=40,2,IF(H8&gt;=33,1,0))))))+IF(I8&gt;=80,5,IF(I8&gt;=70,4,IF(I8&gt;=60,3.5,IF(I8&gt;=50,3,IF(I8&gt;=40,2,IF(I8&gt;=33,1,0)))))))/7,2)))</f>
        <v/>
      </c>
      <c r="M8" s="6">
        <f>IF(L8&gt;=5,"A+",IF(L8&gt;=4,"A",IF(L8&gt;=3.5,"A-",IF(L8&gt;=3,"B",IF(L8&gt;=2,"C",IF(L8&gt;=1,"D","F"))))))</f>
        <v/>
      </c>
    </row>
    <row r="9">
      <c r="A9" t="n">
        <v>8</v>
      </c>
      <c r="B9" t="inlineStr">
        <is>
          <t>Sadia Sultana</t>
        </is>
      </c>
      <c r="C9" s="3" t="n">
        <v>78</v>
      </c>
      <c r="D9" s="3" t="n">
        <v>75</v>
      </c>
      <c r="E9" s="2" t="n">
        <v>82</v>
      </c>
      <c r="F9" s="2" t="n">
        <v>80</v>
      </c>
      <c r="G9" s="3" t="n">
        <v>76</v>
      </c>
      <c r="H9" s="3" t="n">
        <v>79</v>
      </c>
      <c r="I9" s="3" t="n">
        <v>77</v>
      </c>
      <c r="J9">
        <f>SUM(C9:I9)</f>
        <v/>
      </c>
      <c r="K9" s="4">
        <f>ROUND(AVERAGE(C9:I9),2)</f>
        <v/>
      </c>
      <c r="L9" s="5">
        <f>IF(OR(C9&lt;33,D9&lt;33,E9&lt;33,F9&lt;33,G9&lt;33,H9&lt;33,I9&lt;33),0,MIN(5,ROUND((IF(C9&gt;=80,5,IF(C9&gt;=70,4,IF(C9&gt;=60,3.5,IF(C9&gt;=50,3,IF(C9&gt;=40,2,IF(C9&gt;=33,1,0))))))+IF(D9&gt;=80,5,IF(D9&gt;=70,4,IF(D9&gt;=60,3.5,IF(D9&gt;=50,3,IF(D9&gt;=40,2,IF(D9&gt;=33,1,0))))))+IF(E9&gt;=80,5,IF(E9&gt;=70,4,IF(E9&gt;=60,3.5,IF(E9&gt;=50,3,IF(E9&gt;=40,2,IF(E9&gt;=33,1,0))))))+IF(F9&gt;=80,5,IF(F9&gt;=70,4,IF(F9&gt;=60,3.5,IF(F9&gt;=50,3,IF(F9&gt;=40,2,IF(F9&gt;=33,1,0))))))+IF(G9&gt;=80,5,IF(G9&gt;=70,4,IF(G9&gt;=60,3.5,IF(G9&gt;=50,3,IF(G9&gt;=40,2,IF(G9&gt;=33,1,0))))))+IF(H9&gt;=80,5,IF(H9&gt;=70,4,IF(H9&gt;=60,3.5,IF(H9&gt;=50,3,IF(H9&gt;=40,2,IF(H9&gt;=33,1,0))))))+IF(I9&gt;=80,5,IF(I9&gt;=70,4,IF(I9&gt;=60,3.5,IF(I9&gt;=50,3,IF(I9&gt;=40,2,IF(I9&gt;=33,1,0)))))))/7,2)))</f>
        <v/>
      </c>
      <c r="M9" s="6">
        <f>IF(L9&gt;=5,"A+",IF(L9&gt;=4,"A",IF(L9&gt;=3.5,"A-",IF(L9&gt;=3,"B",IF(L9&gt;=2,"C",IF(L9&gt;=1,"D","F"))))))</f>
        <v/>
      </c>
    </row>
    <row r="10">
      <c r="A10" t="n">
        <v>9</v>
      </c>
      <c r="B10" t="inlineStr">
        <is>
          <t>Tarik Hasan</t>
        </is>
      </c>
      <c r="C10" s="7" t="n">
        <v>45</v>
      </c>
      <c r="D10" s="7" t="n">
        <v>48</v>
      </c>
      <c r="E10" s="7" t="n">
        <v>42</v>
      </c>
      <c r="F10" s="7" t="n">
        <v>50</v>
      </c>
      <c r="G10" s="7" t="n">
        <v>46</v>
      </c>
      <c r="H10" s="7" t="n">
        <v>44</v>
      </c>
      <c r="I10" s="7" t="n">
        <v>47</v>
      </c>
      <c r="J10">
        <f>SUM(C10:I10)</f>
        <v/>
      </c>
      <c r="K10" s="4">
        <f>ROUND(AVERAGE(C10:I10),2)</f>
        <v/>
      </c>
      <c r="L10" s="5">
        <f>IF(OR(C10&lt;33,D10&lt;33,E10&lt;33,F10&lt;33,G10&lt;33,H10&lt;33,I10&lt;33),0,MIN(5,ROUND((IF(C10&gt;=80,5,IF(C10&gt;=70,4,IF(C10&gt;=60,3.5,IF(C10&gt;=50,3,IF(C10&gt;=40,2,IF(C10&gt;=33,1,0))))))+IF(D10&gt;=80,5,IF(D10&gt;=70,4,IF(D10&gt;=60,3.5,IF(D10&gt;=50,3,IF(D10&gt;=40,2,IF(D10&gt;=33,1,0))))))+IF(E10&gt;=80,5,IF(E10&gt;=70,4,IF(E10&gt;=60,3.5,IF(E10&gt;=50,3,IF(E10&gt;=40,2,IF(E10&gt;=33,1,0))))))+IF(F10&gt;=80,5,IF(F10&gt;=70,4,IF(F10&gt;=60,3.5,IF(F10&gt;=50,3,IF(F10&gt;=40,2,IF(F10&gt;=33,1,0))))))+IF(G10&gt;=80,5,IF(G10&gt;=70,4,IF(G10&gt;=60,3.5,IF(G10&gt;=50,3,IF(G10&gt;=40,2,IF(G10&gt;=33,1,0))))))+IF(H10&gt;=80,5,IF(H10&gt;=70,4,IF(H10&gt;=60,3.5,IF(H10&gt;=50,3,IF(H10&gt;=40,2,IF(H10&gt;=33,1,0))))))+IF(I10&gt;=80,5,IF(I10&gt;=70,4,IF(I10&gt;=60,3.5,IF(I10&gt;=50,3,IF(I10&gt;=40,2,IF(I10&gt;=33,1,0)))))))/7,2)))</f>
        <v/>
      </c>
      <c r="M10" s="6">
        <f>IF(L10&gt;=5,"A+",IF(L10&gt;=4,"A",IF(L10&gt;=3.5,"A-",IF(L10&gt;=3,"B",IF(L10&gt;=2,"C",IF(L10&gt;=1,"D","F"))))))</f>
        <v/>
      </c>
    </row>
    <row r="11">
      <c r="A11" t="n">
        <v>10</v>
      </c>
      <c r="B11" t="inlineStr">
        <is>
          <t>Ruhi Akter</t>
        </is>
      </c>
      <c r="C11" s="2" t="n">
        <v>88</v>
      </c>
      <c r="D11" s="2" t="n">
        <v>90</v>
      </c>
      <c r="E11" s="2" t="n">
        <v>85</v>
      </c>
      <c r="F11" s="2" t="n">
        <v>87</v>
      </c>
      <c r="G11" s="2" t="n">
        <v>89</v>
      </c>
      <c r="H11" s="2" t="n">
        <v>86</v>
      </c>
      <c r="I11" s="2" t="n">
        <v>91</v>
      </c>
      <c r="J11">
        <f>SUM(C11:I11)</f>
        <v/>
      </c>
      <c r="K11" s="4">
        <f>ROUND(AVERAGE(C11:I11),2)</f>
        <v/>
      </c>
      <c r="L11" s="5">
        <f>IF(OR(C11&lt;33,D11&lt;33,E11&lt;33,F11&lt;33,G11&lt;33,H11&lt;33,I11&lt;33),0,MIN(5,ROUND((IF(C11&gt;=80,5,IF(C11&gt;=70,4,IF(C11&gt;=60,3.5,IF(C11&gt;=50,3,IF(C11&gt;=40,2,IF(C11&gt;=33,1,0))))))+IF(D11&gt;=80,5,IF(D11&gt;=70,4,IF(D11&gt;=60,3.5,IF(D11&gt;=50,3,IF(D11&gt;=40,2,IF(D11&gt;=33,1,0))))))+IF(E11&gt;=80,5,IF(E11&gt;=70,4,IF(E11&gt;=60,3.5,IF(E11&gt;=50,3,IF(E11&gt;=40,2,IF(E11&gt;=33,1,0))))))+IF(F11&gt;=80,5,IF(F11&gt;=70,4,IF(F11&gt;=60,3.5,IF(F11&gt;=50,3,IF(F11&gt;=40,2,IF(F11&gt;=33,1,0))))))+IF(G11&gt;=80,5,IF(G11&gt;=70,4,IF(G11&gt;=60,3.5,IF(G11&gt;=50,3,IF(G11&gt;=40,2,IF(G11&gt;=33,1,0))))))+IF(H11&gt;=80,5,IF(H11&gt;=70,4,IF(H11&gt;=60,3.5,IF(H11&gt;=50,3,IF(H11&gt;=40,2,IF(H11&gt;=33,1,0))))))+IF(I11&gt;=80,5,IF(I11&gt;=70,4,IF(I11&gt;=60,3.5,IF(I11&gt;=50,3,IF(I11&gt;=40,2,IF(I11&gt;=33,1,0)))))))/7,2)))</f>
        <v/>
      </c>
      <c r="M11" s="6">
        <f>IF(L11&gt;=5,"A+",IF(L11&gt;=4,"A",IF(L11&gt;=3.5,"A-",IF(L11&gt;=3,"B",IF(L11&gt;=2,"C",IF(L11&gt;=1,"D","F"))))))</f>
        <v/>
      </c>
    </row>
    <row r="12">
      <c r="A12" t="n">
        <v>11</v>
      </c>
      <c r="B12" t="inlineStr">
        <is>
          <t>Mehedi Hassan</t>
        </is>
      </c>
      <c r="C12" s="2" t="n">
        <v>92</v>
      </c>
      <c r="D12" s="2" t="n">
        <v>86</v>
      </c>
      <c r="E12" s="2" t="n">
        <v>90</v>
      </c>
      <c r="F12" s="2" t="n">
        <v>88</v>
      </c>
      <c r="G12" s="2" t="n">
        <v>84</v>
      </c>
      <c r="H12" s="2" t="n">
        <v>87</v>
      </c>
      <c r="I12" s="2" t="n">
        <v>89</v>
      </c>
      <c r="J12">
        <f>SUM(C12:I12)</f>
        <v/>
      </c>
      <c r="K12" s="4">
        <f>ROUND(AVERAGE(C12:I12),2)</f>
        <v/>
      </c>
      <c r="L12" s="5">
        <f>IF(OR(C12&lt;33,D12&lt;33,E12&lt;33,F12&lt;33,G12&lt;33,H12&lt;33,I12&lt;33),0,MIN(5,ROUND((IF(C12&gt;=80,5,IF(C12&gt;=70,4,IF(C12&gt;=60,3.5,IF(C12&gt;=50,3,IF(C12&gt;=40,2,IF(C12&gt;=33,1,0))))))+IF(D12&gt;=80,5,IF(D12&gt;=70,4,IF(D12&gt;=60,3.5,IF(D12&gt;=50,3,IF(D12&gt;=40,2,IF(D12&gt;=33,1,0))))))+IF(E12&gt;=80,5,IF(E12&gt;=70,4,IF(E12&gt;=60,3.5,IF(E12&gt;=50,3,IF(E12&gt;=40,2,IF(E12&gt;=33,1,0))))))+IF(F12&gt;=80,5,IF(F12&gt;=70,4,IF(F12&gt;=60,3.5,IF(F12&gt;=50,3,IF(F12&gt;=40,2,IF(F12&gt;=33,1,0))))))+IF(G12&gt;=80,5,IF(G12&gt;=70,4,IF(G12&gt;=60,3.5,IF(G12&gt;=50,3,IF(G12&gt;=40,2,IF(G12&gt;=33,1,0))))))+IF(H12&gt;=80,5,IF(H12&gt;=70,4,IF(H12&gt;=60,3.5,IF(H12&gt;=50,3,IF(H12&gt;=40,2,IF(H12&gt;=33,1,0))))))+IF(I12&gt;=80,5,IF(I12&gt;=70,4,IF(I12&gt;=60,3.5,IF(I12&gt;=50,3,IF(I12&gt;=40,2,IF(I12&gt;=33,1,0)))))))/7,2)))</f>
        <v/>
      </c>
      <c r="M12" s="6">
        <f>IF(L12&gt;=5,"A+",IF(L12&gt;=4,"A",IF(L12&gt;=3.5,"A-",IF(L12&gt;=3,"B",IF(L12&gt;=2,"C",IF(L12&gt;=1,"D","F"))))))</f>
        <v/>
      </c>
    </row>
    <row r="13">
      <c r="A13" t="n">
        <v>12</v>
      </c>
      <c r="B13" t="inlineStr">
        <is>
          <t>Lubna Khatun</t>
        </is>
      </c>
      <c r="C13" s="3" t="n">
        <v>68</v>
      </c>
      <c r="D13" s="3" t="n">
        <v>65</v>
      </c>
      <c r="E13" s="3" t="n">
        <v>70</v>
      </c>
      <c r="F13" s="3" t="n">
        <v>72</v>
      </c>
      <c r="G13" s="3" t="n">
        <v>68</v>
      </c>
      <c r="H13" s="3" t="n">
        <v>69</v>
      </c>
      <c r="I13" s="3" t="n">
        <v>71</v>
      </c>
      <c r="J13">
        <f>SUM(C13:I13)</f>
        <v/>
      </c>
      <c r="K13" s="4">
        <f>ROUND(AVERAGE(C13:I13),2)</f>
        <v/>
      </c>
      <c r="L13" s="5">
        <f>IF(OR(C13&lt;33,D13&lt;33,E13&lt;33,F13&lt;33,G13&lt;33,H13&lt;33,I13&lt;33),0,MIN(5,ROUND((IF(C13&gt;=80,5,IF(C13&gt;=70,4,IF(C13&gt;=60,3.5,IF(C13&gt;=50,3,IF(C13&gt;=40,2,IF(C13&gt;=33,1,0))))))+IF(D13&gt;=80,5,IF(D13&gt;=70,4,IF(D13&gt;=60,3.5,IF(D13&gt;=50,3,IF(D13&gt;=40,2,IF(D13&gt;=33,1,0))))))+IF(E13&gt;=80,5,IF(E13&gt;=70,4,IF(E13&gt;=60,3.5,IF(E13&gt;=50,3,IF(E13&gt;=40,2,IF(E13&gt;=33,1,0))))))+IF(F13&gt;=80,5,IF(F13&gt;=70,4,IF(F13&gt;=60,3.5,IF(F13&gt;=50,3,IF(F13&gt;=40,2,IF(F13&gt;=33,1,0))))))+IF(G13&gt;=80,5,IF(G13&gt;=70,4,IF(G13&gt;=60,3.5,IF(G13&gt;=50,3,IF(G13&gt;=40,2,IF(G13&gt;=33,1,0))))))+IF(H13&gt;=80,5,IF(H13&gt;=70,4,IF(H13&gt;=60,3.5,IF(H13&gt;=50,3,IF(H13&gt;=40,2,IF(H13&gt;=33,1,0))))))+IF(I13&gt;=80,5,IF(I13&gt;=70,4,IF(I13&gt;=60,3.5,IF(I13&gt;=50,3,IF(I13&gt;=40,2,IF(I13&gt;=33,1,0)))))))/7,2)))</f>
        <v/>
      </c>
      <c r="M13" s="6">
        <f>IF(L13&gt;=5,"A+",IF(L13&gt;=4,"A",IF(L13&gt;=3.5,"A-",IF(L13&gt;=3,"B",IF(L13&gt;=2,"C",IF(L13&gt;=1,"D","F"))))))</f>
        <v/>
      </c>
    </row>
    <row r="14">
      <c r="A14" t="n">
        <v>13</v>
      </c>
      <c r="B14" t="inlineStr">
        <is>
          <t>Fahim Ahmed</t>
        </is>
      </c>
      <c r="C14" s="3" t="n">
        <v>75</v>
      </c>
      <c r="D14" s="3" t="n">
        <v>72</v>
      </c>
      <c r="E14" s="3" t="n">
        <v>78</v>
      </c>
      <c r="F14" s="2" t="n">
        <v>80</v>
      </c>
      <c r="G14" s="3" t="n">
        <v>74</v>
      </c>
      <c r="H14" s="3" t="n">
        <v>76</v>
      </c>
      <c r="I14" s="3" t="n">
        <v>77</v>
      </c>
      <c r="J14">
        <f>SUM(C14:I14)</f>
        <v/>
      </c>
      <c r="K14" s="4">
        <f>ROUND(AVERAGE(C14:I14),2)</f>
        <v/>
      </c>
      <c r="L14" s="5">
        <f>IF(OR(C14&lt;33,D14&lt;33,E14&lt;33,F14&lt;33,G14&lt;33,H14&lt;33,I14&lt;33),0,MIN(5,ROUND((IF(C14&gt;=80,5,IF(C14&gt;=70,4,IF(C14&gt;=60,3.5,IF(C14&gt;=50,3,IF(C14&gt;=40,2,IF(C14&gt;=33,1,0))))))+IF(D14&gt;=80,5,IF(D14&gt;=70,4,IF(D14&gt;=60,3.5,IF(D14&gt;=50,3,IF(D14&gt;=40,2,IF(D14&gt;=33,1,0))))))+IF(E14&gt;=80,5,IF(E14&gt;=70,4,IF(E14&gt;=60,3.5,IF(E14&gt;=50,3,IF(E14&gt;=40,2,IF(E14&gt;=33,1,0))))))+IF(F14&gt;=80,5,IF(F14&gt;=70,4,IF(F14&gt;=60,3.5,IF(F14&gt;=50,3,IF(F14&gt;=40,2,IF(F14&gt;=33,1,0))))))+IF(G14&gt;=80,5,IF(G14&gt;=70,4,IF(G14&gt;=60,3.5,IF(G14&gt;=50,3,IF(G14&gt;=40,2,IF(G14&gt;=33,1,0))))))+IF(H14&gt;=80,5,IF(H14&gt;=70,4,IF(H14&gt;=60,3.5,IF(H14&gt;=50,3,IF(H14&gt;=40,2,IF(H14&gt;=33,1,0))))))+IF(I14&gt;=80,5,IF(I14&gt;=70,4,IF(I14&gt;=60,3.5,IF(I14&gt;=50,3,IF(I14&gt;=40,2,IF(I14&gt;=33,1,0)))))))/7,2)))</f>
        <v/>
      </c>
      <c r="M14" s="6">
        <f>IF(L14&gt;=5,"A+",IF(L14&gt;=4,"A",IF(L14&gt;=3.5,"A-",IF(L14&gt;=3,"B",IF(L14&gt;=2,"C",IF(L14&gt;=1,"D","F"))))))</f>
        <v/>
      </c>
    </row>
    <row r="15">
      <c r="A15" t="n">
        <v>14</v>
      </c>
      <c r="B15" t="inlineStr">
        <is>
          <t>Samira Begum</t>
        </is>
      </c>
      <c r="C15" s="2" t="n">
        <v>80</v>
      </c>
      <c r="D15" s="2" t="n">
        <v>82</v>
      </c>
      <c r="E15" s="2" t="n">
        <v>85</v>
      </c>
      <c r="F15" s="2" t="n">
        <v>86</v>
      </c>
      <c r="G15" s="2" t="n">
        <v>81</v>
      </c>
      <c r="H15" s="2" t="n">
        <v>83</v>
      </c>
      <c r="I15" s="2" t="n">
        <v>84</v>
      </c>
      <c r="J15">
        <f>SUM(C15:I15)</f>
        <v/>
      </c>
      <c r="K15" s="4">
        <f>ROUND(AVERAGE(C15:I15),2)</f>
        <v/>
      </c>
      <c r="L15" s="5">
        <f>IF(OR(C15&lt;33,D15&lt;33,E15&lt;33,F15&lt;33,G15&lt;33,H15&lt;33,I15&lt;33),0,MIN(5,ROUND((IF(C15&gt;=80,5,IF(C15&gt;=70,4,IF(C15&gt;=60,3.5,IF(C15&gt;=50,3,IF(C15&gt;=40,2,IF(C15&gt;=33,1,0))))))+IF(D15&gt;=80,5,IF(D15&gt;=70,4,IF(D15&gt;=60,3.5,IF(D15&gt;=50,3,IF(D15&gt;=40,2,IF(D15&gt;=33,1,0))))))+IF(E15&gt;=80,5,IF(E15&gt;=70,4,IF(E15&gt;=60,3.5,IF(E15&gt;=50,3,IF(E15&gt;=40,2,IF(E15&gt;=33,1,0))))))+IF(F15&gt;=80,5,IF(F15&gt;=70,4,IF(F15&gt;=60,3.5,IF(F15&gt;=50,3,IF(F15&gt;=40,2,IF(F15&gt;=33,1,0))))))+IF(G15&gt;=80,5,IF(G15&gt;=70,4,IF(G15&gt;=60,3.5,IF(G15&gt;=50,3,IF(G15&gt;=40,2,IF(G15&gt;=33,1,0))))))+IF(H15&gt;=80,5,IF(H15&gt;=70,4,IF(H15&gt;=60,3.5,IF(H15&gt;=50,3,IF(H15&gt;=40,2,IF(H15&gt;=33,1,0))))))+IF(I15&gt;=80,5,IF(I15&gt;=70,4,IF(I15&gt;=60,3.5,IF(I15&gt;=50,3,IF(I15&gt;=40,2,IF(I15&gt;=33,1,0)))))))/7,2)))</f>
        <v/>
      </c>
      <c r="M15" s="6">
        <f>IF(L15&gt;=5,"A+",IF(L15&gt;=4,"A",IF(L15&gt;=3.5,"A-",IF(L15&gt;=3,"B",IF(L15&gt;=2,"C",IF(L15&gt;=1,"D","F"))))))</f>
        <v/>
      </c>
    </row>
    <row r="16">
      <c r="A16" t="n">
        <v>15</v>
      </c>
      <c r="B16" t="inlineStr">
        <is>
          <t>Imran Khan</t>
        </is>
      </c>
      <c r="C16" s="7" t="n">
        <v>58</v>
      </c>
      <c r="D16" s="7" t="n">
        <v>55</v>
      </c>
      <c r="E16" s="3" t="n">
        <v>60</v>
      </c>
      <c r="F16" s="3" t="n">
        <v>62</v>
      </c>
      <c r="G16" s="7" t="n">
        <v>54</v>
      </c>
      <c r="H16" s="7" t="n">
        <v>56</v>
      </c>
      <c r="I16" s="7" t="n">
        <v>59</v>
      </c>
      <c r="J16">
        <f>SUM(C16:I16)</f>
        <v/>
      </c>
      <c r="K16" s="4">
        <f>ROUND(AVERAGE(C16:I16),2)</f>
        <v/>
      </c>
      <c r="L16" s="5">
        <f>IF(OR(C16&lt;33,D16&lt;33,E16&lt;33,F16&lt;33,G16&lt;33,H16&lt;33,I16&lt;33),0,MIN(5,ROUND((IF(C16&gt;=80,5,IF(C16&gt;=70,4,IF(C16&gt;=60,3.5,IF(C16&gt;=50,3,IF(C16&gt;=40,2,IF(C16&gt;=33,1,0))))))+IF(D16&gt;=80,5,IF(D16&gt;=70,4,IF(D16&gt;=60,3.5,IF(D16&gt;=50,3,IF(D16&gt;=40,2,IF(D16&gt;=33,1,0))))))+IF(E16&gt;=80,5,IF(E16&gt;=70,4,IF(E16&gt;=60,3.5,IF(E16&gt;=50,3,IF(E16&gt;=40,2,IF(E16&gt;=33,1,0))))))+IF(F16&gt;=80,5,IF(F16&gt;=70,4,IF(F16&gt;=60,3.5,IF(F16&gt;=50,3,IF(F16&gt;=40,2,IF(F16&gt;=33,1,0))))))+IF(G16&gt;=80,5,IF(G16&gt;=70,4,IF(G16&gt;=60,3.5,IF(G16&gt;=50,3,IF(G16&gt;=40,2,IF(G16&gt;=33,1,0))))))+IF(H16&gt;=80,5,IF(H16&gt;=70,4,IF(H16&gt;=60,3.5,IF(H16&gt;=50,3,IF(H16&gt;=40,2,IF(H16&gt;=33,1,0))))))+IF(I16&gt;=80,5,IF(I16&gt;=70,4,IF(I16&gt;=60,3.5,IF(I16&gt;=50,3,IF(I16&gt;=40,2,IF(I16&gt;=33,1,0)))))))/7,2)))</f>
        <v/>
      </c>
      <c r="M16" s="6">
        <f>IF(L16&gt;=5,"A+",IF(L16&gt;=4,"A",IF(L16&gt;=3.5,"A-",IF(L16&gt;=3,"B",IF(L16&gt;=2,"C",IF(L16&gt;=1,"D","F"))))))</f>
        <v/>
      </c>
    </row>
    <row r="17">
      <c r="A17" t="n">
        <v>16</v>
      </c>
      <c r="B17" t="inlineStr">
        <is>
          <t>Rafia Islam</t>
        </is>
      </c>
      <c r="C17" s="2" t="n">
        <v>87</v>
      </c>
      <c r="D17" s="2" t="n">
        <v>85</v>
      </c>
      <c r="E17" s="2" t="n">
        <v>88</v>
      </c>
      <c r="F17" s="2" t="n">
        <v>90</v>
      </c>
      <c r="G17" s="2" t="n">
        <v>86</v>
      </c>
      <c r="H17" s="2" t="n">
        <v>87</v>
      </c>
      <c r="I17" s="2" t="n">
        <v>89</v>
      </c>
      <c r="J17">
        <f>SUM(C17:I17)</f>
        <v/>
      </c>
      <c r="K17" s="4">
        <f>ROUND(AVERAGE(C17:I17),2)</f>
        <v/>
      </c>
      <c r="L17" s="5">
        <f>IF(OR(C17&lt;33,D17&lt;33,E17&lt;33,F17&lt;33,G17&lt;33,H17&lt;33,I17&lt;33),0,MIN(5,ROUND((IF(C17&gt;=80,5,IF(C17&gt;=70,4,IF(C17&gt;=60,3.5,IF(C17&gt;=50,3,IF(C17&gt;=40,2,IF(C17&gt;=33,1,0))))))+IF(D17&gt;=80,5,IF(D17&gt;=70,4,IF(D17&gt;=60,3.5,IF(D17&gt;=50,3,IF(D17&gt;=40,2,IF(D17&gt;=33,1,0))))))+IF(E17&gt;=80,5,IF(E17&gt;=70,4,IF(E17&gt;=60,3.5,IF(E17&gt;=50,3,IF(E17&gt;=40,2,IF(E17&gt;=33,1,0))))))+IF(F17&gt;=80,5,IF(F17&gt;=70,4,IF(F17&gt;=60,3.5,IF(F17&gt;=50,3,IF(F17&gt;=40,2,IF(F17&gt;=33,1,0))))))+IF(G17&gt;=80,5,IF(G17&gt;=70,4,IF(G17&gt;=60,3.5,IF(G17&gt;=50,3,IF(G17&gt;=40,2,IF(G17&gt;=33,1,0))))))+IF(H17&gt;=80,5,IF(H17&gt;=70,4,IF(H17&gt;=60,3.5,IF(H17&gt;=50,3,IF(H17&gt;=40,2,IF(H17&gt;=33,1,0))))))+IF(I17&gt;=80,5,IF(I17&gt;=70,4,IF(I17&gt;=60,3.5,IF(I17&gt;=50,3,IF(I17&gt;=40,2,IF(I17&gt;=33,1,0)))))))/7,2)))</f>
        <v/>
      </c>
      <c r="M17" s="6">
        <f>IF(L17&gt;=5,"A+",IF(L17&gt;=4,"A",IF(L17&gt;=3.5,"A-",IF(L17&gt;=3,"B",IF(L17&gt;=2,"C",IF(L17&gt;=1,"D","F"))))))</f>
        <v/>
      </c>
    </row>
    <row r="18">
      <c r="A18" t="n">
        <v>17</v>
      </c>
      <c r="B18" t="inlineStr">
        <is>
          <t>Shakib Rahman</t>
        </is>
      </c>
      <c r="C18" s="3" t="n">
        <v>70</v>
      </c>
      <c r="D18" s="3" t="n">
        <v>68</v>
      </c>
      <c r="E18" s="3" t="n">
        <v>72</v>
      </c>
      <c r="F18" s="3" t="n">
        <v>74</v>
      </c>
      <c r="G18" s="3" t="n">
        <v>70</v>
      </c>
      <c r="H18" s="3" t="n">
        <v>71</v>
      </c>
      <c r="I18" s="3" t="n">
        <v>73</v>
      </c>
      <c r="J18">
        <f>SUM(C18:I18)</f>
        <v/>
      </c>
      <c r="K18" s="4">
        <f>ROUND(AVERAGE(C18:I18),2)</f>
        <v/>
      </c>
      <c r="L18" s="5">
        <f>IF(OR(C18&lt;33,D18&lt;33,E18&lt;33,F18&lt;33,G18&lt;33,H18&lt;33,I18&lt;33),0,MIN(5,ROUND((IF(C18&gt;=80,5,IF(C18&gt;=70,4,IF(C18&gt;=60,3.5,IF(C18&gt;=50,3,IF(C18&gt;=40,2,IF(C18&gt;=33,1,0))))))+IF(D18&gt;=80,5,IF(D18&gt;=70,4,IF(D18&gt;=60,3.5,IF(D18&gt;=50,3,IF(D18&gt;=40,2,IF(D18&gt;=33,1,0))))))+IF(E18&gt;=80,5,IF(E18&gt;=70,4,IF(E18&gt;=60,3.5,IF(E18&gt;=50,3,IF(E18&gt;=40,2,IF(E18&gt;=33,1,0))))))+IF(F18&gt;=80,5,IF(F18&gt;=70,4,IF(F18&gt;=60,3.5,IF(F18&gt;=50,3,IF(F18&gt;=40,2,IF(F18&gt;=33,1,0))))))+IF(G18&gt;=80,5,IF(G18&gt;=70,4,IF(G18&gt;=60,3.5,IF(G18&gt;=50,3,IF(G18&gt;=40,2,IF(G18&gt;=33,1,0))))))+IF(H18&gt;=80,5,IF(H18&gt;=70,4,IF(H18&gt;=60,3.5,IF(H18&gt;=50,3,IF(H18&gt;=40,2,IF(H18&gt;=33,1,0))))))+IF(I18&gt;=80,5,IF(I18&gt;=70,4,IF(I18&gt;=60,3.5,IF(I18&gt;=50,3,IF(I18&gt;=40,2,IF(I18&gt;=33,1,0)))))))/7,2)))</f>
        <v/>
      </c>
      <c r="M18" s="6">
        <f>IF(L18&gt;=5,"A+",IF(L18&gt;=4,"A",IF(L18&gt;=3.5,"A-",IF(L18&gt;=3,"B",IF(L18&gt;=2,"C",IF(L18&gt;=1,"D","F"))))))</f>
        <v/>
      </c>
    </row>
    <row r="19">
      <c r="A19" t="n">
        <v>18</v>
      </c>
      <c r="B19" t="inlineStr">
        <is>
          <t>Nusrat Jahan</t>
        </is>
      </c>
      <c r="C19" s="2" t="n">
        <v>84</v>
      </c>
      <c r="D19" s="2" t="n">
        <v>88</v>
      </c>
      <c r="E19" s="2" t="n">
        <v>86</v>
      </c>
      <c r="F19" s="2" t="n">
        <v>89</v>
      </c>
      <c r="G19" s="2" t="n">
        <v>85</v>
      </c>
      <c r="H19" s="2" t="n">
        <v>87</v>
      </c>
      <c r="I19" s="2" t="n">
        <v>88</v>
      </c>
      <c r="J19">
        <f>SUM(C19:I19)</f>
        <v/>
      </c>
      <c r="K19" s="4">
        <f>ROUND(AVERAGE(C19:I19),2)</f>
        <v/>
      </c>
      <c r="L19" s="5">
        <f>IF(OR(C19&lt;33,D19&lt;33,E19&lt;33,F19&lt;33,G19&lt;33,H19&lt;33,I19&lt;33),0,MIN(5,ROUND((IF(C19&gt;=80,5,IF(C19&gt;=70,4,IF(C19&gt;=60,3.5,IF(C19&gt;=50,3,IF(C19&gt;=40,2,IF(C19&gt;=33,1,0))))))+IF(D19&gt;=80,5,IF(D19&gt;=70,4,IF(D19&gt;=60,3.5,IF(D19&gt;=50,3,IF(D19&gt;=40,2,IF(D19&gt;=33,1,0))))))+IF(E19&gt;=80,5,IF(E19&gt;=70,4,IF(E19&gt;=60,3.5,IF(E19&gt;=50,3,IF(E19&gt;=40,2,IF(E19&gt;=33,1,0))))))+IF(F19&gt;=80,5,IF(F19&gt;=70,4,IF(F19&gt;=60,3.5,IF(F19&gt;=50,3,IF(F19&gt;=40,2,IF(F19&gt;=33,1,0))))))+IF(G19&gt;=80,5,IF(G19&gt;=70,4,IF(G19&gt;=60,3.5,IF(G19&gt;=50,3,IF(G19&gt;=40,2,IF(G19&gt;=33,1,0))))))+IF(H19&gt;=80,5,IF(H19&gt;=70,4,IF(H19&gt;=60,3.5,IF(H19&gt;=50,3,IF(H19&gt;=40,2,IF(H19&gt;=33,1,0))))))+IF(I19&gt;=80,5,IF(I19&gt;=70,4,IF(I19&gt;=60,3.5,IF(I19&gt;=50,3,IF(I19&gt;=40,2,IF(I19&gt;=33,1,0)))))))/7,2)))</f>
        <v/>
      </c>
      <c r="M19" s="6">
        <f>IF(L19&gt;=5,"A+",IF(L19&gt;=4,"A",IF(L19&gt;=3.5,"A-",IF(L19&gt;=3,"B",IF(L19&gt;=2,"C",IF(L19&gt;=1,"D","F"))))))</f>
        <v/>
      </c>
    </row>
    <row r="20">
      <c r="A20" t="n">
        <v>19</v>
      </c>
      <c r="B20" t="inlineStr">
        <is>
          <t>Arif Hossain</t>
        </is>
      </c>
      <c r="C20" s="3" t="n">
        <v>62</v>
      </c>
      <c r="D20" s="3" t="n">
        <v>60</v>
      </c>
      <c r="E20" s="3" t="n">
        <v>65</v>
      </c>
      <c r="F20" s="3" t="n">
        <v>68</v>
      </c>
      <c r="G20" s="3" t="n">
        <v>63</v>
      </c>
      <c r="H20" s="3" t="n">
        <v>64</v>
      </c>
      <c r="I20" s="3" t="n">
        <v>66</v>
      </c>
      <c r="J20">
        <f>SUM(C20:I20)</f>
        <v/>
      </c>
      <c r="K20" s="4">
        <f>ROUND(AVERAGE(C20:I20),2)</f>
        <v/>
      </c>
      <c r="L20" s="5">
        <f>IF(OR(C20&lt;33,D20&lt;33,E20&lt;33,F20&lt;33,G20&lt;33,H20&lt;33,I20&lt;33),0,MIN(5,ROUND((IF(C20&gt;=80,5,IF(C20&gt;=70,4,IF(C20&gt;=60,3.5,IF(C20&gt;=50,3,IF(C20&gt;=40,2,IF(C20&gt;=33,1,0))))))+IF(D20&gt;=80,5,IF(D20&gt;=70,4,IF(D20&gt;=60,3.5,IF(D20&gt;=50,3,IF(D20&gt;=40,2,IF(D20&gt;=33,1,0))))))+IF(E20&gt;=80,5,IF(E20&gt;=70,4,IF(E20&gt;=60,3.5,IF(E20&gt;=50,3,IF(E20&gt;=40,2,IF(E20&gt;=33,1,0))))))+IF(F20&gt;=80,5,IF(F20&gt;=70,4,IF(F20&gt;=60,3.5,IF(F20&gt;=50,3,IF(F20&gt;=40,2,IF(F20&gt;=33,1,0))))))+IF(G20&gt;=80,5,IF(G20&gt;=70,4,IF(G20&gt;=60,3.5,IF(G20&gt;=50,3,IF(G20&gt;=40,2,IF(G20&gt;=33,1,0))))))+IF(H20&gt;=80,5,IF(H20&gt;=70,4,IF(H20&gt;=60,3.5,IF(H20&gt;=50,3,IF(H20&gt;=40,2,IF(H20&gt;=33,1,0))))))+IF(I20&gt;=80,5,IF(I20&gt;=70,4,IF(I20&gt;=60,3.5,IF(I20&gt;=50,3,IF(I20&gt;=40,2,IF(I20&gt;=33,1,0)))))))/7,2)))</f>
        <v/>
      </c>
      <c r="M20" s="6">
        <f>IF(L20&gt;=5,"A+",IF(L20&gt;=4,"A",IF(L20&gt;=3.5,"A-",IF(L20&gt;=3,"B",IF(L20&gt;=2,"C",IF(L20&gt;=1,"D","F"))))))</f>
        <v/>
      </c>
    </row>
    <row r="21">
      <c r="A21" t="n">
        <v>20</v>
      </c>
      <c r="B21" t="inlineStr">
        <is>
          <t>Tasnia Akter</t>
        </is>
      </c>
      <c r="C21" s="2" t="n">
        <v>91</v>
      </c>
      <c r="D21" s="2" t="n">
        <v>89</v>
      </c>
      <c r="E21" s="2" t="n">
        <v>93</v>
      </c>
      <c r="F21" s="2" t="n">
        <v>92</v>
      </c>
      <c r="G21" s="2" t="n">
        <v>88</v>
      </c>
      <c r="H21" s="2" t="n">
        <v>90</v>
      </c>
      <c r="I21" s="2" t="n">
        <v>92</v>
      </c>
      <c r="J21">
        <f>SUM(C21:I21)</f>
        <v/>
      </c>
      <c r="K21" s="4">
        <f>ROUND(AVERAGE(C21:I21),2)</f>
        <v/>
      </c>
      <c r="L21" s="5">
        <f>IF(OR(C21&lt;33,D21&lt;33,E21&lt;33,F21&lt;33,G21&lt;33,H21&lt;33,I21&lt;33),0,MIN(5,ROUND((IF(C21&gt;=80,5,IF(C21&gt;=70,4,IF(C21&gt;=60,3.5,IF(C21&gt;=50,3,IF(C21&gt;=40,2,IF(C21&gt;=33,1,0))))))+IF(D21&gt;=80,5,IF(D21&gt;=70,4,IF(D21&gt;=60,3.5,IF(D21&gt;=50,3,IF(D21&gt;=40,2,IF(D21&gt;=33,1,0))))))+IF(E21&gt;=80,5,IF(E21&gt;=70,4,IF(E21&gt;=60,3.5,IF(E21&gt;=50,3,IF(E21&gt;=40,2,IF(E21&gt;=33,1,0))))))+IF(F21&gt;=80,5,IF(F21&gt;=70,4,IF(F21&gt;=60,3.5,IF(F21&gt;=50,3,IF(F21&gt;=40,2,IF(F21&gt;=33,1,0))))))+IF(G21&gt;=80,5,IF(G21&gt;=70,4,IF(G21&gt;=60,3.5,IF(G21&gt;=50,3,IF(G21&gt;=40,2,IF(G21&gt;=33,1,0))))))+IF(H21&gt;=80,5,IF(H21&gt;=70,4,IF(H21&gt;=60,3.5,IF(H21&gt;=50,3,IF(H21&gt;=40,2,IF(H21&gt;=33,1,0))))))+IF(I21&gt;=80,5,IF(I21&gt;=70,4,IF(I21&gt;=60,3.5,IF(I21&gt;=50,3,IF(I21&gt;=40,2,IF(I21&gt;=33,1,0)))))))/7,2)))</f>
        <v/>
      </c>
      <c r="M21" s="6">
        <f>IF(L21&gt;=5,"A+",IF(L21&gt;=4,"A",IF(L21&gt;=3.5,"A-",IF(L21&gt;=3,"B",IF(L21&gt;=2,"C",IF(L21&gt;=1,"D","F"))))))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8" t="inlineStr">
        <is>
          <t>📊 ACADEMIC RESULTS DASHBOARD</t>
        </is>
      </c>
    </row>
    <row r="2"/>
    <row r="4">
      <c r="A4" s="9" t="inlineStr">
        <is>
          <t>SUMMARY STATISTICS</t>
        </is>
      </c>
    </row>
    <row r="5">
      <c r="B5" s="10" t="inlineStr">
        <is>
          <t>Total Students:</t>
        </is>
      </c>
      <c r="C5" s="11">
        <f>COUNTA('Data Source'!B:B)-1</f>
        <v/>
      </c>
      <c r="E5" s="10" t="inlineStr">
        <is>
          <t>Average GPA:</t>
        </is>
      </c>
      <c r="F5" s="12">
        <f>IFERROR(ROUND(AVERAGE('Data Source'!L:L),2), 0)</f>
        <v/>
      </c>
      <c r="H5" s="10" t="inlineStr">
        <is>
          <t>Highest Total:</t>
        </is>
      </c>
      <c r="I5" s="11">
        <f>MAX('Data Source'!J:J)</f>
        <v/>
      </c>
      <c r="K5" s="10" t="inlineStr">
        <is>
          <t>Pass Rate:</t>
        </is>
      </c>
      <c r="L5" s="13">
        <f>IF(C5&gt;0,COUNTIF('Data Source'!L:L,"&gt;0")/C5,0)</f>
        <v/>
      </c>
    </row>
    <row r="7">
      <c r="A7" s="14" t="inlineStr">
        <is>
          <t>GRADE DISTRIBUTION</t>
        </is>
      </c>
      <c r="D7" s="14" t="inlineStr">
        <is>
          <t>SUBJECT-WISE AVERAGE</t>
        </is>
      </c>
      <c r="G7" s="14" t="inlineStr">
        <is>
          <t>TOP 5 STUDENTS</t>
        </is>
      </c>
    </row>
    <row r="8">
      <c r="A8" s="15" t="inlineStr">
        <is>
          <t>Grade</t>
        </is>
      </c>
      <c r="B8" s="15" t="inlineStr">
        <is>
          <t>Count</t>
        </is>
      </c>
      <c r="D8" s="10" t="inlineStr">
        <is>
          <t>Subject</t>
        </is>
      </c>
      <c r="E8" s="15" t="inlineStr">
        <is>
          <t>Average</t>
        </is>
      </c>
      <c r="G8" s="15" t="inlineStr">
        <is>
          <t>Rank</t>
        </is>
      </c>
      <c r="H8" s="10" t="inlineStr">
        <is>
          <t>Name</t>
        </is>
      </c>
      <c r="I8" s="15" t="inlineStr">
        <is>
          <t>GPA</t>
        </is>
      </c>
    </row>
    <row r="9">
      <c r="A9" s="6" t="inlineStr">
        <is>
          <t>A+</t>
        </is>
      </c>
      <c r="B9" s="6">
        <f>COUNTIF('Data Source'!M:M,"A+")</f>
        <v/>
      </c>
      <c r="D9" t="inlineStr">
        <is>
          <t>Bangla</t>
        </is>
      </c>
      <c r="E9" s="5">
        <f>IFERROR(ROUND(AVERAGE('Data Source'!C:C),2),0)</f>
        <v/>
      </c>
      <c r="G9" s="6" t="n">
        <v>1</v>
      </c>
      <c r="H9">
        <f>'Data Source'!B3</f>
        <v/>
      </c>
      <c r="I9" s="5">
        <f>'Data Source'!L3</f>
        <v/>
      </c>
    </row>
    <row r="10">
      <c r="A10" s="6" t="inlineStr">
        <is>
          <t>A</t>
        </is>
      </c>
      <c r="B10" s="6">
        <f>COUNTIF('Data Source'!M:M,"A")</f>
        <v/>
      </c>
      <c r="D10" t="inlineStr">
        <is>
          <t>English</t>
        </is>
      </c>
      <c r="E10" s="5">
        <f>IFERROR(ROUND(AVERAGE('Data Source'!D:D),2),0)</f>
        <v/>
      </c>
      <c r="G10" s="6" t="n">
        <v>2</v>
      </c>
      <c r="H10">
        <f>'Data Source'!B5</f>
        <v/>
      </c>
      <c r="I10" s="5">
        <f>'Data Source'!L5</f>
        <v/>
      </c>
    </row>
    <row r="11">
      <c r="A11" s="6" t="inlineStr">
        <is>
          <t>A-</t>
        </is>
      </c>
      <c r="B11" s="6">
        <f>COUNTIF('Data Source'!M:M,"A-")</f>
        <v/>
      </c>
      <c r="D11" t="inlineStr">
        <is>
          <t>Mathematics</t>
        </is>
      </c>
      <c r="E11" s="5">
        <f>IFERROR(ROUND(AVERAGE('Data Source'!E:E),2),0)</f>
        <v/>
      </c>
      <c r="G11" s="6" t="n">
        <v>3</v>
      </c>
      <c r="H11">
        <f>'Data Source'!B7</f>
        <v/>
      </c>
      <c r="I11" s="5">
        <f>'Data Source'!L7</f>
        <v/>
      </c>
    </row>
    <row r="12">
      <c r="A12" s="6" t="inlineStr">
        <is>
          <t>B</t>
        </is>
      </c>
      <c r="B12" s="6">
        <f>COUNTIF('Data Source'!M:M,"B")</f>
        <v/>
      </c>
      <c r="D12" t="inlineStr">
        <is>
          <t>ICT</t>
        </is>
      </c>
      <c r="E12" s="5">
        <f>IFERROR(ROUND(AVERAGE('Data Source'!F:F),2),0)</f>
        <v/>
      </c>
      <c r="G12" s="6" t="n">
        <v>4</v>
      </c>
      <c r="H12">
        <f>'Data Source'!B11</f>
        <v/>
      </c>
      <c r="I12" s="5">
        <f>'Data Source'!L11</f>
        <v/>
      </c>
    </row>
    <row r="13">
      <c r="A13" s="6" t="inlineStr">
        <is>
          <t>C</t>
        </is>
      </c>
      <c r="B13" s="6">
        <f>COUNTIF('Data Source'!M:M,"C")</f>
        <v/>
      </c>
      <c r="D13" t="inlineStr">
        <is>
          <t>Physics</t>
        </is>
      </c>
      <c r="E13" s="5">
        <f>IFERROR(ROUND(AVERAGE('Data Source'!G:G),2),0)</f>
        <v/>
      </c>
      <c r="G13" s="6" t="n">
        <v>5</v>
      </c>
      <c r="H13">
        <f>'Data Source'!B12</f>
        <v/>
      </c>
      <c r="I13" s="5">
        <f>'Data Source'!L12</f>
        <v/>
      </c>
    </row>
    <row r="14">
      <c r="A14" s="6" t="inlineStr">
        <is>
          <t>D</t>
        </is>
      </c>
      <c r="B14" s="6">
        <f>COUNTIF('Data Source'!M:M,"D")</f>
        <v/>
      </c>
      <c r="D14" t="inlineStr">
        <is>
          <t>Chemistry</t>
        </is>
      </c>
      <c r="E14" s="5">
        <f>IFERROR(ROUND(AVERAGE('Data Source'!H:H),2),0)</f>
        <v/>
      </c>
    </row>
    <row r="15">
      <c r="A15" s="6" t="inlineStr">
        <is>
          <t>F</t>
        </is>
      </c>
      <c r="B15" s="6">
        <f>COUNTIF('Data Source'!M:M,"F")</f>
        <v/>
      </c>
      <c r="D15" t="inlineStr">
        <is>
          <t>Biology</t>
        </is>
      </c>
      <c r="E15" s="5">
        <f>IFERROR(ROUND(AVERAGE('Data Source'!I:I),2),0)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2025-11-08T09:44:01Z</dcterms:created>
  <dcterms:modified xsi:type="dcterms:W3CDTF">2025-11-08T09:44:01Z</dcterms:modified>
</cp:coreProperties>
</file>