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Source" sheetId="1" state="visible" r:id="rId1"/>
    <sheet name="Dashboard" sheetId="2" state="visible" r:id="rId2"/>
    <sheet name="Pivo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&quot;%&quot;"/>
  </numFmts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  <sz val="24"/>
    </font>
    <font>
      <b val="1"/>
      <sz val="14"/>
    </font>
    <font>
      <b val="1"/>
    </font>
    <font>
      <b val="1"/>
      <color rgb="001F4E78"/>
      <sz val="12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70AD47"/>
        <bgColor rgb="0070AD47"/>
      </patternFill>
    </fill>
    <fill>
      <patternFill patternType="solid">
        <fgColor rgb="00FFF2CC"/>
        <bgColor rgb="00FFF2CC"/>
      </patternFill>
    </fill>
    <fill>
      <patternFill patternType="solid">
        <fgColor rgb="00FFE699"/>
        <bgColor rgb="00FFE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0" fillId="4" borderId="0" pivotButton="0" quotePrefix="0" xfId="0"/>
    <xf numFmtId="0" fontId="0" fillId="0" borderId="0" applyAlignment="1" pivotButton="0" quotePrefix="0" xfId="0">
      <alignment horizontal="center"/>
    </xf>
    <xf numFmtId="2" fontId="0" fillId="0" borderId="0" pivotButton="0" quotePrefix="0" xfId="0"/>
    <xf numFmtId="2" fontId="0" fillId="0" borderId="0" applyAlignment="1" pivotButton="0" quotePrefix="0" xfId="0">
      <alignment horizontal="center"/>
    </xf>
    <xf numFmtId="0" fontId="0" fillId="5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Grade Distribution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'Dashboard'!$A$9:$A$15</f>
            </numRef>
          </cat>
          <val>
            <numRef>
              <f>'Dashboard'!$B$9:$B$15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Subject-wise Average Scores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'Dashboard'!E8</f>
            </strRef>
          </tx>
          <spPr>
            <a:ln>
              <a:prstDash val="solid"/>
            </a:ln>
          </spPr>
          <cat>
            <numRef>
              <f>'Dashboard'!$D$9:$D$17</f>
            </numRef>
          </cat>
          <val>
            <numRef>
              <f>'Dashboard'!$E$9:$E$17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Subjects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Average Marks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16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1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2" customWidth="1" min="3" max="3"/>
    <col width="14" customWidth="1" min="4" max="4"/>
    <col width="10" customWidth="1" min="5" max="5"/>
    <col width="14" customWidth="1" min="6" max="6"/>
    <col width="14" customWidth="1" min="7" max="7"/>
    <col width="12" customWidth="1" min="8" max="8"/>
    <col width="13" customWidth="1" min="9" max="9"/>
    <col width="10" customWidth="1" min="10" max="10"/>
    <col width="10" customWidth="1" min="11" max="11"/>
    <col width="12" customWidth="1" min="12" max="12"/>
    <col width="12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0" customWidth="1" min="21" max="21"/>
    <col width="11" customWidth="1" min="22" max="22"/>
    <col width="11" customWidth="1" min="23" max="23"/>
    <col width="12" customWidth="1" min="24" max="24"/>
    <col width="10" customWidth="1" min="25" max="25"/>
    <col width="10" customWidth="1" min="26" max="26"/>
    <col width="8" customWidth="1" min="27" max="27"/>
    <col width="8" customWidth="1" min="28" max="28"/>
  </cols>
  <sheetData>
    <row r="1">
      <c r="A1" s="1" t="inlineStr">
        <is>
          <t>SL</t>
        </is>
      </c>
      <c r="B1" s="1" t="inlineStr">
        <is>
          <t>Name</t>
        </is>
      </c>
      <c r="C1" s="1" t="inlineStr">
        <is>
          <t>Quran_Mazid</t>
        </is>
      </c>
      <c r="D1" s="1" t="inlineStr">
        <is>
          <t>Arabic_Combined</t>
        </is>
      </c>
      <c r="E1" s="1" t="inlineStr">
        <is>
          <t>Aqaid</t>
        </is>
      </c>
      <c r="F1" s="1" t="inlineStr">
        <is>
          <t>English_Combined</t>
        </is>
      </c>
      <c r="G1" s="1" t="inlineStr">
        <is>
          <t>Bangla_Combined</t>
        </is>
      </c>
      <c r="H1" s="1" t="inlineStr">
        <is>
          <t>Mathematics</t>
        </is>
      </c>
      <c r="I1" s="1" t="inlineStr">
        <is>
          <t>Islamic_History</t>
        </is>
      </c>
      <c r="J1" s="1" t="inlineStr">
        <is>
          <t>ICT</t>
        </is>
      </c>
      <c r="K1" s="1" t="inlineStr">
        <is>
          <t>Mantiq</t>
        </is>
      </c>
      <c r="L1" s="1" t="inlineStr">
        <is>
          <t>Career_Education</t>
        </is>
      </c>
      <c r="M1" s="1" t="inlineStr">
        <is>
          <t>Physical_Education</t>
        </is>
      </c>
      <c r="N1" s="1" t="inlineStr">
        <is>
          <t>Quran Grade</t>
        </is>
      </c>
      <c r="O1" s="1" t="inlineStr">
        <is>
          <t>Arabic Grade</t>
        </is>
      </c>
      <c r="P1" s="1" t="inlineStr">
        <is>
          <t>Aqaid Grade</t>
        </is>
      </c>
      <c r="Q1" s="1" t="inlineStr">
        <is>
          <t>English Grade</t>
        </is>
      </c>
      <c r="R1" s="1" t="inlineStr">
        <is>
          <t>Bangla Grade</t>
        </is>
      </c>
      <c r="S1" s="1" t="inlineStr">
        <is>
          <t>Math Grade</t>
        </is>
      </c>
      <c r="T1" s="1" t="inlineStr">
        <is>
          <t>History Grade</t>
        </is>
      </c>
      <c r="U1" s="1" t="inlineStr">
        <is>
          <t>ICT Grade</t>
        </is>
      </c>
      <c r="V1" s="1" t="inlineStr">
        <is>
          <t>Mantiq Grade</t>
        </is>
      </c>
      <c r="W1" s="1" t="inlineStr">
        <is>
          <t>Career Grade</t>
        </is>
      </c>
      <c r="X1" s="1" t="inlineStr">
        <is>
          <t>Physical Grade</t>
        </is>
      </c>
      <c r="Y1" s="1" t="inlineStr">
        <is>
          <t>Total</t>
        </is>
      </c>
      <c r="Z1" s="1" t="inlineStr">
        <is>
          <t>Average</t>
        </is>
      </c>
      <c r="AA1" s="1" t="inlineStr">
        <is>
          <t>GPA</t>
        </is>
      </c>
      <c r="AB1" s="1" t="inlineStr">
        <is>
          <t>Overall Grade</t>
        </is>
      </c>
    </row>
    <row r="2">
      <c r="A2" t="n">
        <v>1</v>
      </c>
      <c r="B2" t="inlineStr">
        <is>
          <t>Ahmed Rahman</t>
        </is>
      </c>
      <c r="C2" s="2" t="n">
        <v>85</v>
      </c>
      <c r="D2" s="3" t="n">
        <v>143</v>
      </c>
      <c r="E2" s="3" t="n">
        <v>70</v>
      </c>
      <c r="F2" s="3" t="n">
        <v>157</v>
      </c>
      <c r="G2" s="3" t="n">
        <v>146</v>
      </c>
      <c r="H2" s="2" t="n">
        <v>84</v>
      </c>
      <c r="I2" s="3" t="n">
        <v>64</v>
      </c>
      <c r="J2" s="3" t="n">
        <v>68</v>
      </c>
      <c r="K2" s="2" t="n">
        <v>82</v>
      </c>
      <c r="L2" s="3" t="n">
        <v>73</v>
      </c>
      <c r="M2" s="2" t="n">
        <v>92</v>
      </c>
      <c r="N2" s="4">
        <f>IF(C2&gt;=80,"A+",IF(C2&gt;=70,"A",IF(C2&gt;=60,"A-",IF(C2&gt;=50,"B",IF(C2&gt;=40,"C",IF(C2&gt;=33,"D","F"))))))</f>
        <v/>
      </c>
      <c r="O2" s="4">
        <f>IF(D2/200*100&gt;=80,"A+",IF(D2/200*100&gt;=70,"A",IF(D2/200*100&gt;=60,"A-",IF(D2/200*100&gt;=50,"B",IF(D2/200*100&gt;=40,"C",IF(D2/200*100&gt;=33,"D","F"))))))</f>
        <v/>
      </c>
      <c r="P2" s="4">
        <f>IF(E2&gt;=80,"A+",IF(E2&gt;=70,"A",IF(E2&gt;=60,"A-",IF(E2&gt;=50,"B",IF(E2&gt;=40,"C",IF(E2&gt;=33,"D","F"))))))</f>
        <v/>
      </c>
      <c r="Q2" s="4">
        <f>IF(F2/200*100&gt;=80,"A+",IF(F2/200*100&gt;=70,"A",IF(F2/200*100&gt;=60,"A-",IF(F2/200*100&gt;=50,"B",IF(F2/200*100&gt;=40,"C",IF(F2/200*100&gt;=33,"D","F"))))))</f>
        <v/>
      </c>
      <c r="R2" s="4">
        <f>IF(G2/200*100&gt;=80,"A+",IF(G2/200*100&gt;=70,"A",IF(G2/200*100&gt;=60,"A-",IF(G2/200*100&gt;=50,"B",IF(G2/200*100&gt;=40,"C",IF(G2/200*100&gt;=33,"D","F"))))))</f>
        <v/>
      </c>
      <c r="S2" s="4">
        <f>IF(H2&gt;=80,"A+",IF(H2&gt;=70,"A",IF(H2&gt;=60,"A-",IF(H2&gt;=50,"B",IF(H2&gt;=40,"C",IF(H2&gt;=33,"D","F"))))))</f>
        <v/>
      </c>
      <c r="T2" s="4">
        <f>IF(I2&gt;=80,"A+",IF(I2&gt;=70,"A",IF(I2&gt;=60,"A-",IF(I2&gt;=50,"B",IF(I2&gt;=40,"C",IF(I2&gt;=33,"D","F"))))))</f>
        <v/>
      </c>
      <c r="U2" s="4">
        <f>IF(J2&gt;=80,"A+",IF(J2&gt;=70,"A",IF(J2&gt;=60,"A-",IF(J2&gt;=50,"B",IF(J2&gt;=40,"C",IF(J2&gt;=33,"D","F"))))))</f>
        <v/>
      </c>
      <c r="V2" s="4">
        <f>IF(K2&gt;=80,"A+",IF(K2&gt;=70,"A",IF(K2&gt;=60,"A-",IF(K2&gt;=50,"B",IF(K2&gt;=40,"C",IF(K2&gt;=33,"D","F"))))))</f>
        <v/>
      </c>
      <c r="W2" s="4">
        <f>IF(L2&gt;=33,"Pass","Fail")</f>
        <v/>
      </c>
      <c r="X2" s="4">
        <f>IF(M2&gt;=33,"Pass","Fail")</f>
        <v/>
      </c>
      <c r="Y2">
        <f>SUM(C2:J2)</f>
        <v/>
      </c>
      <c r="Z2" s="5">
        <f>ROUND(Y2/8,2)</f>
        <v/>
      </c>
      <c r="AA2" s="6">
        <f>IF(OR(C2&lt;33,D2&lt;66,E2&lt;33,F2&lt;66,G2&lt;66,H2&lt;33,I2&lt;33,J2&lt;33,L2&lt;33,M2&lt;33),0,MIN(5,ROUND((IF(C2&gt;=80,5,IF(C2&gt;=70,4,IF(C2&gt;=60,3.5,IF(C2&gt;=50,3,IF(C2&gt;=40,2,IF(C2&gt;=33,1,0))))))+IF(D2/200*100&gt;=80,5,IF(D2/200*100&gt;=70,4,IF(D2/200*100&gt;=60,3.5,IF(D2/200*100&gt;=50,3,IF(D2/200*100&gt;=40,2,IF(D2/200*100&gt;=33,1,0))))))+IF(E2&gt;=80,5,IF(E2&gt;=70,4,IF(E2&gt;=60,3.5,IF(E2&gt;=50,3,IF(E2&gt;=40,2,IF(E2&gt;=33,1,0))))))+IF(F2/200*100&gt;=80,5,IF(F2/200*100&gt;=70,4,IF(F2/200*100&gt;=60,3.5,IF(F2/200*100&gt;=50,3,IF(F2/200*100&gt;=40,2,IF(F2/200*100&gt;=33,1,0))))))+IF(G2/200*100&gt;=80,5,IF(G2/200*100&gt;=70,4,IF(G2/200*100&gt;=60,3.5,IF(G2/200*100&gt;=50,3,IF(G2/200*100&gt;=40,2,IF(G2/200*100&gt;=33,1,0))))))+IF(H2&gt;=80,5,IF(H2&gt;=70,4,IF(H2&gt;=60,3.5,IF(H2&gt;=50,3,IF(H2&gt;=40,2,IF(H2&gt;=33,1,0))))))+IF(I2&gt;=80,5,IF(I2&gt;=70,4,IF(I2&gt;=60,3.5,IF(I2&gt;=50,3,IF(I2&gt;=40,2,IF(I2&gt;=33,1,0))))))+IF(J2&gt;=80,5,IF(J2&gt;=70,4,IF(J2&gt;=60,3.5,IF(J2&gt;=50,3,IF(J2&gt;=40,2,IF(J2&gt;=33,1,0)))))))/8+IF(IF(K2&gt;=80,5,IF(K2&gt;=70,4,IF(K2&gt;=60,3.5,IF(K2&gt;=50,3,IF(K2&gt;=40,2,IF(K2&gt;=33,1,0))))))&gt;=2,(IF(K2&gt;=80,5,IF(K2&gt;=70,4,IF(K2&gt;=60,3.5,IF(K2&gt;=50,3,IF(K2&gt;=40,2,IF(K2&gt;=33,1,0))))))-2)/8,0),2)))</f>
        <v/>
      </c>
      <c r="AB2" s="4">
        <f>IF(AA2&gt;=5,"A+",IF(AA2&gt;=4,"A",IF(AA2&gt;=3.5,"A-",IF(AA2&gt;=3,"B",IF(AA2&gt;=2,"C",IF(AA2&gt;=1,"D","F"))))))</f>
        <v/>
      </c>
    </row>
    <row r="3">
      <c r="A3" t="n">
        <v>2</v>
      </c>
      <c r="B3" t="inlineStr">
        <is>
          <t>Fatima Khan</t>
        </is>
      </c>
      <c r="C3" s="3" t="n">
        <v>68</v>
      </c>
      <c r="D3" s="3" t="n">
        <v>144</v>
      </c>
      <c r="E3" s="2" t="n">
        <v>87</v>
      </c>
      <c r="F3" s="2" t="n">
        <v>166</v>
      </c>
      <c r="G3" s="3" t="n">
        <v>156</v>
      </c>
      <c r="H3" s="3" t="n">
        <v>64</v>
      </c>
      <c r="I3" s="2" t="n">
        <v>80</v>
      </c>
      <c r="J3" s="2" t="n">
        <v>86</v>
      </c>
      <c r="K3" s="3" t="n">
        <v>61</v>
      </c>
      <c r="L3" s="2" t="n">
        <v>81</v>
      </c>
      <c r="M3" s="2" t="n">
        <v>80</v>
      </c>
      <c r="N3" s="4">
        <f>IF(C3&gt;=80,"A+",IF(C3&gt;=70,"A",IF(C3&gt;=60,"A-",IF(C3&gt;=50,"B",IF(C3&gt;=40,"C",IF(C3&gt;=33,"D","F"))))))</f>
        <v/>
      </c>
      <c r="O3" s="4">
        <f>IF(D3/200*100&gt;=80,"A+",IF(D3/200*100&gt;=70,"A",IF(D3/200*100&gt;=60,"A-",IF(D3/200*100&gt;=50,"B",IF(D3/200*100&gt;=40,"C",IF(D3/200*100&gt;=33,"D","F"))))))</f>
        <v/>
      </c>
      <c r="P3" s="4">
        <f>IF(E3&gt;=80,"A+",IF(E3&gt;=70,"A",IF(E3&gt;=60,"A-",IF(E3&gt;=50,"B",IF(E3&gt;=40,"C",IF(E3&gt;=33,"D","F"))))))</f>
        <v/>
      </c>
      <c r="Q3" s="4">
        <f>IF(F3/200*100&gt;=80,"A+",IF(F3/200*100&gt;=70,"A",IF(F3/200*100&gt;=60,"A-",IF(F3/200*100&gt;=50,"B",IF(F3/200*100&gt;=40,"C",IF(F3/200*100&gt;=33,"D","F"))))))</f>
        <v/>
      </c>
      <c r="R3" s="4">
        <f>IF(G3/200*100&gt;=80,"A+",IF(G3/200*100&gt;=70,"A",IF(G3/200*100&gt;=60,"A-",IF(G3/200*100&gt;=50,"B",IF(G3/200*100&gt;=40,"C",IF(G3/200*100&gt;=33,"D","F"))))))</f>
        <v/>
      </c>
      <c r="S3" s="4">
        <f>IF(H3&gt;=80,"A+",IF(H3&gt;=70,"A",IF(H3&gt;=60,"A-",IF(H3&gt;=50,"B",IF(H3&gt;=40,"C",IF(H3&gt;=33,"D","F"))))))</f>
        <v/>
      </c>
      <c r="T3" s="4">
        <f>IF(I3&gt;=80,"A+",IF(I3&gt;=70,"A",IF(I3&gt;=60,"A-",IF(I3&gt;=50,"B",IF(I3&gt;=40,"C",IF(I3&gt;=33,"D","F"))))))</f>
        <v/>
      </c>
      <c r="U3" s="4">
        <f>IF(J3&gt;=80,"A+",IF(J3&gt;=70,"A",IF(J3&gt;=60,"A-",IF(J3&gt;=50,"B",IF(J3&gt;=40,"C",IF(J3&gt;=33,"D","F"))))))</f>
        <v/>
      </c>
      <c r="V3" s="4">
        <f>IF(K3&gt;=80,"A+",IF(K3&gt;=70,"A",IF(K3&gt;=60,"A-",IF(K3&gt;=50,"B",IF(K3&gt;=40,"C",IF(K3&gt;=33,"D","F"))))))</f>
        <v/>
      </c>
      <c r="W3" s="4">
        <f>IF(L3&gt;=33,"Pass","Fail")</f>
        <v/>
      </c>
      <c r="X3" s="4">
        <f>IF(M3&gt;=33,"Pass","Fail")</f>
        <v/>
      </c>
      <c r="Y3">
        <f>SUM(C3:J3)</f>
        <v/>
      </c>
      <c r="Z3" s="5">
        <f>ROUND(Y3/8,2)</f>
        <v/>
      </c>
      <c r="AA3" s="6">
        <f>IF(OR(C3&lt;33,D3&lt;66,E3&lt;33,F3&lt;66,G3&lt;66,H3&lt;33,I3&lt;33,J3&lt;33,L3&lt;33,M3&lt;33),0,MIN(5,ROUND((IF(C3&gt;=80,5,IF(C3&gt;=70,4,IF(C3&gt;=60,3.5,IF(C3&gt;=50,3,IF(C3&gt;=40,2,IF(C3&gt;=33,1,0))))))+IF(D3/200*100&gt;=80,5,IF(D3/200*100&gt;=70,4,IF(D3/200*100&gt;=60,3.5,IF(D3/200*100&gt;=50,3,IF(D3/200*100&gt;=40,2,IF(D3/200*100&gt;=33,1,0))))))+IF(E3&gt;=80,5,IF(E3&gt;=70,4,IF(E3&gt;=60,3.5,IF(E3&gt;=50,3,IF(E3&gt;=40,2,IF(E3&gt;=33,1,0))))))+IF(F3/200*100&gt;=80,5,IF(F3/200*100&gt;=70,4,IF(F3/200*100&gt;=60,3.5,IF(F3/200*100&gt;=50,3,IF(F3/200*100&gt;=40,2,IF(F3/200*100&gt;=33,1,0))))))+IF(G3/200*100&gt;=80,5,IF(G3/200*100&gt;=70,4,IF(G3/200*100&gt;=60,3.5,IF(G3/200*100&gt;=50,3,IF(G3/200*100&gt;=40,2,IF(G3/200*100&gt;=33,1,0))))))+IF(H3&gt;=80,5,IF(H3&gt;=70,4,IF(H3&gt;=60,3.5,IF(H3&gt;=50,3,IF(H3&gt;=40,2,IF(H3&gt;=33,1,0))))))+IF(I3&gt;=80,5,IF(I3&gt;=70,4,IF(I3&gt;=60,3.5,IF(I3&gt;=50,3,IF(I3&gt;=40,2,IF(I3&gt;=33,1,0))))))+IF(J3&gt;=80,5,IF(J3&gt;=70,4,IF(J3&gt;=60,3.5,IF(J3&gt;=50,3,IF(J3&gt;=40,2,IF(J3&gt;=33,1,0)))))))/8+IF(IF(K3&gt;=80,5,IF(K3&gt;=70,4,IF(K3&gt;=60,3.5,IF(K3&gt;=50,3,IF(K3&gt;=40,2,IF(K3&gt;=33,1,0))))))&gt;=2,(IF(K3&gt;=80,5,IF(K3&gt;=70,4,IF(K3&gt;=60,3.5,IF(K3&gt;=50,3,IF(K3&gt;=40,2,IF(K3&gt;=33,1,0))))))-2)/8,0),2)))</f>
        <v/>
      </c>
      <c r="AB3" s="4">
        <f>IF(AA3&gt;=5,"A+",IF(AA3&gt;=4,"A",IF(AA3&gt;=3.5,"A-",IF(AA3&gt;=3,"B",IF(AA3&gt;=2,"C",IF(AA3&gt;=1,"D","F"))))))</f>
        <v/>
      </c>
    </row>
    <row r="4">
      <c r="A4" t="n">
        <v>3</v>
      </c>
      <c r="B4" t="inlineStr">
        <is>
          <t>Karim Hassan</t>
        </is>
      </c>
      <c r="C4" s="3" t="n">
        <v>65</v>
      </c>
      <c r="D4" s="2" t="n">
        <v>162</v>
      </c>
      <c r="E4" s="2" t="n">
        <v>81</v>
      </c>
      <c r="F4" s="3" t="n">
        <v>144</v>
      </c>
      <c r="G4" s="3" t="n">
        <v>145</v>
      </c>
      <c r="H4" s="3" t="n">
        <v>71</v>
      </c>
      <c r="I4" s="3" t="n">
        <v>65</v>
      </c>
      <c r="J4" s="2" t="n">
        <v>93</v>
      </c>
      <c r="K4" s="2" t="n">
        <v>82</v>
      </c>
      <c r="L4" s="2" t="n">
        <v>95</v>
      </c>
      <c r="M4" s="2" t="n">
        <v>83</v>
      </c>
      <c r="N4" s="4">
        <f>IF(C4&gt;=80,"A+",IF(C4&gt;=70,"A",IF(C4&gt;=60,"A-",IF(C4&gt;=50,"B",IF(C4&gt;=40,"C",IF(C4&gt;=33,"D","F"))))))</f>
        <v/>
      </c>
      <c r="O4" s="4">
        <f>IF(D4/200*100&gt;=80,"A+",IF(D4/200*100&gt;=70,"A",IF(D4/200*100&gt;=60,"A-",IF(D4/200*100&gt;=50,"B",IF(D4/200*100&gt;=40,"C",IF(D4/200*100&gt;=33,"D","F"))))))</f>
        <v/>
      </c>
      <c r="P4" s="4">
        <f>IF(E4&gt;=80,"A+",IF(E4&gt;=70,"A",IF(E4&gt;=60,"A-",IF(E4&gt;=50,"B",IF(E4&gt;=40,"C",IF(E4&gt;=33,"D","F"))))))</f>
        <v/>
      </c>
      <c r="Q4" s="4">
        <f>IF(F4/200*100&gt;=80,"A+",IF(F4/200*100&gt;=70,"A",IF(F4/200*100&gt;=60,"A-",IF(F4/200*100&gt;=50,"B",IF(F4/200*100&gt;=40,"C",IF(F4/200*100&gt;=33,"D","F"))))))</f>
        <v/>
      </c>
      <c r="R4" s="4">
        <f>IF(G4/200*100&gt;=80,"A+",IF(G4/200*100&gt;=70,"A",IF(G4/200*100&gt;=60,"A-",IF(G4/200*100&gt;=50,"B",IF(G4/200*100&gt;=40,"C",IF(G4/200*100&gt;=33,"D","F"))))))</f>
        <v/>
      </c>
      <c r="S4" s="4">
        <f>IF(H4&gt;=80,"A+",IF(H4&gt;=70,"A",IF(H4&gt;=60,"A-",IF(H4&gt;=50,"B",IF(H4&gt;=40,"C",IF(H4&gt;=33,"D","F"))))))</f>
        <v/>
      </c>
      <c r="T4" s="4">
        <f>IF(I4&gt;=80,"A+",IF(I4&gt;=70,"A",IF(I4&gt;=60,"A-",IF(I4&gt;=50,"B",IF(I4&gt;=40,"C",IF(I4&gt;=33,"D","F"))))))</f>
        <v/>
      </c>
      <c r="U4" s="4">
        <f>IF(J4&gt;=80,"A+",IF(J4&gt;=70,"A",IF(J4&gt;=60,"A-",IF(J4&gt;=50,"B",IF(J4&gt;=40,"C",IF(J4&gt;=33,"D","F"))))))</f>
        <v/>
      </c>
      <c r="V4" s="4">
        <f>IF(K4&gt;=80,"A+",IF(K4&gt;=70,"A",IF(K4&gt;=60,"A-",IF(K4&gt;=50,"B",IF(K4&gt;=40,"C",IF(K4&gt;=33,"D","F"))))))</f>
        <v/>
      </c>
      <c r="W4" s="4">
        <f>IF(L4&gt;=33,"Pass","Fail")</f>
        <v/>
      </c>
      <c r="X4" s="4">
        <f>IF(M4&gt;=33,"Pass","Fail")</f>
        <v/>
      </c>
      <c r="Y4">
        <f>SUM(C4:J4)</f>
        <v/>
      </c>
      <c r="Z4" s="5">
        <f>ROUND(Y4/8,2)</f>
        <v/>
      </c>
      <c r="AA4" s="6">
        <f>IF(OR(C4&lt;33,D4&lt;66,E4&lt;33,F4&lt;66,G4&lt;66,H4&lt;33,I4&lt;33,J4&lt;33,L4&lt;33,M4&lt;33),0,MIN(5,ROUND((IF(C4&gt;=80,5,IF(C4&gt;=70,4,IF(C4&gt;=60,3.5,IF(C4&gt;=50,3,IF(C4&gt;=40,2,IF(C4&gt;=33,1,0))))))+IF(D4/200*100&gt;=80,5,IF(D4/200*100&gt;=70,4,IF(D4/200*100&gt;=60,3.5,IF(D4/200*100&gt;=50,3,IF(D4/200*100&gt;=40,2,IF(D4/200*100&gt;=33,1,0))))))+IF(E4&gt;=80,5,IF(E4&gt;=70,4,IF(E4&gt;=60,3.5,IF(E4&gt;=50,3,IF(E4&gt;=40,2,IF(E4&gt;=33,1,0))))))+IF(F4/200*100&gt;=80,5,IF(F4/200*100&gt;=70,4,IF(F4/200*100&gt;=60,3.5,IF(F4/200*100&gt;=50,3,IF(F4/200*100&gt;=40,2,IF(F4/200*100&gt;=33,1,0))))))+IF(G4/200*100&gt;=80,5,IF(G4/200*100&gt;=70,4,IF(G4/200*100&gt;=60,3.5,IF(G4/200*100&gt;=50,3,IF(G4/200*100&gt;=40,2,IF(G4/200*100&gt;=33,1,0))))))+IF(H4&gt;=80,5,IF(H4&gt;=70,4,IF(H4&gt;=60,3.5,IF(H4&gt;=50,3,IF(H4&gt;=40,2,IF(H4&gt;=33,1,0))))))+IF(I4&gt;=80,5,IF(I4&gt;=70,4,IF(I4&gt;=60,3.5,IF(I4&gt;=50,3,IF(I4&gt;=40,2,IF(I4&gt;=33,1,0))))))+IF(J4&gt;=80,5,IF(J4&gt;=70,4,IF(J4&gt;=60,3.5,IF(J4&gt;=50,3,IF(J4&gt;=40,2,IF(J4&gt;=33,1,0)))))))/8+IF(IF(K4&gt;=80,5,IF(K4&gt;=70,4,IF(K4&gt;=60,3.5,IF(K4&gt;=50,3,IF(K4&gt;=40,2,IF(K4&gt;=33,1,0))))))&gt;=2,(IF(K4&gt;=80,5,IF(K4&gt;=70,4,IF(K4&gt;=60,3.5,IF(K4&gt;=50,3,IF(K4&gt;=40,2,IF(K4&gt;=33,1,0))))))-2)/8,0),2)))</f>
        <v/>
      </c>
      <c r="AB4" s="4">
        <f>IF(AA4&gt;=5,"A+",IF(AA4&gt;=4,"A",IF(AA4&gt;=3.5,"A-",IF(AA4&gt;=3,"B",IF(AA4&gt;=2,"C",IF(AA4&gt;=1,"D","F"))))))</f>
        <v/>
      </c>
    </row>
    <row r="5">
      <c r="A5" t="n">
        <v>4</v>
      </c>
      <c r="B5" t="inlineStr">
        <is>
          <t>Ayesha Begum</t>
        </is>
      </c>
      <c r="C5" s="2" t="n">
        <v>88</v>
      </c>
      <c r="D5" s="2" t="n">
        <v>168</v>
      </c>
      <c r="E5" s="3" t="n">
        <v>77</v>
      </c>
      <c r="F5" s="3" t="n">
        <v>128</v>
      </c>
      <c r="G5" s="2" t="n">
        <v>184</v>
      </c>
      <c r="H5" s="3" t="n">
        <v>63</v>
      </c>
      <c r="I5" s="2" t="n">
        <v>85</v>
      </c>
      <c r="J5" s="2" t="n">
        <v>82</v>
      </c>
      <c r="K5" s="7" t="n">
        <v>56</v>
      </c>
      <c r="L5" s="3" t="n">
        <v>79</v>
      </c>
      <c r="M5" s="2" t="n">
        <v>91</v>
      </c>
      <c r="N5" s="4">
        <f>IF(C5&gt;=80,"A+",IF(C5&gt;=70,"A",IF(C5&gt;=60,"A-",IF(C5&gt;=50,"B",IF(C5&gt;=40,"C",IF(C5&gt;=33,"D","F"))))))</f>
        <v/>
      </c>
      <c r="O5" s="4">
        <f>IF(D5/200*100&gt;=80,"A+",IF(D5/200*100&gt;=70,"A",IF(D5/200*100&gt;=60,"A-",IF(D5/200*100&gt;=50,"B",IF(D5/200*100&gt;=40,"C",IF(D5/200*100&gt;=33,"D","F"))))))</f>
        <v/>
      </c>
      <c r="P5" s="4">
        <f>IF(E5&gt;=80,"A+",IF(E5&gt;=70,"A",IF(E5&gt;=60,"A-",IF(E5&gt;=50,"B",IF(E5&gt;=40,"C",IF(E5&gt;=33,"D","F"))))))</f>
        <v/>
      </c>
      <c r="Q5" s="4">
        <f>IF(F5/200*100&gt;=80,"A+",IF(F5/200*100&gt;=70,"A",IF(F5/200*100&gt;=60,"A-",IF(F5/200*100&gt;=50,"B",IF(F5/200*100&gt;=40,"C",IF(F5/200*100&gt;=33,"D","F"))))))</f>
        <v/>
      </c>
      <c r="R5" s="4">
        <f>IF(G5/200*100&gt;=80,"A+",IF(G5/200*100&gt;=70,"A",IF(G5/200*100&gt;=60,"A-",IF(G5/200*100&gt;=50,"B",IF(G5/200*100&gt;=40,"C",IF(G5/200*100&gt;=33,"D","F"))))))</f>
        <v/>
      </c>
      <c r="S5" s="4">
        <f>IF(H5&gt;=80,"A+",IF(H5&gt;=70,"A",IF(H5&gt;=60,"A-",IF(H5&gt;=50,"B",IF(H5&gt;=40,"C",IF(H5&gt;=33,"D","F"))))))</f>
        <v/>
      </c>
      <c r="T5" s="4">
        <f>IF(I5&gt;=80,"A+",IF(I5&gt;=70,"A",IF(I5&gt;=60,"A-",IF(I5&gt;=50,"B",IF(I5&gt;=40,"C",IF(I5&gt;=33,"D","F"))))))</f>
        <v/>
      </c>
      <c r="U5" s="4">
        <f>IF(J5&gt;=80,"A+",IF(J5&gt;=70,"A",IF(J5&gt;=60,"A-",IF(J5&gt;=50,"B",IF(J5&gt;=40,"C",IF(J5&gt;=33,"D","F"))))))</f>
        <v/>
      </c>
      <c r="V5" s="4">
        <f>IF(K5&gt;=80,"A+",IF(K5&gt;=70,"A",IF(K5&gt;=60,"A-",IF(K5&gt;=50,"B",IF(K5&gt;=40,"C",IF(K5&gt;=33,"D","F"))))))</f>
        <v/>
      </c>
      <c r="W5" s="4">
        <f>IF(L5&gt;=33,"Pass","Fail")</f>
        <v/>
      </c>
      <c r="X5" s="4">
        <f>IF(M5&gt;=33,"Pass","Fail")</f>
        <v/>
      </c>
      <c r="Y5">
        <f>SUM(C5:J5)</f>
        <v/>
      </c>
      <c r="Z5" s="5">
        <f>ROUND(Y5/8,2)</f>
        <v/>
      </c>
      <c r="AA5" s="6">
        <f>IF(OR(C5&lt;33,D5&lt;66,E5&lt;33,F5&lt;66,G5&lt;66,H5&lt;33,I5&lt;33,J5&lt;33,L5&lt;33,M5&lt;33),0,MIN(5,ROUND((IF(C5&gt;=80,5,IF(C5&gt;=70,4,IF(C5&gt;=60,3.5,IF(C5&gt;=50,3,IF(C5&gt;=40,2,IF(C5&gt;=33,1,0))))))+IF(D5/200*100&gt;=80,5,IF(D5/200*100&gt;=70,4,IF(D5/200*100&gt;=60,3.5,IF(D5/200*100&gt;=50,3,IF(D5/200*100&gt;=40,2,IF(D5/200*100&gt;=33,1,0))))))+IF(E5&gt;=80,5,IF(E5&gt;=70,4,IF(E5&gt;=60,3.5,IF(E5&gt;=50,3,IF(E5&gt;=40,2,IF(E5&gt;=33,1,0))))))+IF(F5/200*100&gt;=80,5,IF(F5/200*100&gt;=70,4,IF(F5/200*100&gt;=60,3.5,IF(F5/200*100&gt;=50,3,IF(F5/200*100&gt;=40,2,IF(F5/200*100&gt;=33,1,0))))))+IF(G5/200*100&gt;=80,5,IF(G5/200*100&gt;=70,4,IF(G5/200*100&gt;=60,3.5,IF(G5/200*100&gt;=50,3,IF(G5/200*100&gt;=40,2,IF(G5/200*100&gt;=33,1,0))))))+IF(H5&gt;=80,5,IF(H5&gt;=70,4,IF(H5&gt;=60,3.5,IF(H5&gt;=50,3,IF(H5&gt;=40,2,IF(H5&gt;=33,1,0))))))+IF(I5&gt;=80,5,IF(I5&gt;=70,4,IF(I5&gt;=60,3.5,IF(I5&gt;=50,3,IF(I5&gt;=40,2,IF(I5&gt;=33,1,0))))))+IF(J5&gt;=80,5,IF(J5&gt;=70,4,IF(J5&gt;=60,3.5,IF(J5&gt;=50,3,IF(J5&gt;=40,2,IF(J5&gt;=33,1,0)))))))/8+IF(IF(K5&gt;=80,5,IF(K5&gt;=70,4,IF(K5&gt;=60,3.5,IF(K5&gt;=50,3,IF(K5&gt;=40,2,IF(K5&gt;=33,1,0))))))&gt;=2,(IF(K5&gt;=80,5,IF(K5&gt;=70,4,IF(K5&gt;=60,3.5,IF(K5&gt;=50,3,IF(K5&gt;=40,2,IF(K5&gt;=33,1,0))))))-2)/8,0),2)))</f>
        <v/>
      </c>
      <c r="AB5" s="4">
        <f>IF(AA5&gt;=5,"A+",IF(AA5&gt;=4,"A",IF(AA5&gt;=3.5,"A-",IF(AA5&gt;=3,"B",IF(AA5&gt;=2,"C",IF(AA5&gt;=1,"D","F"))))))</f>
        <v/>
      </c>
    </row>
    <row r="6">
      <c r="A6" t="n">
        <v>5</v>
      </c>
      <c r="B6" t="inlineStr">
        <is>
          <t>Rahim Uddin</t>
        </is>
      </c>
      <c r="C6" s="3" t="n">
        <v>73</v>
      </c>
      <c r="D6" s="3" t="n">
        <v>131</v>
      </c>
      <c r="E6" s="3" t="n">
        <v>69</v>
      </c>
      <c r="F6" s="3" t="n">
        <v>125</v>
      </c>
      <c r="G6" s="2" t="n">
        <v>173</v>
      </c>
      <c r="H6" s="3" t="n">
        <v>70</v>
      </c>
      <c r="I6" s="2" t="n">
        <v>81</v>
      </c>
      <c r="J6" s="2" t="n">
        <v>89</v>
      </c>
      <c r="K6" s="2" t="n">
        <v>90</v>
      </c>
      <c r="L6" s="3" t="n">
        <v>77</v>
      </c>
      <c r="M6" s="2" t="n">
        <v>94</v>
      </c>
      <c r="N6" s="4">
        <f>IF(C6&gt;=80,"A+",IF(C6&gt;=70,"A",IF(C6&gt;=60,"A-",IF(C6&gt;=50,"B",IF(C6&gt;=40,"C",IF(C6&gt;=33,"D","F"))))))</f>
        <v/>
      </c>
      <c r="O6" s="4">
        <f>IF(D6/200*100&gt;=80,"A+",IF(D6/200*100&gt;=70,"A",IF(D6/200*100&gt;=60,"A-",IF(D6/200*100&gt;=50,"B",IF(D6/200*100&gt;=40,"C",IF(D6/200*100&gt;=33,"D","F"))))))</f>
        <v/>
      </c>
      <c r="P6" s="4">
        <f>IF(E6&gt;=80,"A+",IF(E6&gt;=70,"A",IF(E6&gt;=60,"A-",IF(E6&gt;=50,"B",IF(E6&gt;=40,"C",IF(E6&gt;=33,"D","F"))))))</f>
        <v/>
      </c>
      <c r="Q6" s="4">
        <f>IF(F6/200*100&gt;=80,"A+",IF(F6/200*100&gt;=70,"A",IF(F6/200*100&gt;=60,"A-",IF(F6/200*100&gt;=50,"B",IF(F6/200*100&gt;=40,"C",IF(F6/200*100&gt;=33,"D","F"))))))</f>
        <v/>
      </c>
      <c r="R6" s="4">
        <f>IF(G6/200*100&gt;=80,"A+",IF(G6/200*100&gt;=70,"A",IF(G6/200*100&gt;=60,"A-",IF(G6/200*100&gt;=50,"B",IF(G6/200*100&gt;=40,"C",IF(G6/200*100&gt;=33,"D","F"))))))</f>
        <v/>
      </c>
      <c r="S6" s="4">
        <f>IF(H6&gt;=80,"A+",IF(H6&gt;=70,"A",IF(H6&gt;=60,"A-",IF(H6&gt;=50,"B",IF(H6&gt;=40,"C",IF(H6&gt;=33,"D","F"))))))</f>
        <v/>
      </c>
      <c r="T6" s="4">
        <f>IF(I6&gt;=80,"A+",IF(I6&gt;=70,"A",IF(I6&gt;=60,"A-",IF(I6&gt;=50,"B",IF(I6&gt;=40,"C",IF(I6&gt;=33,"D","F"))))))</f>
        <v/>
      </c>
      <c r="U6" s="4">
        <f>IF(J6&gt;=80,"A+",IF(J6&gt;=70,"A",IF(J6&gt;=60,"A-",IF(J6&gt;=50,"B",IF(J6&gt;=40,"C",IF(J6&gt;=33,"D","F"))))))</f>
        <v/>
      </c>
      <c r="V6" s="4">
        <f>IF(K6&gt;=80,"A+",IF(K6&gt;=70,"A",IF(K6&gt;=60,"A-",IF(K6&gt;=50,"B",IF(K6&gt;=40,"C",IF(K6&gt;=33,"D","F"))))))</f>
        <v/>
      </c>
      <c r="W6" s="4">
        <f>IF(L6&gt;=33,"Pass","Fail")</f>
        <v/>
      </c>
      <c r="X6" s="4">
        <f>IF(M6&gt;=33,"Pass","Fail")</f>
        <v/>
      </c>
      <c r="Y6">
        <f>SUM(C6:J6)</f>
        <v/>
      </c>
      <c r="Z6" s="5">
        <f>ROUND(Y6/8,2)</f>
        <v/>
      </c>
      <c r="AA6" s="6">
        <f>IF(OR(C6&lt;33,D6&lt;66,E6&lt;33,F6&lt;66,G6&lt;66,H6&lt;33,I6&lt;33,J6&lt;33,L6&lt;33,M6&lt;33),0,MIN(5,ROUND((IF(C6&gt;=80,5,IF(C6&gt;=70,4,IF(C6&gt;=60,3.5,IF(C6&gt;=50,3,IF(C6&gt;=40,2,IF(C6&gt;=33,1,0))))))+IF(D6/200*100&gt;=80,5,IF(D6/200*100&gt;=70,4,IF(D6/200*100&gt;=60,3.5,IF(D6/200*100&gt;=50,3,IF(D6/200*100&gt;=40,2,IF(D6/200*100&gt;=33,1,0))))))+IF(E6&gt;=80,5,IF(E6&gt;=70,4,IF(E6&gt;=60,3.5,IF(E6&gt;=50,3,IF(E6&gt;=40,2,IF(E6&gt;=33,1,0))))))+IF(F6/200*100&gt;=80,5,IF(F6/200*100&gt;=70,4,IF(F6/200*100&gt;=60,3.5,IF(F6/200*100&gt;=50,3,IF(F6/200*100&gt;=40,2,IF(F6/200*100&gt;=33,1,0))))))+IF(G6/200*100&gt;=80,5,IF(G6/200*100&gt;=70,4,IF(G6/200*100&gt;=60,3.5,IF(G6/200*100&gt;=50,3,IF(G6/200*100&gt;=40,2,IF(G6/200*100&gt;=33,1,0))))))+IF(H6&gt;=80,5,IF(H6&gt;=70,4,IF(H6&gt;=60,3.5,IF(H6&gt;=50,3,IF(H6&gt;=40,2,IF(H6&gt;=33,1,0))))))+IF(I6&gt;=80,5,IF(I6&gt;=70,4,IF(I6&gt;=60,3.5,IF(I6&gt;=50,3,IF(I6&gt;=40,2,IF(I6&gt;=33,1,0))))))+IF(J6&gt;=80,5,IF(J6&gt;=70,4,IF(J6&gt;=60,3.5,IF(J6&gt;=50,3,IF(J6&gt;=40,2,IF(J6&gt;=33,1,0)))))))/8+IF(IF(K6&gt;=80,5,IF(K6&gt;=70,4,IF(K6&gt;=60,3.5,IF(K6&gt;=50,3,IF(K6&gt;=40,2,IF(K6&gt;=33,1,0))))))&gt;=2,(IF(K6&gt;=80,5,IF(K6&gt;=70,4,IF(K6&gt;=60,3.5,IF(K6&gt;=50,3,IF(K6&gt;=40,2,IF(K6&gt;=33,1,0))))))-2)/8,0),2)))</f>
        <v/>
      </c>
      <c r="AB6" s="4">
        <f>IF(AA6&gt;=5,"A+",IF(AA6&gt;=4,"A",IF(AA6&gt;=3.5,"A-",IF(AA6&gt;=3,"B",IF(AA6&gt;=2,"C",IF(AA6&gt;=1,"D","F"))))))</f>
        <v/>
      </c>
    </row>
    <row r="7">
      <c r="A7" t="n">
        <v>6</v>
      </c>
      <c r="B7" t="inlineStr">
        <is>
          <t>Nadia Islam</t>
        </is>
      </c>
      <c r="C7" s="3" t="n">
        <v>72</v>
      </c>
      <c r="D7" s="2" t="n">
        <v>165</v>
      </c>
      <c r="E7" s="3" t="n">
        <v>73</v>
      </c>
      <c r="F7" s="3" t="n">
        <v>149</v>
      </c>
      <c r="G7" s="3" t="n">
        <v>159</v>
      </c>
      <c r="H7" s="2" t="n">
        <v>90</v>
      </c>
      <c r="I7" s="3" t="n">
        <v>73</v>
      </c>
      <c r="J7" s="3" t="n">
        <v>73</v>
      </c>
      <c r="K7" s="3" t="n">
        <v>69</v>
      </c>
      <c r="L7" s="3" t="n">
        <v>71</v>
      </c>
      <c r="M7" s="2" t="n">
        <v>88</v>
      </c>
      <c r="N7" s="4">
        <f>IF(C7&gt;=80,"A+",IF(C7&gt;=70,"A",IF(C7&gt;=60,"A-",IF(C7&gt;=50,"B",IF(C7&gt;=40,"C",IF(C7&gt;=33,"D","F"))))))</f>
        <v/>
      </c>
      <c r="O7" s="4">
        <f>IF(D7/200*100&gt;=80,"A+",IF(D7/200*100&gt;=70,"A",IF(D7/200*100&gt;=60,"A-",IF(D7/200*100&gt;=50,"B",IF(D7/200*100&gt;=40,"C",IF(D7/200*100&gt;=33,"D","F"))))))</f>
        <v/>
      </c>
      <c r="P7" s="4">
        <f>IF(E7&gt;=80,"A+",IF(E7&gt;=70,"A",IF(E7&gt;=60,"A-",IF(E7&gt;=50,"B",IF(E7&gt;=40,"C",IF(E7&gt;=33,"D","F"))))))</f>
        <v/>
      </c>
      <c r="Q7" s="4">
        <f>IF(F7/200*100&gt;=80,"A+",IF(F7/200*100&gt;=70,"A",IF(F7/200*100&gt;=60,"A-",IF(F7/200*100&gt;=50,"B",IF(F7/200*100&gt;=40,"C",IF(F7/200*100&gt;=33,"D","F"))))))</f>
        <v/>
      </c>
      <c r="R7" s="4">
        <f>IF(G7/200*100&gt;=80,"A+",IF(G7/200*100&gt;=70,"A",IF(G7/200*100&gt;=60,"A-",IF(G7/200*100&gt;=50,"B",IF(G7/200*100&gt;=40,"C",IF(G7/200*100&gt;=33,"D","F"))))))</f>
        <v/>
      </c>
      <c r="S7" s="4">
        <f>IF(H7&gt;=80,"A+",IF(H7&gt;=70,"A",IF(H7&gt;=60,"A-",IF(H7&gt;=50,"B",IF(H7&gt;=40,"C",IF(H7&gt;=33,"D","F"))))))</f>
        <v/>
      </c>
      <c r="T7" s="4">
        <f>IF(I7&gt;=80,"A+",IF(I7&gt;=70,"A",IF(I7&gt;=60,"A-",IF(I7&gt;=50,"B",IF(I7&gt;=40,"C",IF(I7&gt;=33,"D","F"))))))</f>
        <v/>
      </c>
      <c r="U7" s="4">
        <f>IF(J7&gt;=80,"A+",IF(J7&gt;=70,"A",IF(J7&gt;=60,"A-",IF(J7&gt;=50,"B",IF(J7&gt;=40,"C",IF(J7&gt;=33,"D","F"))))))</f>
        <v/>
      </c>
      <c r="V7" s="4">
        <f>IF(K7&gt;=80,"A+",IF(K7&gt;=70,"A",IF(K7&gt;=60,"A-",IF(K7&gt;=50,"B",IF(K7&gt;=40,"C",IF(K7&gt;=33,"D","F"))))))</f>
        <v/>
      </c>
      <c r="W7" s="4">
        <f>IF(L7&gt;=33,"Pass","Fail")</f>
        <v/>
      </c>
      <c r="X7" s="4">
        <f>IF(M7&gt;=33,"Pass","Fail")</f>
        <v/>
      </c>
      <c r="Y7">
        <f>SUM(C7:J7)</f>
        <v/>
      </c>
      <c r="Z7" s="5">
        <f>ROUND(Y7/8,2)</f>
        <v/>
      </c>
      <c r="AA7" s="6">
        <f>IF(OR(C7&lt;33,D7&lt;66,E7&lt;33,F7&lt;66,G7&lt;66,H7&lt;33,I7&lt;33,J7&lt;33,L7&lt;33,M7&lt;33),0,MIN(5,ROUND((IF(C7&gt;=80,5,IF(C7&gt;=70,4,IF(C7&gt;=60,3.5,IF(C7&gt;=50,3,IF(C7&gt;=40,2,IF(C7&gt;=33,1,0))))))+IF(D7/200*100&gt;=80,5,IF(D7/200*100&gt;=70,4,IF(D7/200*100&gt;=60,3.5,IF(D7/200*100&gt;=50,3,IF(D7/200*100&gt;=40,2,IF(D7/200*100&gt;=33,1,0))))))+IF(E7&gt;=80,5,IF(E7&gt;=70,4,IF(E7&gt;=60,3.5,IF(E7&gt;=50,3,IF(E7&gt;=40,2,IF(E7&gt;=33,1,0))))))+IF(F7/200*100&gt;=80,5,IF(F7/200*100&gt;=70,4,IF(F7/200*100&gt;=60,3.5,IF(F7/200*100&gt;=50,3,IF(F7/200*100&gt;=40,2,IF(F7/200*100&gt;=33,1,0))))))+IF(G7/200*100&gt;=80,5,IF(G7/200*100&gt;=70,4,IF(G7/200*100&gt;=60,3.5,IF(G7/200*100&gt;=50,3,IF(G7/200*100&gt;=40,2,IF(G7/200*100&gt;=33,1,0))))))+IF(H7&gt;=80,5,IF(H7&gt;=70,4,IF(H7&gt;=60,3.5,IF(H7&gt;=50,3,IF(H7&gt;=40,2,IF(H7&gt;=33,1,0))))))+IF(I7&gt;=80,5,IF(I7&gt;=70,4,IF(I7&gt;=60,3.5,IF(I7&gt;=50,3,IF(I7&gt;=40,2,IF(I7&gt;=33,1,0))))))+IF(J7&gt;=80,5,IF(J7&gt;=70,4,IF(J7&gt;=60,3.5,IF(J7&gt;=50,3,IF(J7&gt;=40,2,IF(J7&gt;=33,1,0)))))))/8+IF(IF(K7&gt;=80,5,IF(K7&gt;=70,4,IF(K7&gt;=60,3.5,IF(K7&gt;=50,3,IF(K7&gt;=40,2,IF(K7&gt;=33,1,0))))))&gt;=2,(IF(K7&gt;=80,5,IF(K7&gt;=70,4,IF(K7&gt;=60,3.5,IF(K7&gt;=50,3,IF(K7&gt;=40,2,IF(K7&gt;=33,1,0))))))-2)/8,0),2)))</f>
        <v/>
      </c>
      <c r="AB7" s="4">
        <f>IF(AA7&gt;=5,"A+",IF(AA7&gt;=4,"A",IF(AA7&gt;=3.5,"A-",IF(AA7&gt;=3,"B",IF(AA7&gt;=2,"C",IF(AA7&gt;=1,"D","F"))))))</f>
        <v/>
      </c>
    </row>
    <row r="8">
      <c r="A8" t="n">
        <v>7</v>
      </c>
      <c r="B8" t="inlineStr">
        <is>
          <t>Jahir Ahmed</t>
        </is>
      </c>
      <c r="C8" s="3" t="n">
        <v>72</v>
      </c>
      <c r="D8" s="3" t="n">
        <v>142</v>
      </c>
      <c r="E8" s="2" t="n">
        <v>81</v>
      </c>
      <c r="F8" s="3" t="n">
        <v>157</v>
      </c>
      <c r="G8" s="3" t="n">
        <v>153</v>
      </c>
      <c r="H8" s="2" t="n">
        <v>89</v>
      </c>
      <c r="I8" s="3" t="n">
        <v>79</v>
      </c>
      <c r="J8" s="2" t="n">
        <v>89</v>
      </c>
      <c r="K8" s="2" t="n">
        <v>90</v>
      </c>
      <c r="L8" s="3" t="n">
        <v>77</v>
      </c>
      <c r="M8" s="2" t="n">
        <v>81</v>
      </c>
      <c r="N8" s="4">
        <f>IF(C8&gt;=80,"A+",IF(C8&gt;=70,"A",IF(C8&gt;=60,"A-",IF(C8&gt;=50,"B",IF(C8&gt;=40,"C",IF(C8&gt;=33,"D","F"))))))</f>
        <v/>
      </c>
      <c r="O8" s="4">
        <f>IF(D8/200*100&gt;=80,"A+",IF(D8/200*100&gt;=70,"A",IF(D8/200*100&gt;=60,"A-",IF(D8/200*100&gt;=50,"B",IF(D8/200*100&gt;=40,"C",IF(D8/200*100&gt;=33,"D","F"))))))</f>
        <v/>
      </c>
      <c r="P8" s="4">
        <f>IF(E8&gt;=80,"A+",IF(E8&gt;=70,"A",IF(E8&gt;=60,"A-",IF(E8&gt;=50,"B",IF(E8&gt;=40,"C",IF(E8&gt;=33,"D","F"))))))</f>
        <v/>
      </c>
      <c r="Q8" s="4">
        <f>IF(F8/200*100&gt;=80,"A+",IF(F8/200*100&gt;=70,"A",IF(F8/200*100&gt;=60,"A-",IF(F8/200*100&gt;=50,"B",IF(F8/200*100&gt;=40,"C",IF(F8/200*100&gt;=33,"D","F"))))))</f>
        <v/>
      </c>
      <c r="R8" s="4">
        <f>IF(G8/200*100&gt;=80,"A+",IF(G8/200*100&gt;=70,"A",IF(G8/200*100&gt;=60,"A-",IF(G8/200*100&gt;=50,"B",IF(G8/200*100&gt;=40,"C",IF(G8/200*100&gt;=33,"D","F"))))))</f>
        <v/>
      </c>
      <c r="S8" s="4">
        <f>IF(H8&gt;=80,"A+",IF(H8&gt;=70,"A",IF(H8&gt;=60,"A-",IF(H8&gt;=50,"B",IF(H8&gt;=40,"C",IF(H8&gt;=33,"D","F"))))))</f>
        <v/>
      </c>
      <c r="T8" s="4">
        <f>IF(I8&gt;=80,"A+",IF(I8&gt;=70,"A",IF(I8&gt;=60,"A-",IF(I8&gt;=50,"B",IF(I8&gt;=40,"C",IF(I8&gt;=33,"D","F"))))))</f>
        <v/>
      </c>
      <c r="U8" s="4">
        <f>IF(J8&gt;=80,"A+",IF(J8&gt;=70,"A",IF(J8&gt;=60,"A-",IF(J8&gt;=50,"B",IF(J8&gt;=40,"C",IF(J8&gt;=33,"D","F"))))))</f>
        <v/>
      </c>
      <c r="V8" s="4">
        <f>IF(K8&gt;=80,"A+",IF(K8&gt;=70,"A",IF(K8&gt;=60,"A-",IF(K8&gt;=50,"B",IF(K8&gt;=40,"C",IF(K8&gt;=33,"D","F"))))))</f>
        <v/>
      </c>
      <c r="W8" s="4">
        <f>IF(L8&gt;=33,"Pass","Fail")</f>
        <v/>
      </c>
      <c r="X8" s="4">
        <f>IF(M8&gt;=33,"Pass","Fail")</f>
        <v/>
      </c>
      <c r="Y8">
        <f>SUM(C8:J8)</f>
        <v/>
      </c>
      <c r="Z8" s="5">
        <f>ROUND(Y8/8,2)</f>
        <v/>
      </c>
      <c r="AA8" s="6">
        <f>IF(OR(C8&lt;33,D8&lt;66,E8&lt;33,F8&lt;66,G8&lt;66,H8&lt;33,I8&lt;33,J8&lt;33,L8&lt;33,M8&lt;33),0,MIN(5,ROUND((IF(C8&gt;=80,5,IF(C8&gt;=70,4,IF(C8&gt;=60,3.5,IF(C8&gt;=50,3,IF(C8&gt;=40,2,IF(C8&gt;=33,1,0))))))+IF(D8/200*100&gt;=80,5,IF(D8/200*100&gt;=70,4,IF(D8/200*100&gt;=60,3.5,IF(D8/200*100&gt;=50,3,IF(D8/200*100&gt;=40,2,IF(D8/200*100&gt;=33,1,0))))))+IF(E8&gt;=80,5,IF(E8&gt;=70,4,IF(E8&gt;=60,3.5,IF(E8&gt;=50,3,IF(E8&gt;=40,2,IF(E8&gt;=33,1,0))))))+IF(F8/200*100&gt;=80,5,IF(F8/200*100&gt;=70,4,IF(F8/200*100&gt;=60,3.5,IF(F8/200*100&gt;=50,3,IF(F8/200*100&gt;=40,2,IF(F8/200*100&gt;=33,1,0))))))+IF(G8/200*100&gt;=80,5,IF(G8/200*100&gt;=70,4,IF(G8/200*100&gt;=60,3.5,IF(G8/200*100&gt;=50,3,IF(G8/200*100&gt;=40,2,IF(G8/200*100&gt;=33,1,0))))))+IF(H8&gt;=80,5,IF(H8&gt;=70,4,IF(H8&gt;=60,3.5,IF(H8&gt;=50,3,IF(H8&gt;=40,2,IF(H8&gt;=33,1,0))))))+IF(I8&gt;=80,5,IF(I8&gt;=70,4,IF(I8&gt;=60,3.5,IF(I8&gt;=50,3,IF(I8&gt;=40,2,IF(I8&gt;=33,1,0))))))+IF(J8&gt;=80,5,IF(J8&gt;=70,4,IF(J8&gt;=60,3.5,IF(J8&gt;=50,3,IF(J8&gt;=40,2,IF(J8&gt;=33,1,0)))))))/8+IF(IF(K8&gt;=80,5,IF(K8&gt;=70,4,IF(K8&gt;=60,3.5,IF(K8&gt;=50,3,IF(K8&gt;=40,2,IF(K8&gt;=33,1,0))))))&gt;=2,(IF(K8&gt;=80,5,IF(K8&gt;=70,4,IF(K8&gt;=60,3.5,IF(K8&gt;=50,3,IF(K8&gt;=40,2,IF(K8&gt;=33,1,0))))))-2)/8,0),2)))</f>
        <v/>
      </c>
      <c r="AB8" s="4">
        <f>IF(AA8&gt;=5,"A+",IF(AA8&gt;=4,"A",IF(AA8&gt;=3.5,"A-",IF(AA8&gt;=3,"B",IF(AA8&gt;=2,"C",IF(AA8&gt;=1,"D","F"))))))</f>
        <v/>
      </c>
    </row>
    <row r="9">
      <c r="A9" t="n">
        <v>8</v>
      </c>
      <c r="B9" t="inlineStr">
        <is>
          <t>Sadia Sultana</t>
        </is>
      </c>
      <c r="C9" s="3" t="n">
        <v>69</v>
      </c>
      <c r="D9" s="2" t="n">
        <v>175</v>
      </c>
      <c r="E9" s="3" t="n">
        <v>66</v>
      </c>
      <c r="F9" s="3" t="n">
        <v>130</v>
      </c>
      <c r="G9" s="2" t="n">
        <v>166</v>
      </c>
      <c r="H9" s="3" t="n">
        <v>71</v>
      </c>
      <c r="I9" s="3" t="n">
        <v>62</v>
      </c>
      <c r="J9" s="2" t="n">
        <v>85</v>
      </c>
      <c r="K9" s="2" t="n">
        <v>82</v>
      </c>
      <c r="L9" s="2" t="n">
        <v>88</v>
      </c>
      <c r="M9" s="2" t="n">
        <v>92</v>
      </c>
      <c r="N9" s="4">
        <f>IF(C9&gt;=80,"A+",IF(C9&gt;=70,"A",IF(C9&gt;=60,"A-",IF(C9&gt;=50,"B",IF(C9&gt;=40,"C",IF(C9&gt;=33,"D","F"))))))</f>
        <v/>
      </c>
      <c r="O9" s="4">
        <f>IF(D9/200*100&gt;=80,"A+",IF(D9/200*100&gt;=70,"A",IF(D9/200*100&gt;=60,"A-",IF(D9/200*100&gt;=50,"B",IF(D9/200*100&gt;=40,"C",IF(D9/200*100&gt;=33,"D","F"))))))</f>
        <v/>
      </c>
      <c r="P9" s="4">
        <f>IF(E9&gt;=80,"A+",IF(E9&gt;=70,"A",IF(E9&gt;=60,"A-",IF(E9&gt;=50,"B",IF(E9&gt;=40,"C",IF(E9&gt;=33,"D","F"))))))</f>
        <v/>
      </c>
      <c r="Q9" s="4">
        <f>IF(F9/200*100&gt;=80,"A+",IF(F9/200*100&gt;=70,"A",IF(F9/200*100&gt;=60,"A-",IF(F9/200*100&gt;=50,"B",IF(F9/200*100&gt;=40,"C",IF(F9/200*100&gt;=33,"D","F"))))))</f>
        <v/>
      </c>
      <c r="R9" s="4">
        <f>IF(G9/200*100&gt;=80,"A+",IF(G9/200*100&gt;=70,"A",IF(G9/200*100&gt;=60,"A-",IF(G9/200*100&gt;=50,"B",IF(G9/200*100&gt;=40,"C",IF(G9/200*100&gt;=33,"D","F"))))))</f>
        <v/>
      </c>
      <c r="S9" s="4">
        <f>IF(H9&gt;=80,"A+",IF(H9&gt;=70,"A",IF(H9&gt;=60,"A-",IF(H9&gt;=50,"B",IF(H9&gt;=40,"C",IF(H9&gt;=33,"D","F"))))))</f>
        <v/>
      </c>
      <c r="T9" s="4">
        <f>IF(I9&gt;=80,"A+",IF(I9&gt;=70,"A",IF(I9&gt;=60,"A-",IF(I9&gt;=50,"B",IF(I9&gt;=40,"C",IF(I9&gt;=33,"D","F"))))))</f>
        <v/>
      </c>
      <c r="U9" s="4">
        <f>IF(J9&gt;=80,"A+",IF(J9&gt;=70,"A",IF(J9&gt;=60,"A-",IF(J9&gt;=50,"B",IF(J9&gt;=40,"C",IF(J9&gt;=33,"D","F"))))))</f>
        <v/>
      </c>
      <c r="V9" s="4">
        <f>IF(K9&gt;=80,"A+",IF(K9&gt;=70,"A",IF(K9&gt;=60,"A-",IF(K9&gt;=50,"B",IF(K9&gt;=40,"C",IF(K9&gt;=33,"D","F"))))))</f>
        <v/>
      </c>
      <c r="W9" s="4">
        <f>IF(L9&gt;=33,"Pass","Fail")</f>
        <v/>
      </c>
      <c r="X9" s="4">
        <f>IF(M9&gt;=33,"Pass","Fail")</f>
        <v/>
      </c>
      <c r="Y9">
        <f>SUM(C9:J9)</f>
        <v/>
      </c>
      <c r="Z9" s="5">
        <f>ROUND(Y9/8,2)</f>
        <v/>
      </c>
      <c r="AA9" s="6">
        <f>IF(OR(C9&lt;33,D9&lt;66,E9&lt;33,F9&lt;66,G9&lt;66,H9&lt;33,I9&lt;33,J9&lt;33,L9&lt;33,M9&lt;33),0,MIN(5,ROUND((IF(C9&gt;=80,5,IF(C9&gt;=70,4,IF(C9&gt;=60,3.5,IF(C9&gt;=50,3,IF(C9&gt;=40,2,IF(C9&gt;=33,1,0))))))+IF(D9/200*100&gt;=80,5,IF(D9/200*100&gt;=70,4,IF(D9/200*100&gt;=60,3.5,IF(D9/200*100&gt;=50,3,IF(D9/200*100&gt;=40,2,IF(D9/200*100&gt;=33,1,0))))))+IF(E9&gt;=80,5,IF(E9&gt;=70,4,IF(E9&gt;=60,3.5,IF(E9&gt;=50,3,IF(E9&gt;=40,2,IF(E9&gt;=33,1,0))))))+IF(F9/200*100&gt;=80,5,IF(F9/200*100&gt;=70,4,IF(F9/200*100&gt;=60,3.5,IF(F9/200*100&gt;=50,3,IF(F9/200*100&gt;=40,2,IF(F9/200*100&gt;=33,1,0))))))+IF(G9/200*100&gt;=80,5,IF(G9/200*100&gt;=70,4,IF(G9/200*100&gt;=60,3.5,IF(G9/200*100&gt;=50,3,IF(G9/200*100&gt;=40,2,IF(G9/200*100&gt;=33,1,0))))))+IF(H9&gt;=80,5,IF(H9&gt;=70,4,IF(H9&gt;=60,3.5,IF(H9&gt;=50,3,IF(H9&gt;=40,2,IF(H9&gt;=33,1,0))))))+IF(I9&gt;=80,5,IF(I9&gt;=70,4,IF(I9&gt;=60,3.5,IF(I9&gt;=50,3,IF(I9&gt;=40,2,IF(I9&gt;=33,1,0))))))+IF(J9&gt;=80,5,IF(J9&gt;=70,4,IF(J9&gt;=60,3.5,IF(J9&gt;=50,3,IF(J9&gt;=40,2,IF(J9&gt;=33,1,0)))))))/8+IF(IF(K9&gt;=80,5,IF(K9&gt;=70,4,IF(K9&gt;=60,3.5,IF(K9&gt;=50,3,IF(K9&gt;=40,2,IF(K9&gt;=33,1,0))))))&gt;=2,(IF(K9&gt;=80,5,IF(K9&gt;=70,4,IF(K9&gt;=60,3.5,IF(K9&gt;=50,3,IF(K9&gt;=40,2,IF(K9&gt;=33,1,0))))))-2)/8,0),2)))</f>
        <v/>
      </c>
      <c r="AB9" s="4">
        <f>IF(AA9&gt;=5,"A+",IF(AA9&gt;=4,"A",IF(AA9&gt;=3.5,"A-",IF(AA9&gt;=3,"B",IF(AA9&gt;=2,"C",IF(AA9&gt;=1,"D","F"))))))</f>
        <v/>
      </c>
    </row>
    <row r="10">
      <c r="A10" t="n">
        <v>9</v>
      </c>
      <c r="B10" t="inlineStr">
        <is>
          <t>Tarik Hasan</t>
        </is>
      </c>
      <c r="C10" s="2" t="n">
        <v>88</v>
      </c>
      <c r="D10" s="2" t="n">
        <v>171</v>
      </c>
      <c r="E10" s="3" t="n">
        <v>65</v>
      </c>
      <c r="F10" s="3" t="n">
        <v>149</v>
      </c>
      <c r="G10" s="3" t="n">
        <v>132</v>
      </c>
      <c r="H10" s="2" t="n">
        <v>92</v>
      </c>
      <c r="I10" s="3" t="n">
        <v>72</v>
      </c>
      <c r="J10" s="3" t="n">
        <v>75</v>
      </c>
      <c r="K10" s="2" t="n">
        <v>88</v>
      </c>
      <c r="L10" s="3" t="n">
        <v>72</v>
      </c>
      <c r="M10" s="2" t="n">
        <v>81</v>
      </c>
      <c r="N10" s="4">
        <f>IF(C10&gt;=80,"A+",IF(C10&gt;=70,"A",IF(C10&gt;=60,"A-",IF(C10&gt;=50,"B",IF(C10&gt;=40,"C",IF(C10&gt;=33,"D","F"))))))</f>
        <v/>
      </c>
      <c r="O10" s="4">
        <f>IF(D10/200*100&gt;=80,"A+",IF(D10/200*100&gt;=70,"A",IF(D10/200*100&gt;=60,"A-",IF(D10/200*100&gt;=50,"B",IF(D10/200*100&gt;=40,"C",IF(D10/200*100&gt;=33,"D","F"))))))</f>
        <v/>
      </c>
      <c r="P10" s="4">
        <f>IF(E10&gt;=80,"A+",IF(E10&gt;=70,"A",IF(E10&gt;=60,"A-",IF(E10&gt;=50,"B",IF(E10&gt;=40,"C",IF(E10&gt;=33,"D","F"))))))</f>
        <v/>
      </c>
      <c r="Q10" s="4">
        <f>IF(F10/200*100&gt;=80,"A+",IF(F10/200*100&gt;=70,"A",IF(F10/200*100&gt;=60,"A-",IF(F10/200*100&gt;=50,"B",IF(F10/200*100&gt;=40,"C",IF(F10/200*100&gt;=33,"D","F"))))))</f>
        <v/>
      </c>
      <c r="R10" s="4">
        <f>IF(G10/200*100&gt;=80,"A+",IF(G10/200*100&gt;=70,"A",IF(G10/200*100&gt;=60,"A-",IF(G10/200*100&gt;=50,"B",IF(G10/200*100&gt;=40,"C",IF(G10/200*100&gt;=33,"D","F"))))))</f>
        <v/>
      </c>
      <c r="S10" s="4">
        <f>IF(H10&gt;=80,"A+",IF(H10&gt;=70,"A",IF(H10&gt;=60,"A-",IF(H10&gt;=50,"B",IF(H10&gt;=40,"C",IF(H10&gt;=33,"D","F"))))))</f>
        <v/>
      </c>
      <c r="T10" s="4">
        <f>IF(I10&gt;=80,"A+",IF(I10&gt;=70,"A",IF(I10&gt;=60,"A-",IF(I10&gt;=50,"B",IF(I10&gt;=40,"C",IF(I10&gt;=33,"D","F"))))))</f>
        <v/>
      </c>
      <c r="U10" s="4">
        <f>IF(J10&gt;=80,"A+",IF(J10&gt;=70,"A",IF(J10&gt;=60,"A-",IF(J10&gt;=50,"B",IF(J10&gt;=40,"C",IF(J10&gt;=33,"D","F"))))))</f>
        <v/>
      </c>
      <c r="V10" s="4">
        <f>IF(K10&gt;=80,"A+",IF(K10&gt;=70,"A",IF(K10&gt;=60,"A-",IF(K10&gt;=50,"B",IF(K10&gt;=40,"C",IF(K10&gt;=33,"D","F"))))))</f>
        <v/>
      </c>
      <c r="W10" s="4">
        <f>IF(L10&gt;=33,"Pass","Fail")</f>
        <v/>
      </c>
      <c r="X10" s="4">
        <f>IF(M10&gt;=33,"Pass","Fail")</f>
        <v/>
      </c>
      <c r="Y10">
        <f>SUM(C10:J10)</f>
        <v/>
      </c>
      <c r="Z10" s="5">
        <f>ROUND(Y10/8,2)</f>
        <v/>
      </c>
      <c r="AA10" s="6">
        <f>IF(OR(C10&lt;33,D10&lt;66,E10&lt;33,F10&lt;66,G10&lt;66,H10&lt;33,I10&lt;33,J10&lt;33,L10&lt;33,M10&lt;33),0,MIN(5,ROUND((IF(C10&gt;=80,5,IF(C10&gt;=70,4,IF(C10&gt;=60,3.5,IF(C10&gt;=50,3,IF(C10&gt;=40,2,IF(C10&gt;=33,1,0))))))+IF(D10/200*100&gt;=80,5,IF(D10/200*100&gt;=70,4,IF(D10/200*100&gt;=60,3.5,IF(D10/200*100&gt;=50,3,IF(D10/200*100&gt;=40,2,IF(D10/200*100&gt;=33,1,0))))))+IF(E10&gt;=80,5,IF(E10&gt;=70,4,IF(E10&gt;=60,3.5,IF(E10&gt;=50,3,IF(E10&gt;=40,2,IF(E10&gt;=33,1,0))))))+IF(F10/200*100&gt;=80,5,IF(F10/200*100&gt;=70,4,IF(F10/200*100&gt;=60,3.5,IF(F10/200*100&gt;=50,3,IF(F10/200*100&gt;=40,2,IF(F10/200*100&gt;=33,1,0))))))+IF(G10/200*100&gt;=80,5,IF(G10/200*100&gt;=70,4,IF(G10/200*100&gt;=60,3.5,IF(G10/200*100&gt;=50,3,IF(G10/200*100&gt;=40,2,IF(G10/200*100&gt;=33,1,0))))))+IF(H10&gt;=80,5,IF(H10&gt;=70,4,IF(H10&gt;=60,3.5,IF(H10&gt;=50,3,IF(H10&gt;=40,2,IF(H10&gt;=33,1,0))))))+IF(I10&gt;=80,5,IF(I10&gt;=70,4,IF(I10&gt;=60,3.5,IF(I10&gt;=50,3,IF(I10&gt;=40,2,IF(I10&gt;=33,1,0))))))+IF(J10&gt;=80,5,IF(J10&gt;=70,4,IF(J10&gt;=60,3.5,IF(J10&gt;=50,3,IF(J10&gt;=40,2,IF(J10&gt;=33,1,0)))))))/8+IF(IF(K10&gt;=80,5,IF(K10&gt;=70,4,IF(K10&gt;=60,3.5,IF(K10&gt;=50,3,IF(K10&gt;=40,2,IF(K10&gt;=33,1,0))))))&gt;=2,(IF(K10&gt;=80,5,IF(K10&gt;=70,4,IF(K10&gt;=60,3.5,IF(K10&gt;=50,3,IF(K10&gt;=40,2,IF(K10&gt;=33,1,0))))))-2)/8,0),2)))</f>
        <v/>
      </c>
      <c r="AB10" s="4">
        <f>IF(AA10&gt;=5,"A+",IF(AA10&gt;=4,"A",IF(AA10&gt;=3.5,"A-",IF(AA10&gt;=3,"B",IF(AA10&gt;=2,"C",IF(AA10&gt;=1,"D","F"))))))</f>
        <v/>
      </c>
    </row>
    <row r="11">
      <c r="A11" t="n">
        <v>10</v>
      </c>
      <c r="B11" t="inlineStr">
        <is>
          <t>Ruhi Akter</t>
        </is>
      </c>
      <c r="C11" s="3" t="n">
        <v>68</v>
      </c>
      <c r="D11" s="2" t="n">
        <v>174</v>
      </c>
      <c r="E11" s="2" t="n">
        <v>84</v>
      </c>
      <c r="F11" s="3" t="n">
        <v>132</v>
      </c>
      <c r="G11" s="3" t="n">
        <v>154</v>
      </c>
      <c r="H11" s="2" t="n">
        <v>82</v>
      </c>
      <c r="I11" s="3" t="n">
        <v>72</v>
      </c>
      <c r="J11" s="3" t="n">
        <v>68</v>
      </c>
      <c r="K11" s="3" t="n">
        <v>62</v>
      </c>
      <c r="L11" s="3" t="n">
        <v>72</v>
      </c>
      <c r="M11" s="2" t="n">
        <v>84</v>
      </c>
      <c r="N11" s="4">
        <f>IF(C11&gt;=80,"A+",IF(C11&gt;=70,"A",IF(C11&gt;=60,"A-",IF(C11&gt;=50,"B",IF(C11&gt;=40,"C",IF(C11&gt;=33,"D","F"))))))</f>
        <v/>
      </c>
      <c r="O11" s="4">
        <f>IF(D11/200*100&gt;=80,"A+",IF(D11/200*100&gt;=70,"A",IF(D11/200*100&gt;=60,"A-",IF(D11/200*100&gt;=50,"B",IF(D11/200*100&gt;=40,"C",IF(D11/200*100&gt;=33,"D","F"))))))</f>
        <v/>
      </c>
      <c r="P11" s="4">
        <f>IF(E11&gt;=80,"A+",IF(E11&gt;=70,"A",IF(E11&gt;=60,"A-",IF(E11&gt;=50,"B",IF(E11&gt;=40,"C",IF(E11&gt;=33,"D","F"))))))</f>
        <v/>
      </c>
      <c r="Q11" s="4">
        <f>IF(F11/200*100&gt;=80,"A+",IF(F11/200*100&gt;=70,"A",IF(F11/200*100&gt;=60,"A-",IF(F11/200*100&gt;=50,"B",IF(F11/200*100&gt;=40,"C",IF(F11/200*100&gt;=33,"D","F"))))))</f>
        <v/>
      </c>
      <c r="R11" s="4">
        <f>IF(G11/200*100&gt;=80,"A+",IF(G11/200*100&gt;=70,"A",IF(G11/200*100&gt;=60,"A-",IF(G11/200*100&gt;=50,"B",IF(G11/200*100&gt;=40,"C",IF(G11/200*100&gt;=33,"D","F"))))))</f>
        <v/>
      </c>
      <c r="S11" s="4">
        <f>IF(H11&gt;=80,"A+",IF(H11&gt;=70,"A",IF(H11&gt;=60,"A-",IF(H11&gt;=50,"B",IF(H11&gt;=40,"C",IF(H11&gt;=33,"D","F"))))))</f>
        <v/>
      </c>
      <c r="T11" s="4">
        <f>IF(I11&gt;=80,"A+",IF(I11&gt;=70,"A",IF(I11&gt;=60,"A-",IF(I11&gt;=50,"B",IF(I11&gt;=40,"C",IF(I11&gt;=33,"D","F"))))))</f>
        <v/>
      </c>
      <c r="U11" s="4">
        <f>IF(J11&gt;=80,"A+",IF(J11&gt;=70,"A",IF(J11&gt;=60,"A-",IF(J11&gt;=50,"B",IF(J11&gt;=40,"C",IF(J11&gt;=33,"D","F"))))))</f>
        <v/>
      </c>
      <c r="V11" s="4">
        <f>IF(K11&gt;=80,"A+",IF(K11&gt;=70,"A",IF(K11&gt;=60,"A-",IF(K11&gt;=50,"B",IF(K11&gt;=40,"C",IF(K11&gt;=33,"D","F"))))))</f>
        <v/>
      </c>
      <c r="W11" s="4">
        <f>IF(L11&gt;=33,"Pass","Fail")</f>
        <v/>
      </c>
      <c r="X11" s="4">
        <f>IF(M11&gt;=33,"Pass","Fail")</f>
        <v/>
      </c>
      <c r="Y11">
        <f>SUM(C11:J11)</f>
        <v/>
      </c>
      <c r="Z11" s="5">
        <f>ROUND(Y11/8,2)</f>
        <v/>
      </c>
      <c r="AA11" s="6">
        <f>IF(OR(C11&lt;33,D11&lt;66,E11&lt;33,F11&lt;66,G11&lt;66,H11&lt;33,I11&lt;33,J11&lt;33,L11&lt;33,M11&lt;33),0,MIN(5,ROUND((IF(C11&gt;=80,5,IF(C11&gt;=70,4,IF(C11&gt;=60,3.5,IF(C11&gt;=50,3,IF(C11&gt;=40,2,IF(C11&gt;=33,1,0))))))+IF(D11/200*100&gt;=80,5,IF(D11/200*100&gt;=70,4,IF(D11/200*100&gt;=60,3.5,IF(D11/200*100&gt;=50,3,IF(D11/200*100&gt;=40,2,IF(D11/200*100&gt;=33,1,0))))))+IF(E11&gt;=80,5,IF(E11&gt;=70,4,IF(E11&gt;=60,3.5,IF(E11&gt;=50,3,IF(E11&gt;=40,2,IF(E11&gt;=33,1,0))))))+IF(F11/200*100&gt;=80,5,IF(F11/200*100&gt;=70,4,IF(F11/200*100&gt;=60,3.5,IF(F11/200*100&gt;=50,3,IF(F11/200*100&gt;=40,2,IF(F11/200*100&gt;=33,1,0))))))+IF(G11/200*100&gt;=80,5,IF(G11/200*100&gt;=70,4,IF(G11/200*100&gt;=60,3.5,IF(G11/200*100&gt;=50,3,IF(G11/200*100&gt;=40,2,IF(G11/200*100&gt;=33,1,0))))))+IF(H11&gt;=80,5,IF(H11&gt;=70,4,IF(H11&gt;=60,3.5,IF(H11&gt;=50,3,IF(H11&gt;=40,2,IF(H11&gt;=33,1,0))))))+IF(I11&gt;=80,5,IF(I11&gt;=70,4,IF(I11&gt;=60,3.5,IF(I11&gt;=50,3,IF(I11&gt;=40,2,IF(I11&gt;=33,1,0))))))+IF(J11&gt;=80,5,IF(J11&gt;=70,4,IF(J11&gt;=60,3.5,IF(J11&gt;=50,3,IF(J11&gt;=40,2,IF(J11&gt;=33,1,0)))))))/8+IF(IF(K11&gt;=80,5,IF(K11&gt;=70,4,IF(K11&gt;=60,3.5,IF(K11&gt;=50,3,IF(K11&gt;=40,2,IF(K11&gt;=33,1,0))))))&gt;=2,(IF(K11&gt;=80,5,IF(K11&gt;=70,4,IF(K11&gt;=60,3.5,IF(K11&gt;=50,3,IF(K11&gt;=40,2,IF(K11&gt;=33,1,0))))))-2)/8,0),2)))</f>
        <v/>
      </c>
      <c r="AB11" s="4">
        <f>IF(AA11&gt;=5,"A+",IF(AA11&gt;=4,"A",IF(AA11&gt;=3.5,"A-",IF(AA11&gt;=3,"B",IF(AA11&gt;=2,"C",IF(AA11&gt;=1,"D","F"))))))</f>
        <v/>
      </c>
    </row>
    <row r="12">
      <c r="A12" t="n">
        <v>11</v>
      </c>
      <c r="B12" t="inlineStr">
        <is>
          <t>Mehedi Hassan</t>
        </is>
      </c>
      <c r="C12" s="2" t="n">
        <v>86</v>
      </c>
      <c r="D12" s="2" t="n">
        <v>164</v>
      </c>
      <c r="E12" s="3" t="n">
        <v>66</v>
      </c>
      <c r="F12" s="2" t="n">
        <v>168</v>
      </c>
      <c r="G12" s="3" t="n">
        <v>129</v>
      </c>
      <c r="H12" s="2" t="n">
        <v>92</v>
      </c>
      <c r="I12" s="3" t="n">
        <v>79</v>
      </c>
      <c r="J12" s="3" t="n">
        <v>74</v>
      </c>
      <c r="K12" s="7" t="n">
        <v>59</v>
      </c>
      <c r="L12" s="2" t="n">
        <v>93</v>
      </c>
      <c r="M12" s="2" t="n">
        <v>87</v>
      </c>
      <c r="N12" s="4">
        <f>IF(C12&gt;=80,"A+",IF(C12&gt;=70,"A",IF(C12&gt;=60,"A-",IF(C12&gt;=50,"B",IF(C12&gt;=40,"C",IF(C12&gt;=33,"D","F"))))))</f>
        <v/>
      </c>
      <c r="O12" s="4">
        <f>IF(D12/200*100&gt;=80,"A+",IF(D12/200*100&gt;=70,"A",IF(D12/200*100&gt;=60,"A-",IF(D12/200*100&gt;=50,"B",IF(D12/200*100&gt;=40,"C",IF(D12/200*100&gt;=33,"D","F"))))))</f>
        <v/>
      </c>
      <c r="P12" s="4">
        <f>IF(E12&gt;=80,"A+",IF(E12&gt;=70,"A",IF(E12&gt;=60,"A-",IF(E12&gt;=50,"B",IF(E12&gt;=40,"C",IF(E12&gt;=33,"D","F"))))))</f>
        <v/>
      </c>
      <c r="Q12" s="4">
        <f>IF(F12/200*100&gt;=80,"A+",IF(F12/200*100&gt;=70,"A",IF(F12/200*100&gt;=60,"A-",IF(F12/200*100&gt;=50,"B",IF(F12/200*100&gt;=40,"C",IF(F12/200*100&gt;=33,"D","F"))))))</f>
        <v/>
      </c>
      <c r="R12" s="4">
        <f>IF(G12/200*100&gt;=80,"A+",IF(G12/200*100&gt;=70,"A",IF(G12/200*100&gt;=60,"A-",IF(G12/200*100&gt;=50,"B",IF(G12/200*100&gt;=40,"C",IF(G12/200*100&gt;=33,"D","F"))))))</f>
        <v/>
      </c>
      <c r="S12" s="4">
        <f>IF(H12&gt;=80,"A+",IF(H12&gt;=70,"A",IF(H12&gt;=60,"A-",IF(H12&gt;=50,"B",IF(H12&gt;=40,"C",IF(H12&gt;=33,"D","F"))))))</f>
        <v/>
      </c>
      <c r="T12" s="4">
        <f>IF(I12&gt;=80,"A+",IF(I12&gt;=70,"A",IF(I12&gt;=60,"A-",IF(I12&gt;=50,"B",IF(I12&gt;=40,"C",IF(I12&gt;=33,"D","F"))))))</f>
        <v/>
      </c>
      <c r="U12" s="4">
        <f>IF(J12&gt;=80,"A+",IF(J12&gt;=70,"A",IF(J12&gt;=60,"A-",IF(J12&gt;=50,"B",IF(J12&gt;=40,"C",IF(J12&gt;=33,"D","F"))))))</f>
        <v/>
      </c>
      <c r="V12" s="4">
        <f>IF(K12&gt;=80,"A+",IF(K12&gt;=70,"A",IF(K12&gt;=60,"A-",IF(K12&gt;=50,"B",IF(K12&gt;=40,"C",IF(K12&gt;=33,"D","F"))))))</f>
        <v/>
      </c>
      <c r="W12" s="4">
        <f>IF(L12&gt;=33,"Pass","Fail")</f>
        <v/>
      </c>
      <c r="X12" s="4">
        <f>IF(M12&gt;=33,"Pass","Fail")</f>
        <v/>
      </c>
      <c r="Y12">
        <f>SUM(C12:J12)</f>
        <v/>
      </c>
      <c r="Z12" s="5">
        <f>ROUND(Y12/8,2)</f>
        <v/>
      </c>
      <c r="AA12" s="6">
        <f>IF(OR(C12&lt;33,D12&lt;66,E12&lt;33,F12&lt;66,G12&lt;66,H12&lt;33,I12&lt;33,J12&lt;33,L12&lt;33,M12&lt;33),0,MIN(5,ROUND((IF(C12&gt;=80,5,IF(C12&gt;=70,4,IF(C12&gt;=60,3.5,IF(C12&gt;=50,3,IF(C12&gt;=40,2,IF(C12&gt;=33,1,0))))))+IF(D12/200*100&gt;=80,5,IF(D12/200*100&gt;=70,4,IF(D12/200*100&gt;=60,3.5,IF(D12/200*100&gt;=50,3,IF(D12/200*100&gt;=40,2,IF(D12/200*100&gt;=33,1,0))))))+IF(E12&gt;=80,5,IF(E12&gt;=70,4,IF(E12&gt;=60,3.5,IF(E12&gt;=50,3,IF(E12&gt;=40,2,IF(E12&gt;=33,1,0))))))+IF(F12/200*100&gt;=80,5,IF(F12/200*100&gt;=70,4,IF(F12/200*100&gt;=60,3.5,IF(F12/200*100&gt;=50,3,IF(F12/200*100&gt;=40,2,IF(F12/200*100&gt;=33,1,0))))))+IF(G12/200*100&gt;=80,5,IF(G12/200*100&gt;=70,4,IF(G12/200*100&gt;=60,3.5,IF(G12/200*100&gt;=50,3,IF(G12/200*100&gt;=40,2,IF(G12/200*100&gt;=33,1,0))))))+IF(H12&gt;=80,5,IF(H12&gt;=70,4,IF(H12&gt;=60,3.5,IF(H12&gt;=50,3,IF(H12&gt;=40,2,IF(H12&gt;=33,1,0))))))+IF(I12&gt;=80,5,IF(I12&gt;=70,4,IF(I12&gt;=60,3.5,IF(I12&gt;=50,3,IF(I12&gt;=40,2,IF(I12&gt;=33,1,0))))))+IF(J12&gt;=80,5,IF(J12&gt;=70,4,IF(J12&gt;=60,3.5,IF(J12&gt;=50,3,IF(J12&gt;=40,2,IF(J12&gt;=33,1,0)))))))/8+IF(IF(K12&gt;=80,5,IF(K12&gt;=70,4,IF(K12&gt;=60,3.5,IF(K12&gt;=50,3,IF(K12&gt;=40,2,IF(K12&gt;=33,1,0))))))&gt;=2,(IF(K12&gt;=80,5,IF(K12&gt;=70,4,IF(K12&gt;=60,3.5,IF(K12&gt;=50,3,IF(K12&gt;=40,2,IF(K12&gt;=33,1,0))))))-2)/8,0),2)))</f>
        <v/>
      </c>
      <c r="AB12" s="4">
        <f>IF(AA12&gt;=5,"A+",IF(AA12&gt;=4,"A",IF(AA12&gt;=3.5,"A-",IF(AA12&gt;=3,"B",IF(AA12&gt;=2,"C",IF(AA12&gt;=1,"D","F"))))))</f>
        <v/>
      </c>
    </row>
    <row r="13">
      <c r="A13" t="n">
        <v>12</v>
      </c>
      <c r="B13" t="inlineStr">
        <is>
          <t>Lubna Khatun</t>
        </is>
      </c>
      <c r="C13" s="2" t="n">
        <v>88</v>
      </c>
      <c r="D13" s="3" t="n">
        <v>156</v>
      </c>
      <c r="E13" s="2" t="n">
        <v>82</v>
      </c>
      <c r="F13" s="3" t="n">
        <v>155</v>
      </c>
      <c r="G13" s="2" t="n">
        <v>165</v>
      </c>
      <c r="H13" s="2" t="n">
        <v>80</v>
      </c>
      <c r="I13" s="3" t="n">
        <v>74</v>
      </c>
      <c r="J13" s="3" t="n">
        <v>78</v>
      </c>
      <c r="K13" s="3" t="n">
        <v>73</v>
      </c>
      <c r="L13" s="2" t="n">
        <v>85</v>
      </c>
      <c r="M13" s="2" t="n">
        <v>95</v>
      </c>
      <c r="N13" s="4">
        <f>IF(C13&gt;=80,"A+",IF(C13&gt;=70,"A",IF(C13&gt;=60,"A-",IF(C13&gt;=50,"B",IF(C13&gt;=40,"C",IF(C13&gt;=33,"D","F"))))))</f>
        <v/>
      </c>
      <c r="O13" s="4">
        <f>IF(D13/200*100&gt;=80,"A+",IF(D13/200*100&gt;=70,"A",IF(D13/200*100&gt;=60,"A-",IF(D13/200*100&gt;=50,"B",IF(D13/200*100&gt;=40,"C",IF(D13/200*100&gt;=33,"D","F"))))))</f>
        <v/>
      </c>
      <c r="P13" s="4">
        <f>IF(E13&gt;=80,"A+",IF(E13&gt;=70,"A",IF(E13&gt;=60,"A-",IF(E13&gt;=50,"B",IF(E13&gt;=40,"C",IF(E13&gt;=33,"D","F"))))))</f>
        <v/>
      </c>
      <c r="Q13" s="4">
        <f>IF(F13/200*100&gt;=80,"A+",IF(F13/200*100&gt;=70,"A",IF(F13/200*100&gt;=60,"A-",IF(F13/200*100&gt;=50,"B",IF(F13/200*100&gt;=40,"C",IF(F13/200*100&gt;=33,"D","F"))))))</f>
        <v/>
      </c>
      <c r="R13" s="4">
        <f>IF(G13/200*100&gt;=80,"A+",IF(G13/200*100&gt;=70,"A",IF(G13/200*100&gt;=60,"A-",IF(G13/200*100&gt;=50,"B",IF(G13/200*100&gt;=40,"C",IF(G13/200*100&gt;=33,"D","F"))))))</f>
        <v/>
      </c>
      <c r="S13" s="4">
        <f>IF(H13&gt;=80,"A+",IF(H13&gt;=70,"A",IF(H13&gt;=60,"A-",IF(H13&gt;=50,"B",IF(H13&gt;=40,"C",IF(H13&gt;=33,"D","F"))))))</f>
        <v/>
      </c>
      <c r="T13" s="4">
        <f>IF(I13&gt;=80,"A+",IF(I13&gt;=70,"A",IF(I13&gt;=60,"A-",IF(I13&gt;=50,"B",IF(I13&gt;=40,"C",IF(I13&gt;=33,"D","F"))))))</f>
        <v/>
      </c>
      <c r="U13" s="4">
        <f>IF(J13&gt;=80,"A+",IF(J13&gt;=70,"A",IF(J13&gt;=60,"A-",IF(J13&gt;=50,"B",IF(J13&gt;=40,"C",IF(J13&gt;=33,"D","F"))))))</f>
        <v/>
      </c>
      <c r="V13" s="4">
        <f>IF(K13&gt;=80,"A+",IF(K13&gt;=70,"A",IF(K13&gt;=60,"A-",IF(K13&gt;=50,"B",IF(K13&gt;=40,"C",IF(K13&gt;=33,"D","F"))))))</f>
        <v/>
      </c>
      <c r="W13" s="4">
        <f>IF(L13&gt;=33,"Pass","Fail")</f>
        <v/>
      </c>
      <c r="X13" s="4">
        <f>IF(M13&gt;=33,"Pass","Fail")</f>
        <v/>
      </c>
      <c r="Y13">
        <f>SUM(C13:J13)</f>
        <v/>
      </c>
      <c r="Z13" s="5">
        <f>ROUND(Y13/8,2)</f>
        <v/>
      </c>
      <c r="AA13" s="6">
        <f>IF(OR(C13&lt;33,D13&lt;66,E13&lt;33,F13&lt;66,G13&lt;66,H13&lt;33,I13&lt;33,J13&lt;33,L13&lt;33,M13&lt;33),0,MIN(5,ROUND((IF(C13&gt;=80,5,IF(C13&gt;=70,4,IF(C13&gt;=60,3.5,IF(C13&gt;=50,3,IF(C13&gt;=40,2,IF(C13&gt;=33,1,0))))))+IF(D13/200*100&gt;=80,5,IF(D13/200*100&gt;=70,4,IF(D13/200*100&gt;=60,3.5,IF(D13/200*100&gt;=50,3,IF(D13/200*100&gt;=40,2,IF(D13/200*100&gt;=33,1,0))))))+IF(E13&gt;=80,5,IF(E13&gt;=70,4,IF(E13&gt;=60,3.5,IF(E13&gt;=50,3,IF(E13&gt;=40,2,IF(E13&gt;=33,1,0))))))+IF(F13/200*100&gt;=80,5,IF(F13/200*100&gt;=70,4,IF(F13/200*100&gt;=60,3.5,IF(F13/200*100&gt;=50,3,IF(F13/200*100&gt;=40,2,IF(F13/200*100&gt;=33,1,0))))))+IF(G13/200*100&gt;=80,5,IF(G13/200*100&gt;=70,4,IF(G13/200*100&gt;=60,3.5,IF(G13/200*100&gt;=50,3,IF(G13/200*100&gt;=40,2,IF(G13/200*100&gt;=33,1,0))))))+IF(H13&gt;=80,5,IF(H13&gt;=70,4,IF(H13&gt;=60,3.5,IF(H13&gt;=50,3,IF(H13&gt;=40,2,IF(H13&gt;=33,1,0))))))+IF(I13&gt;=80,5,IF(I13&gt;=70,4,IF(I13&gt;=60,3.5,IF(I13&gt;=50,3,IF(I13&gt;=40,2,IF(I13&gt;=33,1,0))))))+IF(J13&gt;=80,5,IF(J13&gt;=70,4,IF(J13&gt;=60,3.5,IF(J13&gt;=50,3,IF(J13&gt;=40,2,IF(J13&gt;=33,1,0)))))))/8+IF(IF(K13&gt;=80,5,IF(K13&gt;=70,4,IF(K13&gt;=60,3.5,IF(K13&gt;=50,3,IF(K13&gt;=40,2,IF(K13&gt;=33,1,0))))))&gt;=2,(IF(K13&gt;=80,5,IF(K13&gt;=70,4,IF(K13&gt;=60,3.5,IF(K13&gt;=50,3,IF(K13&gt;=40,2,IF(K13&gt;=33,1,0))))))-2)/8,0),2)))</f>
        <v/>
      </c>
      <c r="AB13" s="4">
        <f>IF(AA13&gt;=5,"A+",IF(AA13&gt;=4,"A",IF(AA13&gt;=3.5,"A-",IF(AA13&gt;=3,"B",IF(AA13&gt;=2,"C",IF(AA13&gt;=1,"D","F"))))))</f>
        <v/>
      </c>
    </row>
    <row r="14">
      <c r="A14" t="n">
        <v>13</v>
      </c>
      <c r="B14" t="inlineStr">
        <is>
          <t>Fahim Ahmed</t>
        </is>
      </c>
      <c r="C14" s="2" t="n">
        <v>93</v>
      </c>
      <c r="D14" s="3" t="n">
        <v>144</v>
      </c>
      <c r="E14" s="2" t="n">
        <v>82</v>
      </c>
      <c r="F14" s="2" t="n">
        <v>178</v>
      </c>
      <c r="G14" s="2" t="n">
        <v>176</v>
      </c>
      <c r="H14" s="3" t="n">
        <v>78</v>
      </c>
      <c r="I14" s="3" t="n">
        <v>76</v>
      </c>
      <c r="J14" s="3" t="n">
        <v>70</v>
      </c>
      <c r="K14" s="3" t="n">
        <v>60</v>
      </c>
      <c r="L14" s="3" t="n">
        <v>72</v>
      </c>
      <c r="M14" s="2" t="n">
        <v>86</v>
      </c>
      <c r="N14" s="4">
        <f>IF(C14&gt;=80,"A+",IF(C14&gt;=70,"A",IF(C14&gt;=60,"A-",IF(C14&gt;=50,"B",IF(C14&gt;=40,"C",IF(C14&gt;=33,"D","F"))))))</f>
        <v/>
      </c>
      <c r="O14" s="4">
        <f>IF(D14/200*100&gt;=80,"A+",IF(D14/200*100&gt;=70,"A",IF(D14/200*100&gt;=60,"A-",IF(D14/200*100&gt;=50,"B",IF(D14/200*100&gt;=40,"C",IF(D14/200*100&gt;=33,"D","F"))))))</f>
        <v/>
      </c>
      <c r="P14" s="4">
        <f>IF(E14&gt;=80,"A+",IF(E14&gt;=70,"A",IF(E14&gt;=60,"A-",IF(E14&gt;=50,"B",IF(E14&gt;=40,"C",IF(E14&gt;=33,"D","F"))))))</f>
        <v/>
      </c>
      <c r="Q14" s="4">
        <f>IF(F14/200*100&gt;=80,"A+",IF(F14/200*100&gt;=70,"A",IF(F14/200*100&gt;=60,"A-",IF(F14/200*100&gt;=50,"B",IF(F14/200*100&gt;=40,"C",IF(F14/200*100&gt;=33,"D","F"))))))</f>
        <v/>
      </c>
      <c r="R14" s="4">
        <f>IF(G14/200*100&gt;=80,"A+",IF(G14/200*100&gt;=70,"A",IF(G14/200*100&gt;=60,"A-",IF(G14/200*100&gt;=50,"B",IF(G14/200*100&gt;=40,"C",IF(G14/200*100&gt;=33,"D","F"))))))</f>
        <v/>
      </c>
      <c r="S14" s="4">
        <f>IF(H14&gt;=80,"A+",IF(H14&gt;=70,"A",IF(H14&gt;=60,"A-",IF(H14&gt;=50,"B",IF(H14&gt;=40,"C",IF(H14&gt;=33,"D","F"))))))</f>
        <v/>
      </c>
      <c r="T14" s="4">
        <f>IF(I14&gt;=80,"A+",IF(I14&gt;=70,"A",IF(I14&gt;=60,"A-",IF(I14&gt;=50,"B",IF(I14&gt;=40,"C",IF(I14&gt;=33,"D","F"))))))</f>
        <v/>
      </c>
      <c r="U14" s="4">
        <f>IF(J14&gt;=80,"A+",IF(J14&gt;=70,"A",IF(J14&gt;=60,"A-",IF(J14&gt;=50,"B",IF(J14&gt;=40,"C",IF(J14&gt;=33,"D","F"))))))</f>
        <v/>
      </c>
      <c r="V14" s="4">
        <f>IF(K14&gt;=80,"A+",IF(K14&gt;=70,"A",IF(K14&gt;=60,"A-",IF(K14&gt;=50,"B",IF(K14&gt;=40,"C",IF(K14&gt;=33,"D","F"))))))</f>
        <v/>
      </c>
      <c r="W14" s="4">
        <f>IF(L14&gt;=33,"Pass","Fail")</f>
        <v/>
      </c>
      <c r="X14" s="4">
        <f>IF(M14&gt;=33,"Pass","Fail")</f>
        <v/>
      </c>
      <c r="Y14">
        <f>SUM(C14:J14)</f>
        <v/>
      </c>
      <c r="Z14" s="5">
        <f>ROUND(Y14/8,2)</f>
        <v/>
      </c>
      <c r="AA14" s="6">
        <f>IF(OR(C14&lt;33,D14&lt;66,E14&lt;33,F14&lt;66,G14&lt;66,H14&lt;33,I14&lt;33,J14&lt;33,L14&lt;33,M14&lt;33),0,MIN(5,ROUND((IF(C14&gt;=80,5,IF(C14&gt;=70,4,IF(C14&gt;=60,3.5,IF(C14&gt;=50,3,IF(C14&gt;=40,2,IF(C14&gt;=33,1,0))))))+IF(D14/200*100&gt;=80,5,IF(D14/200*100&gt;=70,4,IF(D14/200*100&gt;=60,3.5,IF(D14/200*100&gt;=50,3,IF(D14/200*100&gt;=40,2,IF(D14/200*100&gt;=33,1,0))))))+IF(E14&gt;=80,5,IF(E14&gt;=70,4,IF(E14&gt;=60,3.5,IF(E14&gt;=50,3,IF(E14&gt;=40,2,IF(E14&gt;=33,1,0))))))+IF(F14/200*100&gt;=80,5,IF(F14/200*100&gt;=70,4,IF(F14/200*100&gt;=60,3.5,IF(F14/200*100&gt;=50,3,IF(F14/200*100&gt;=40,2,IF(F14/200*100&gt;=33,1,0))))))+IF(G14/200*100&gt;=80,5,IF(G14/200*100&gt;=70,4,IF(G14/200*100&gt;=60,3.5,IF(G14/200*100&gt;=50,3,IF(G14/200*100&gt;=40,2,IF(G14/200*100&gt;=33,1,0))))))+IF(H14&gt;=80,5,IF(H14&gt;=70,4,IF(H14&gt;=60,3.5,IF(H14&gt;=50,3,IF(H14&gt;=40,2,IF(H14&gt;=33,1,0))))))+IF(I14&gt;=80,5,IF(I14&gt;=70,4,IF(I14&gt;=60,3.5,IF(I14&gt;=50,3,IF(I14&gt;=40,2,IF(I14&gt;=33,1,0))))))+IF(J14&gt;=80,5,IF(J14&gt;=70,4,IF(J14&gt;=60,3.5,IF(J14&gt;=50,3,IF(J14&gt;=40,2,IF(J14&gt;=33,1,0)))))))/8+IF(IF(K14&gt;=80,5,IF(K14&gt;=70,4,IF(K14&gt;=60,3.5,IF(K14&gt;=50,3,IF(K14&gt;=40,2,IF(K14&gt;=33,1,0))))))&gt;=2,(IF(K14&gt;=80,5,IF(K14&gt;=70,4,IF(K14&gt;=60,3.5,IF(K14&gt;=50,3,IF(K14&gt;=40,2,IF(K14&gt;=33,1,0))))))-2)/8,0),2)))</f>
        <v/>
      </c>
      <c r="AB14" s="4">
        <f>IF(AA14&gt;=5,"A+",IF(AA14&gt;=4,"A",IF(AA14&gt;=3.5,"A-",IF(AA14&gt;=3,"B",IF(AA14&gt;=2,"C",IF(AA14&gt;=1,"D","F"))))))</f>
        <v/>
      </c>
    </row>
    <row r="15">
      <c r="A15" t="n">
        <v>14</v>
      </c>
      <c r="B15" t="inlineStr">
        <is>
          <t>Samira Begum</t>
        </is>
      </c>
      <c r="C15" s="2" t="n">
        <v>82</v>
      </c>
      <c r="D15" s="3" t="n">
        <v>158</v>
      </c>
      <c r="E15" s="3" t="n">
        <v>76</v>
      </c>
      <c r="F15" s="2" t="n">
        <v>166</v>
      </c>
      <c r="G15" s="3" t="n">
        <v>159</v>
      </c>
      <c r="H15" s="3" t="n">
        <v>69</v>
      </c>
      <c r="I15" s="3" t="n">
        <v>68</v>
      </c>
      <c r="J15" s="3" t="n">
        <v>79</v>
      </c>
      <c r="K15" s="2" t="n">
        <v>84</v>
      </c>
      <c r="L15" s="2" t="n">
        <v>94</v>
      </c>
      <c r="M15" s="2" t="n">
        <v>89</v>
      </c>
      <c r="N15" s="4">
        <f>IF(C15&gt;=80,"A+",IF(C15&gt;=70,"A",IF(C15&gt;=60,"A-",IF(C15&gt;=50,"B",IF(C15&gt;=40,"C",IF(C15&gt;=33,"D","F"))))))</f>
        <v/>
      </c>
      <c r="O15" s="4">
        <f>IF(D15/200*100&gt;=80,"A+",IF(D15/200*100&gt;=70,"A",IF(D15/200*100&gt;=60,"A-",IF(D15/200*100&gt;=50,"B",IF(D15/200*100&gt;=40,"C",IF(D15/200*100&gt;=33,"D","F"))))))</f>
        <v/>
      </c>
      <c r="P15" s="4">
        <f>IF(E15&gt;=80,"A+",IF(E15&gt;=70,"A",IF(E15&gt;=60,"A-",IF(E15&gt;=50,"B",IF(E15&gt;=40,"C",IF(E15&gt;=33,"D","F"))))))</f>
        <v/>
      </c>
      <c r="Q15" s="4">
        <f>IF(F15/200*100&gt;=80,"A+",IF(F15/200*100&gt;=70,"A",IF(F15/200*100&gt;=60,"A-",IF(F15/200*100&gt;=50,"B",IF(F15/200*100&gt;=40,"C",IF(F15/200*100&gt;=33,"D","F"))))))</f>
        <v/>
      </c>
      <c r="R15" s="4">
        <f>IF(G15/200*100&gt;=80,"A+",IF(G15/200*100&gt;=70,"A",IF(G15/200*100&gt;=60,"A-",IF(G15/200*100&gt;=50,"B",IF(G15/200*100&gt;=40,"C",IF(G15/200*100&gt;=33,"D","F"))))))</f>
        <v/>
      </c>
      <c r="S15" s="4">
        <f>IF(H15&gt;=80,"A+",IF(H15&gt;=70,"A",IF(H15&gt;=60,"A-",IF(H15&gt;=50,"B",IF(H15&gt;=40,"C",IF(H15&gt;=33,"D","F"))))))</f>
        <v/>
      </c>
      <c r="T15" s="4">
        <f>IF(I15&gt;=80,"A+",IF(I15&gt;=70,"A",IF(I15&gt;=60,"A-",IF(I15&gt;=50,"B",IF(I15&gt;=40,"C",IF(I15&gt;=33,"D","F"))))))</f>
        <v/>
      </c>
      <c r="U15" s="4">
        <f>IF(J15&gt;=80,"A+",IF(J15&gt;=70,"A",IF(J15&gt;=60,"A-",IF(J15&gt;=50,"B",IF(J15&gt;=40,"C",IF(J15&gt;=33,"D","F"))))))</f>
        <v/>
      </c>
      <c r="V15" s="4">
        <f>IF(K15&gt;=80,"A+",IF(K15&gt;=70,"A",IF(K15&gt;=60,"A-",IF(K15&gt;=50,"B",IF(K15&gt;=40,"C",IF(K15&gt;=33,"D","F"))))))</f>
        <v/>
      </c>
      <c r="W15" s="4">
        <f>IF(L15&gt;=33,"Pass","Fail")</f>
        <v/>
      </c>
      <c r="X15" s="4">
        <f>IF(M15&gt;=33,"Pass","Fail")</f>
        <v/>
      </c>
      <c r="Y15">
        <f>SUM(C15:J15)</f>
        <v/>
      </c>
      <c r="Z15" s="5">
        <f>ROUND(Y15/8,2)</f>
        <v/>
      </c>
      <c r="AA15" s="6">
        <f>IF(OR(C15&lt;33,D15&lt;66,E15&lt;33,F15&lt;66,G15&lt;66,H15&lt;33,I15&lt;33,J15&lt;33,L15&lt;33,M15&lt;33),0,MIN(5,ROUND((IF(C15&gt;=80,5,IF(C15&gt;=70,4,IF(C15&gt;=60,3.5,IF(C15&gt;=50,3,IF(C15&gt;=40,2,IF(C15&gt;=33,1,0))))))+IF(D15/200*100&gt;=80,5,IF(D15/200*100&gt;=70,4,IF(D15/200*100&gt;=60,3.5,IF(D15/200*100&gt;=50,3,IF(D15/200*100&gt;=40,2,IF(D15/200*100&gt;=33,1,0))))))+IF(E15&gt;=80,5,IF(E15&gt;=70,4,IF(E15&gt;=60,3.5,IF(E15&gt;=50,3,IF(E15&gt;=40,2,IF(E15&gt;=33,1,0))))))+IF(F15/200*100&gt;=80,5,IF(F15/200*100&gt;=70,4,IF(F15/200*100&gt;=60,3.5,IF(F15/200*100&gt;=50,3,IF(F15/200*100&gt;=40,2,IF(F15/200*100&gt;=33,1,0))))))+IF(G15/200*100&gt;=80,5,IF(G15/200*100&gt;=70,4,IF(G15/200*100&gt;=60,3.5,IF(G15/200*100&gt;=50,3,IF(G15/200*100&gt;=40,2,IF(G15/200*100&gt;=33,1,0))))))+IF(H15&gt;=80,5,IF(H15&gt;=70,4,IF(H15&gt;=60,3.5,IF(H15&gt;=50,3,IF(H15&gt;=40,2,IF(H15&gt;=33,1,0))))))+IF(I15&gt;=80,5,IF(I15&gt;=70,4,IF(I15&gt;=60,3.5,IF(I15&gt;=50,3,IF(I15&gt;=40,2,IF(I15&gt;=33,1,0))))))+IF(J15&gt;=80,5,IF(J15&gt;=70,4,IF(J15&gt;=60,3.5,IF(J15&gt;=50,3,IF(J15&gt;=40,2,IF(J15&gt;=33,1,0)))))))/8+IF(IF(K15&gt;=80,5,IF(K15&gt;=70,4,IF(K15&gt;=60,3.5,IF(K15&gt;=50,3,IF(K15&gt;=40,2,IF(K15&gt;=33,1,0))))))&gt;=2,(IF(K15&gt;=80,5,IF(K15&gt;=70,4,IF(K15&gt;=60,3.5,IF(K15&gt;=50,3,IF(K15&gt;=40,2,IF(K15&gt;=33,1,0))))))-2)/8,0),2)))</f>
        <v/>
      </c>
      <c r="AB15" s="4">
        <f>IF(AA15&gt;=5,"A+",IF(AA15&gt;=4,"A",IF(AA15&gt;=3.5,"A-",IF(AA15&gt;=3,"B",IF(AA15&gt;=2,"C",IF(AA15&gt;=1,"D","F"))))))</f>
        <v/>
      </c>
    </row>
    <row r="16">
      <c r="A16" t="n">
        <v>15</v>
      </c>
      <c r="B16" t="inlineStr">
        <is>
          <t>Imran Khan</t>
        </is>
      </c>
      <c r="C16" s="3" t="n">
        <v>67</v>
      </c>
      <c r="D16" s="2" t="n">
        <v>167</v>
      </c>
      <c r="E16" s="3" t="n">
        <v>62</v>
      </c>
      <c r="F16" s="3" t="n">
        <v>140</v>
      </c>
      <c r="G16" s="3" t="n">
        <v>133</v>
      </c>
      <c r="H16" s="3" t="n">
        <v>63</v>
      </c>
      <c r="I16" s="3" t="n">
        <v>77</v>
      </c>
      <c r="J16" s="3" t="n">
        <v>65</v>
      </c>
      <c r="K16" s="2" t="n">
        <v>83</v>
      </c>
      <c r="L16" s="2" t="n">
        <v>87</v>
      </c>
      <c r="M16" s="2" t="n">
        <v>91</v>
      </c>
      <c r="N16" s="4">
        <f>IF(C16&gt;=80,"A+",IF(C16&gt;=70,"A",IF(C16&gt;=60,"A-",IF(C16&gt;=50,"B",IF(C16&gt;=40,"C",IF(C16&gt;=33,"D","F"))))))</f>
        <v/>
      </c>
      <c r="O16" s="4">
        <f>IF(D16/200*100&gt;=80,"A+",IF(D16/200*100&gt;=70,"A",IF(D16/200*100&gt;=60,"A-",IF(D16/200*100&gt;=50,"B",IF(D16/200*100&gt;=40,"C",IF(D16/200*100&gt;=33,"D","F"))))))</f>
        <v/>
      </c>
      <c r="P16" s="4">
        <f>IF(E16&gt;=80,"A+",IF(E16&gt;=70,"A",IF(E16&gt;=60,"A-",IF(E16&gt;=50,"B",IF(E16&gt;=40,"C",IF(E16&gt;=33,"D","F"))))))</f>
        <v/>
      </c>
      <c r="Q16" s="4">
        <f>IF(F16/200*100&gt;=80,"A+",IF(F16/200*100&gt;=70,"A",IF(F16/200*100&gt;=60,"A-",IF(F16/200*100&gt;=50,"B",IF(F16/200*100&gt;=40,"C",IF(F16/200*100&gt;=33,"D","F"))))))</f>
        <v/>
      </c>
      <c r="R16" s="4">
        <f>IF(G16/200*100&gt;=80,"A+",IF(G16/200*100&gt;=70,"A",IF(G16/200*100&gt;=60,"A-",IF(G16/200*100&gt;=50,"B",IF(G16/200*100&gt;=40,"C",IF(G16/200*100&gt;=33,"D","F"))))))</f>
        <v/>
      </c>
      <c r="S16" s="4">
        <f>IF(H16&gt;=80,"A+",IF(H16&gt;=70,"A",IF(H16&gt;=60,"A-",IF(H16&gt;=50,"B",IF(H16&gt;=40,"C",IF(H16&gt;=33,"D","F"))))))</f>
        <v/>
      </c>
      <c r="T16" s="4">
        <f>IF(I16&gt;=80,"A+",IF(I16&gt;=70,"A",IF(I16&gt;=60,"A-",IF(I16&gt;=50,"B",IF(I16&gt;=40,"C",IF(I16&gt;=33,"D","F"))))))</f>
        <v/>
      </c>
      <c r="U16" s="4">
        <f>IF(J16&gt;=80,"A+",IF(J16&gt;=70,"A",IF(J16&gt;=60,"A-",IF(J16&gt;=50,"B",IF(J16&gt;=40,"C",IF(J16&gt;=33,"D","F"))))))</f>
        <v/>
      </c>
      <c r="V16" s="4">
        <f>IF(K16&gt;=80,"A+",IF(K16&gt;=70,"A",IF(K16&gt;=60,"A-",IF(K16&gt;=50,"B",IF(K16&gt;=40,"C",IF(K16&gt;=33,"D","F"))))))</f>
        <v/>
      </c>
      <c r="W16" s="4">
        <f>IF(L16&gt;=33,"Pass","Fail")</f>
        <v/>
      </c>
      <c r="X16" s="4">
        <f>IF(M16&gt;=33,"Pass","Fail")</f>
        <v/>
      </c>
      <c r="Y16">
        <f>SUM(C16:J16)</f>
        <v/>
      </c>
      <c r="Z16" s="5">
        <f>ROUND(Y16/8,2)</f>
        <v/>
      </c>
      <c r="AA16" s="6">
        <f>IF(OR(C16&lt;33,D16&lt;66,E16&lt;33,F16&lt;66,G16&lt;66,H16&lt;33,I16&lt;33,J16&lt;33,L16&lt;33,M16&lt;33),0,MIN(5,ROUND((IF(C16&gt;=80,5,IF(C16&gt;=70,4,IF(C16&gt;=60,3.5,IF(C16&gt;=50,3,IF(C16&gt;=40,2,IF(C16&gt;=33,1,0))))))+IF(D16/200*100&gt;=80,5,IF(D16/200*100&gt;=70,4,IF(D16/200*100&gt;=60,3.5,IF(D16/200*100&gt;=50,3,IF(D16/200*100&gt;=40,2,IF(D16/200*100&gt;=33,1,0))))))+IF(E16&gt;=80,5,IF(E16&gt;=70,4,IF(E16&gt;=60,3.5,IF(E16&gt;=50,3,IF(E16&gt;=40,2,IF(E16&gt;=33,1,0))))))+IF(F16/200*100&gt;=80,5,IF(F16/200*100&gt;=70,4,IF(F16/200*100&gt;=60,3.5,IF(F16/200*100&gt;=50,3,IF(F16/200*100&gt;=40,2,IF(F16/200*100&gt;=33,1,0))))))+IF(G16/200*100&gt;=80,5,IF(G16/200*100&gt;=70,4,IF(G16/200*100&gt;=60,3.5,IF(G16/200*100&gt;=50,3,IF(G16/200*100&gt;=40,2,IF(G16/200*100&gt;=33,1,0))))))+IF(H16&gt;=80,5,IF(H16&gt;=70,4,IF(H16&gt;=60,3.5,IF(H16&gt;=50,3,IF(H16&gt;=40,2,IF(H16&gt;=33,1,0))))))+IF(I16&gt;=80,5,IF(I16&gt;=70,4,IF(I16&gt;=60,3.5,IF(I16&gt;=50,3,IF(I16&gt;=40,2,IF(I16&gt;=33,1,0))))))+IF(J16&gt;=80,5,IF(J16&gt;=70,4,IF(J16&gt;=60,3.5,IF(J16&gt;=50,3,IF(J16&gt;=40,2,IF(J16&gt;=33,1,0)))))))/8+IF(IF(K16&gt;=80,5,IF(K16&gt;=70,4,IF(K16&gt;=60,3.5,IF(K16&gt;=50,3,IF(K16&gt;=40,2,IF(K16&gt;=33,1,0))))))&gt;=2,(IF(K16&gt;=80,5,IF(K16&gt;=70,4,IF(K16&gt;=60,3.5,IF(K16&gt;=50,3,IF(K16&gt;=40,2,IF(K16&gt;=33,1,0))))))-2)/8,0),2)))</f>
        <v/>
      </c>
      <c r="AB16" s="4">
        <f>IF(AA16&gt;=5,"A+",IF(AA16&gt;=4,"A",IF(AA16&gt;=3.5,"A-",IF(AA16&gt;=3,"B",IF(AA16&gt;=2,"C",IF(AA16&gt;=1,"D","F"))))))</f>
        <v/>
      </c>
    </row>
    <row r="17">
      <c r="A17" t="n">
        <v>16</v>
      </c>
      <c r="B17" t="inlineStr">
        <is>
          <t>Rafia Islam</t>
        </is>
      </c>
      <c r="C17" s="2" t="n">
        <v>83</v>
      </c>
      <c r="D17" s="3" t="n">
        <v>147</v>
      </c>
      <c r="E17" s="2" t="n">
        <v>89</v>
      </c>
      <c r="F17" s="2" t="n">
        <v>167</v>
      </c>
      <c r="G17" s="3" t="n">
        <v>152</v>
      </c>
      <c r="H17" s="2" t="n">
        <v>87</v>
      </c>
      <c r="I17" s="2" t="n">
        <v>87</v>
      </c>
      <c r="J17" s="2" t="n">
        <v>95</v>
      </c>
      <c r="K17" s="7" t="n">
        <v>50</v>
      </c>
      <c r="L17" s="2" t="n">
        <v>94</v>
      </c>
      <c r="M17" s="2" t="n">
        <v>89</v>
      </c>
      <c r="N17" s="4">
        <f>IF(C17&gt;=80,"A+",IF(C17&gt;=70,"A",IF(C17&gt;=60,"A-",IF(C17&gt;=50,"B",IF(C17&gt;=40,"C",IF(C17&gt;=33,"D","F"))))))</f>
        <v/>
      </c>
      <c r="O17" s="4">
        <f>IF(D17/200*100&gt;=80,"A+",IF(D17/200*100&gt;=70,"A",IF(D17/200*100&gt;=60,"A-",IF(D17/200*100&gt;=50,"B",IF(D17/200*100&gt;=40,"C",IF(D17/200*100&gt;=33,"D","F"))))))</f>
        <v/>
      </c>
      <c r="P17" s="4">
        <f>IF(E17&gt;=80,"A+",IF(E17&gt;=70,"A",IF(E17&gt;=60,"A-",IF(E17&gt;=50,"B",IF(E17&gt;=40,"C",IF(E17&gt;=33,"D","F"))))))</f>
        <v/>
      </c>
      <c r="Q17" s="4">
        <f>IF(F17/200*100&gt;=80,"A+",IF(F17/200*100&gt;=70,"A",IF(F17/200*100&gt;=60,"A-",IF(F17/200*100&gt;=50,"B",IF(F17/200*100&gt;=40,"C",IF(F17/200*100&gt;=33,"D","F"))))))</f>
        <v/>
      </c>
      <c r="R17" s="4">
        <f>IF(G17/200*100&gt;=80,"A+",IF(G17/200*100&gt;=70,"A",IF(G17/200*100&gt;=60,"A-",IF(G17/200*100&gt;=50,"B",IF(G17/200*100&gt;=40,"C",IF(G17/200*100&gt;=33,"D","F"))))))</f>
        <v/>
      </c>
      <c r="S17" s="4">
        <f>IF(H17&gt;=80,"A+",IF(H17&gt;=70,"A",IF(H17&gt;=60,"A-",IF(H17&gt;=50,"B",IF(H17&gt;=40,"C",IF(H17&gt;=33,"D","F"))))))</f>
        <v/>
      </c>
      <c r="T17" s="4">
        <f>IF(I17&gt;=80,"A+",IF(I17&gt;=70,"A",IF(I17&gt;=60,"A-",IF(I17&gt;=50,"B",IF(I17&gt;=40,"C",IF(I17&gt;=33,"D","F"))))))</f>
        <v/>
      </c>
      <c r="U17" s="4">
        <f>IF(J17&gt;=80,"A+",IF(J17&gt;=70,"A",IF(J17&gt;=60,"A-",IF(J17&gt;=50,"B",IF(J17&gt;=40,"C",IF(J17&gt;=33,"D","F"))))))</f>
        <v/>
      </c>
      <c r="V17" s="4">
        <f>IF(K17&gt;=80,"A+",IF(K17&gt;=70,"A",IF(K17&gt;=60,"A-",IF(K17&gt;=50,"B",IF(K17&gt;=40,"C",IF(K17&gt;=33,"D","F"))))))</f>
        <v/>
      </c>
      <c r="W17" s="4">
        <f>IF(L17&gt;=33,"Pass","Fail")</f>
        <v/>
      </c>
      <c r="X17" s="4">
        <f>IF(M17&gt;=33,"Pass","Fail")</f>
        <v/>
      </c>
      <c r="Y17">
        <f>SUM(C17:J17)</f>
        <v/>
      </c>
      <c r="Z17" s="5">
        <f>ROUND(Y17/8,2)</f>
        <v/>
      </c>
      <c r="AA17" s="6">
        <f>IF(OR(C17&lt;33,D17&lt;66,E17&lt;33,F17&lt;66,G17&lt;66,H17&lt;33,I17&lt;33,J17&lt;33,L17&lt;33,M17&lt;33),0,MIN(5,ROUND((IF(C17&gt;=80,5,IF(C17&gt;=70,4,IF(C17&gt;=60,3.5,IF(C17&gt;=50,3,IF(C17&gt;=40,2,IF(C17&gt;=33,1,0))))))+IF(D17/200*100&gt;=80,5,IF(D17/200*100&gt;=70,4,IF(D17/200*100&gt;=60,3.5,IF(D17/200*100&gt;=50,3,IF(D17/200*100&gt;=40,2,IF(D17/200*100&gt;=33,1,0))))))+IF(E17&gt;=80,5,IF(E17&gt;=70,4,IF(E17&gt;=60,3.5,IF(E17&gt;=50,3,IF(E17&gt;=40,2,IF(E17&gt;=33,1,0))))))+IF(F17/200*100&gt;=80,5,IF(F17/200*100&gt;=70,4,IF(F17/200*100&gt;=60,3.5,IF(F17/200*100&gt;=50,3,IF(F17/200*100&gt;=40,2,IF(F17/200*100&gt;=33,1,0))))))+IF(G17/200*100&gt;=80,5,IF(G17/200*100&gt;=70,4,IF(G17/200*100&gt;=60,3.5,IF(G17/200*100&gt;=50,3,IF(G17/200*100&gt;=40,2,IF(G17/200*100&gt;=33,1,0))))))+IF(H17&gt;=80,5,IF(H17&gt;=70,4,IF(H17&gt;=60,3.5,IF(H17&gt;=50,3,IF(H17&gt;=40,2,IF(H17&gt;=33,1,0))))))+IF(I17&gt;=80,5,IF(I17&gt;=70,4,IF(I17&gt;=60,3.5,IF(I17&gt;=50,3,IF(I17&gt;=40,2,IF(I17&gt;=33,1,0))))))+IF(J17&gt;=80,5,IF(J17&gt;=70,4,IF(J17&gt;=60,3.5,IF(J17&gt;=50,3,IF(J17&gt;=40,2,IF(J17&gt;=33,1,0)))))))/8+IF(IF(K17&gt;=80,5,IF(K17&gt;=70,4,IF(K17&gt;=60,3.5,IF(K17&gt;=50,3,IF(K17&gt;=40,2,IF(K17&gt;=33,1,0))))))&gt;=2,(IF(K17&gt;=80,5,IF(K17&gt;=70,4,IF(K17&gt;=60,3.5,IF(K17&gt;=50,3,IF(K17&gt;=40,2,IF(K17&gt;=33,1,0))))))-2)/8,0),2)))</f>
        <v/>
      </c>
      <c r="AB17" s="4">
        <f>IF(AA17&gt;=5,"A+",IF(AA17&gt;=4,"A",IF(AA17&gt;=3.5,"A-",IF(AA17&gt;=3,"B",IF(AA17&gt;=2,"C",IF(AA17&gt;=1,"D","F"))))))</f>
        <v/>
      </c>
    </row>
    <row r="18">
      <c r="A18" t="n">
        <v>17</v>
      </c>
      <c r="B18" t="inlineStr">
        <is>
          <t>Shakib Rahman</t>
        </is>
      </c>
      <c r="C18" s="3" t="n">
        <v>78</v>
      </c>
      <c r="D18" s="2" t="n">
        <v>181</v>
      </c>
      <c r="E18" s="2" t="n">
        <v>94</v>
      </c>
      <c r="F18" s="2" t="n">
        <v>165</v>
      </c>
      <c r="G18" s="2" t="n">
        <v>165</v>
      </c>
      <c r="H18" s="2" t="n">
        <v>86</v>
      </c>
      <c r="I18" s="2" t="n">
        <v>90</v>
      </c>
      <c r="J18" s="2" t="n">
        <v>88</v>
      </c>
      <c r="K18" s="2" t="n">
        <v>88</v>
      </c>
      <c r="L18" s="3" t="n">
        <v>74</v>
      </c>
      <c r="M18" s="3" t="n">
        <v>78</v>
      </c>
      <c r="N18" s="4">
        <f>IF(C18&gt;=80,"A+",IF(C18&gt;=70,"A",IF(C18&gt;=60,"A-",IF(C18&gt;=50,"B",IF(C18&gt;=40,"C",IF(C18&gt;=33,"D","F"))))))</f>
        <v/>
      </c>
      <c r="O18" s="4">
        <f>IF(D18/200*100&gt;=80,"A+",IF(D18/200*100&gt;=70,"A",IF(D18/200*100&gt;=60,"A-",IF(D18/200*100&gt;=50,"B",IF(D18/200*100&gt;=40,"C",IF(D18/200*100&gt;=33,"D","F"))))))</f>
        <v/>
      </c>
      <c r="P18" s="4">
        <f>IF(E18&gt;=80,"A+",IF(E18&gt;=70,"A",IF(E18&gt;=60,"A-",IF(E18&gt;=50,"B",IF(E18&gt;=40,"C",IF(E18&gt;=33,"D","F"))))))</f>
        <v/>
      </c>
      <c r="Q18" s="4">
        <f>IF(F18/200*100&gt;=80,"A+",IF(F18/200*100&gt;=70,"A",IF(F18/200*100&gt;=60,"A-",IF(F18/200*100&gt;=50,"B",IF(F18/200*100&gt;=40,"C",IF(F18/200*100&gt;=33,"D","F"))))))</f>
        <v/>
      </c>
      <c r="R18" s="4">
        <f>IF(G18/200*100&gt;=80,"A+",IF(G18/200*100&gt;=70,"A",IF(G18/200*100&gt;=60,"A-",IF(G18/200*100&gt;=50,"B",IF(G18/200*100&gt;=40,"C",IF(G18/200*100&gt;=33,"D","F"))))))</f>
        <v/>
      </c>
      <c r="S18" s="4">
        <f>IF(H18&gt;=80,"A+",IF(H18&gt;=70,"A",IF(H18&gt;=60,"A-",IF(H18&gt;=50,"B",IF(H18&gt;=40,"C",IF(H18&gt;=33,"D","F"))))))</f>
        <v/>
      </c>
      <c r="T18" s="4">
        <f>IF(I18&gt;=80,"A+",IF(I18&gt;=70,"A",IF(I18&gt;=60,"A-",IF(I18&gt;=50,"B",IF(I18&gt;=40,"C",IF(I18&gt;=33,"D","F"))))))</f>
        <v/>
      </c>
      <c r="U18" s="4">
        <f>IF(J18&gt;=80,"A+",IF(J18&gt;=70,"A",IF(J18&gt;=60,"A-",IF(J18&gt;=50,"B",IF(J18&gt;=40,"C",IF(J18&gt;=33,"D","F"))))))</f>
        <v/>
      </c>
      <c r="V18" s="4">
        <f>IF(K18&gt;=80,"A+",IF(K18&gt;=70,"A",IF(K18&gt;=60,"A-",IF(K18&gt;=50,"B",IF(K18&gt;=40,"C",IF(K18&gt;=33,"D","F"))))))</f>
        <v/>
      </c>
      <c r="W18" s="4">
        <f>IF(L18&gt;=33,"Pass","Fail")</f>
        <v/>
      </c>
      <c r="X18" s="4">
        <f>IF(M18&gt;=33,"Pass","Fail")</f>
        <v/>
      </c>
      <c r="Y18">
        <f>SUM(C18:J18)</f>
        <v/>
      </c>
      <c r="Z18" s="5">
        <f>ROUND(Y18/8,2)</f>
        <v/>
      </c>
      <c r="AA18" s="6">
        <f>IF(OR(C18&lt;33,D18&lt;66,E18&lt;33,F18&lt;66,G18&lt;66,H18&lt;33,I18&lt;33,J18&lt;33,L18&lt;33,M18&lt;33),0,MIN(5,ROUND((IF(C18&gt;=80,5,IF(C18&gt;=70,4,IF(C18&gt;=60,3.5,IF(C18&gt;=50,3,IF(C18&gt;=40,2,IF(C18&gt;=33,1,0))))))+IF(D18/200*100&gt;=80,5,IF(D18/200*100&gt;=70,4,IF(D18/200*100&gt;=60,3.5,IF(D18/200*100&gt;=50,3,IF(D18/200*100&gt;=40,2,IF(D18/200*100&gt;=33,1,0))))))+IF(E18&gt;=80,5,IF(E18&gt;=70,4,IF(E18&gt;=60,3.5,IF(E18&gt;=50,3,IF(E18&gt;=40,2,IF(E18&gt;=33,1,0))))))+IF(F18/200*100&gt;=80,5,IF(F18/200*100&gt;=70,4,IF(F18/200*100&gt;=60,3.5,IF(F18/200*100&gt;=50,3,IF(F18/200*100&gt;=40,2,IF(F18/200*100&gt;=33,1,0))))))+IF(G18/200*100&gt;=80,5,IF(G18/200*100&gt;=70,4,IF(G18/200*100&gt;=60,3.5,IF(G18/200*100&gt;=50,3,IF(G18/200*100&gt;=40,2,IF(G18/200*100&gt;=33,1,0))))))+IF(H18&gt;=80,5,IF(H18&gt;=70,4,IF(H18&gt;=60,3.5,IF(H18&gt;=50,3,IF(H18&gt;=40,2,IF(H18&gt;=33,1,0))))))+IF(I18&gt;=80,5,IF(I18&gt;=70,4,IF(I18&gt;=60,3.5,IF(I18&gt;=50,3,IF(I18&gt;=40,2,IF(I18&gt;=33,1,0))))))+IF(J18&gt;=80,5,IF(J18&gt;=70,4,IF(J18&gt;=60,3.5,IF(J18&gt;=50,3,IF(J18&gt;=40,2,IF(J18&gt;=33,1,0)))))))/8+IF(IF(K18&gt;=80,5,IF(K18&gt;=70,4,IF(K18&gt;=60,3.5,IF(K18&gt;=50,3,IF(K18&gt;=40,2,IF(K18&gt;=33,1,0))))))&gt;=2,(IF(K18&gt;=80,5,IF(K18&gt;=70,4,IF(K18&gt;=60,3.5,IF(K18&gt;=50,3,IF(K18&gt;=40,2,IF(K18&gt;=33,1,0))))))-2)/8,0),2)))</f>
        <v/>
      </c>
      <c r="AB18" s="4">
        <f>IF(AA18&gt;=5,"A+",IF(AA18&gt;=4,"A",IF(AA18&gt;=3.5,"A-",IF(AA18&gt;=3,"B",IF(AA18&gt;=2,"C",IF(AA18&gt;=1,"D","F"))))))</f>
        <v/>
      </c>
    </row>
    <row r="19">
      <c r="A19" t="n">
        <v>18</v>
      </c>
      <c r="B19" t="inlineStr">
        <is>
          <t>Nusrat Jahan</t>
        </is>
      </c>
      <c r="C19" s="3" t="n">
        <v>66</v>
      </c>
      <c r="D19" s="2" t="n">
        <v>185</v>
      </c>
      <c r="E19" s="3" t="n">
        <v>67</v>
      </c>
      <c r="F19" s="3" t="n">
        <v>146</v>
      </c>
      <c r="G19" s="3" t="n">
        <v>152</v>
      </c>
      <c r="H19" s="3" t="n">
        <v>60</v>
      </c>
      <c r="I19" s="3" t="n">
        <v>60</v>
      </c>
      <c r="J19" s="2" t="n">
        <v>93</v>
      </c>
      <c r="K19" s="3" t="n">
        <v>70</v>
      </c>
      <c r="L19" s="3" t="n">
        <v>74</v>
      </c>
      <c r="M19" s="2" t="n">
        <v>82</v>
      </c>
      <c r="N19" s="4">
        <f>IF(C19&gt;=80,"A+",IF(C19&gt;=70,"A",IF(C19&gt;=60,"A-",IF(C19&gt;=50,"B",IF(C19&gt;=40,"C",IF(C19&gt;=33,"D","F"))))))</f>
        <v/>
      </c>
      <c r="O19" s="4">
        <f>IF(D19/200*100&gt;=80,"A+",IF(D19/200*100&gt;=70,"A",IF(D19/200*100&gt;=60,"A-",IF(D19/200*100&gt;=50,"B",IF(D19/200*100&gt;=40,"C",IF(D19/200*100&gt;=33,"D","F"))))))</f>
        <v/>
      </c>
      <c r="P19" s="4">
        <f>IF(E19&gt;=80,"A+",IF(E19&gt;=70,"A",IF(E19&gt;=60,"A-",IF(E19&gt;=50,"B",IF(E19&gt;=40,"C",IF(E19&gt;=33,"D","F"))))))</f>
        <v/>
      </c>
      <c r="Q19" s="4">
        <f>IF(F19/200*100&gt;=80,"A+",IF(F19/200*100&gt;=70,"A",IF(F19/200*100&gt;=60,"A-",IF(F19/200*100&gt;=50,"B",IF(F19/200*100&gt;=40,"C",IF(F19/200*100&gt;=33,"D","F"))))))</f>
        <v/>
      </c>
      <c r="R19" s="4">
        <f>IF(G19/200*100&gt;=80,"A+",IF(G19/200*100&gt;=70,"A",IF(G19/200*100&gt;=60,"A-",IF(G19/200*100&gt;=50,"B",IF(G19/200*100&gt;=40,"C",IF(G19/200*100&gt;=33,"D","F"))))))</f>
        <v/>
      </c>
      <c r="S19" s="4">
        <f>IF(H19&gt;=80,"A+",IF(H19&gt;=70,"A",IF(H19&gt;=60,"A-",IF(H19&gt;=50,"B",IF(H19&gt;=40,"C",IF(H19&gt;=33,"D","F"))))))</f>
        <v/>
      </c>
      <c r="T19" s="4">
        <f>IF(I19&gt;=80,"A+",IF(I19&gt;=70,"A",IF(I19&gt;=60,"A-",IF(I19&gt;=50,"B",IF(I19&gt;=40,"C",IF(I19&gt;=33,"D","F"))))))</f>
        <v/>
      </c>
      <c r="U19" s="4">
        <f>IF(J19&gt;=80,"A+",IF(J19&gt;=70,"A",IF(J19&gt;=60,"A-",IF(J19&gt;=50,"B",IF(J19&gt;=40,"C",IF(J19&gt;=33,"D","F"))))))</f>
        <v/>
      </c>
      <c r="V19" s="4">
        <f>IF(K19&gt;=80,"A+",IF(K19&gt;=70,"A",IF(K19&gt;=60,"A-",IF(K19&gt;=50,"B",IF(K19&gt;=40,"C",IF(K19&gt;=33,"D","F"))))))</f>
        <v/>
      </c>
      <c r="W19" s="4">
        <f>IF(L19&gt;=33,"Pass","Fail")</f>
        <v/>
      </c>
      <c r="X19" s="4">
        <f>IF(M19&gt;=33,"Pass","Fail")</f>
        <v/>
      </c>
      <c r="Y19">
        <f>SUM(C19:J19)</f>
        <v/>
      </c>
      <c r="Z19" s="5">
        <f>ROUND(Y19/8,2)</f>
        <v/>
      </c>
      <c r="AA19" s="6">
        <f>IF(OR(C19&lt;33,D19&lt;66,E19&lt;33,F19&lt;66,G19&lt;66,H19&lt;33,I19&lt;33,J19&lt;33,L19&lt;33,M19&lt;33),0,MIN(5,ROUND((IF(C19&gt;=80,5,IF(C19&gt;=70,4,IF(C19&gt;=60,3.5,IF(C19&gt;=50,3,IF(C19&gt;=40,2,IF(C19&gt;=33,1,0))))))+IF(D19/200*100&gt;=80,5,IF(D19/200*100&gt;=70,4,IF(D19/200*100&gt;=60,3.5,IF(D19/200*100&gt;=50,3,IF(D19/200*100&gt;=40,2,IF(D19/200*100&gt;=33,1,0))))))+IF(E19&gt;=80,5,IF(E19&gt;=70,4,IF(E19&gt;=60,3.5,IF(E19&gt;=50,3,IF(E19&gt;=40,2,IF(E19&gt;=33,1,0))))))+IF(F19/200*100&gt;=80,5,IF(F19/200*100&gt;=70,4,IF(F19/200*100&gt;=60,3.5,IF(F19/200*100&gt;=50,3,IF(F19/200*100&gt;=40,2,IF(F19/200*100&gt;=33,1,0))))))+IF(G19/200*100&gt;=80,5,IF(G19/200*100&gt;=70,4,IF(G19/200*100&gt;=60,3.5,IF(G19/200*100&gt;=50,3,IF(G19/200*100&gt;=40,2,IF(G19/200*100&gt;=33,1,0))))))+IF(H19&gt;=80,5,IF(H19&gt;=70,4,IF(H19&gt;=60,3.5,IF(H19&gt;=50,3,IF(H19&gt;=40,2,IF(H19&gt;=33,1,0))))))+IF(I19&gt;=80,5,IF(I19&gt;=70,4,IF(I19&gt;=60,3.5,IF(I19&gt;=50,3,IF(I19&gt;=40,2,IF(I19&gt;=33,1,0))))))+IF(J19&gt;=80,5,IF(J19&gt;=70,4,IF(J19&gt;=60,3.5,IF(J19&gt;=50,3,IF(J19&gt;=40,2,IF(J19&gt;=33,1,0)))))))/8+IF(IF(K19&gt;=80,5,IF(K19&gt;=70,4,IF(K19&gt;=60,3.5,IF(K19&gt;=50,3,IF(K19&gt;=40,2,IF(K19&gt;=33,1,0))))))&gt;=2,(IF(K19&gt;=80,5,IF(K19&gt;=70,4,IF(K19&gt;=60,3.5,IF(K19&gt;=50,3,IF(K19&gt;=40,2,IF(K19&gt;=33,1,0))))))-2)/8,0),2)))</f>
        <v/>
      </c>
      <c r="AB19" s="4">
        <f>IF(AA19&gt;=5,"A+",IF(AA19&gt;=4,"A",IF(AA19&gt;=3.5,"A-",IF(AA19&gt;=3,"B",IF(AA19&gt;=2,"C",IF(AA19&gt;=1,"D","F"))))))</f>
        <v/>
      </c>
    </row>
    <row r="20">
      <c r="A20" t="n">
        <v>19</v>
      </c>
      <c r="B20" t="inlineStr">
        <is>
          <t>Arif Hossain</t>
        </is>
      </c>
      <c r="C20" s="3" t="n">
        <v>65</v>
      </c>
      <c r="D20" s="3" t="n">
        <v>130</v>
      </c>
      <c r="E20" s="2" t="n">
        <v>84</v>
      </c>
      <c r="F20" s="3" t="n">
        <v>154</v>
      </c>
      <c r="G20" s="2" t="n">
        <v>188</v>
      </c>
      <c r="H20" s="7" t="n">
        <v>58</v>
      </c>
      <c r="I20" s="2" t="n">
        <v>81</v>
      </c>
      <c r="J20" s="2" t="n">
        <v>88</v>
      </c>
      <c r="K20" s="2" t="n">
        <v>81</v>
      </c>
      <c r="L20" s="2" t="n">
        <v>91</v>
      </c>
      <c r="M20" s="2" t="n">
        <v>82</v>
      </c>
      <c r="N20" s="4">
        <f>IF(C20&gt;=80,"A+",IF(C20&gt;=70,"A",IF(C20&gt;=60,"A-",IF(C20&gt;=50,"B",IF(C20&gt;=40,"C",IF(C20&gt;=33,"D","F"))))))</f>
        <v/>
      </c>
      <c r="O20" s="4">
        <f>IF(D20/200*100&gt;=80,"A+",IF(D20/200*100&gt;=70,"A",IF(D20/200*100&gt;=60,"A-",IF(D20/200*100&gt;=50,"B",IF(D20/200*100&gt;=40,"C",IF(D20/200*100&gt;=33,"D","F"))))))</f>
        <v/>
      </c>
      <c r="P20" s="4">
        <f>IF(E20&gt;=80,"A+",IF(E20&gt;=70,"A",IF(E20&gt;=60,"A-",IF(E20&gt;=50,"B",IF(E20&gt;=40,"C",IF(E20&gt;=33,"D","F"))))))</f>
        <v/>
      </c>
      <c r="Q20" s="4">
        <f>IF(F20/200*100&gt;=80,"A+",IF(F20/200*100&gt;=70,"A",IF(F20/200*100&gt;=60,"A-",IF(F20/200*100&gt;=50,"B",IF(F20/200*100&gt;=40,"C",IF(F20/200*100&gt;=33,"D","F"))))))</f>
        <v/>
      </c>
      <c r="R20" s="4">
        <f>IF(G20/200*100&gt;=80,"A+",IF(G20/200*100&gt;=70,"A",IF(G20/200*100&gt;=60,"A-",IF(G20/200*100&gt;=50,"B",IF(G20/200*100&gt;=40,"C",IF(G20/200*100&gt;=33,"D","F"))))))</f>
        <v/>
      </c>
      <c r="S20" s="4">
        <f>IF(H20&gt;=80,"A+",IF(H20&gt;=70,"A",IF(H20&gt;=60,"A-",IF(H20&gt;=50,"B",IF(H20&gt;=40,"C",IF(H20&gt;=33,"D","F"))))))</f>
        <v/>
      </c>
      <c r="T20" s="4">
        <f>IF(I20&gt;=80,"A+",IF(I20&gt;=70,"A",IF(I20&gt;=60,"A-",IF(I20&gt;=50,"B",IF(I20&gt;=40,"C",IF(I20&gt;=33,"D","F"))))))</f>
        <v/>
      </c>
      <c r="U20" s="4">
        <f>IF(J20&gt;=80,"A+",IF(J20&gt;=70,"A",IF(J20&gt;=60,"A-",IF(J20&gt;=50,"B",IF(J20&gt;=40,"C",IF(J20&gt;=33,"D","F"))))))</f>
        <v/>
      </c>
      <c r="V20" s="4">
        <f>IF(K20&gt;=80,"A+",IF(K20&gt;=70,"A",IF(K20&gt;=60,"A-",IF(K20&gt;=50,"B",IF(K20&gt;=40,"C",IF(K20&gt;=33,"D","F"))))))</f>
        <v/>
      </c>
      <c r="W20" s="4">
        <f>IF(L20&gt;=33,"Pass","Fail")</f>
        <v/>
      </c>
      <c r="X20" s="4">
        <f>IF(M20&gt;=33,"Pass","Fail")</f>
        <v/>
      </c>
      <c r="Y20">
        <f>SUM(C20:J20)</f>
        <v/>
      </c>
      <c r="Z20" s="5">
        <f>ROUND(Y20/8,2)</f>
        <v/>
      </c>
      <c r="AA20" s="6">
        <f>IF(OR(C20&lt;33,D20&lt;66,E20&lt;33,F20&lt;66,G20&lt;66,H20&lt;33,I20&lt;33,J20&lt;33,L20&lt;33,M20&lt;33),0,MIN(5,ROUND((IF(C20&gt;=80,5,IF(C20&gt;=70,4,IF(C20&gt;=60,3.5,IF(C20&gt;=50,3,IF(C20&gt;=40,2,IF(C20&gt;=33,1,0))))))+IF(D20/200*100&gt;=80,5,IF(D20/200*100&gt;=70,4,IF(D20/200*100&gt;=60,3.5,IF(D20/200*100&gt;=50,3,IF(D20/200*100&gt;=40,2,IF(D20/200*100&gt;=33,1,0))))))+IF(E20&gt;=80,5,IF(E20&gt;=70,4,IF(E20&gt;=60,3.5,IF(E20&gt;=50,3,IF(E20&gt;=40,2,IF(E20&gt;=33,1,0))))))+IF(F20/200*100&gt;=80,5,IF(F20/200*100&gt;=70,4,IF(F20/200*100&gt;=60,3.5,IF(F20/200*100&gt;=50,3,IF(F20/200*100&gt;=40,2,IF(F20/200*100&gt;=33,1,0))))))+IF(G20/200*100&gt;=80,5,IF(G20/200*100&gt;=70,4,IF(G20/200*100&gt;=60,3.5,IF(G20/200*100&gt;=50,3,IF(G20/200*100&gt;=40,2,IF(G20/200*100&gt;=33,1,0))))))+IF(H20&gt;=80,5,IF(H20&gt;=70,4,IF(H20&gt;=60,3.5,IF(H20&gt;=50,3,IF(H20&gt;=40,2,IF(H20&gt;=33,1,0))))))+IF(I20&gt;=80,5,IF(I20&gt;=70,4,IF(I20&gt;=60,3.5,IF(I20&gt;=50,3,IF(I20&gt;=40,2,IF(I20&gt;=33,1,0))))))+IF(J20&gt;=80,5,IF(J20&gt;=70,4,IF(J20&gt;=60,3.5,IF(J20&gt;=50,3,IF(J20&gt;=40,2,IF(J20&gt;=33,1,0)))))))/8+IF(IF(K20&gt;=80,5,IF(K20&gt;=70,4,IF(K20&gt;=60,3.5,IF(K20&gt;=50,3,IF(K20&gt;=40,2,IF(K20&gt;=33,1,0))))))&gt;=2,(IF(K20&gt;=80,5,IF(K20&gt;=70,4,IF(K20&gt;=60,3.5,IF(K20&gt;=50,3,IF(K20&gt;=40,2,IF(K20&gt;=33,1,0))))))-2)/8,0),2)))</f>
        <v/>
      </c>
      <c r="AB20" s="4">
        <f>IF(AA20&gt;=5,"A+",IF(AA20&gt;=4,"A",IF(AA20&gt;=3.5,"A-",IF(AA20&gt;=3,"B",IF(AA20&gt;=2,"C",IF(AA20&gt;=1,"D","F"))))))</f>
        <v/>
      </c>
    </row>
    <row r="21">
      <c r="A21" t="n">
        <v>20</v>
      </c>
      <c r="B21" t="inlineStr">
        <is>
          <t>Tasnia Akter</t>
        </is>
      </c>
      <c r="C21" s="3" t="n">
        <v>67</v>
      </c>
      <c r="D21" s="2" t="n">
        <v>178</v>
      </c>
      <c r="E21" s="3" t="n">
        <v>65</v>
      </c>
      <c r="F21" s="3" t="n">
        <v>129</v>
      </c>
      <c r="G21" s="2" t="n">
        <v>175</v>
      </c>
      <c r="H21" s="3" t="n">
        <v>62</v>
      </c>
      <c r="I21" s="2" t="n">
        <v>83</v>
      </c>
      <c r="J21" s="3" t="n">
        <v>73</v>
      </c>
      <c r="K21" s="7" t="n">
        <v>51</v>
      </c>
      <c r="L21" s="2" t="n">
        <v>85</v>
      </c>
      <c r="M21" s="3" t="n">
        <v>77</v>
      </c>
      <c r="N21" s="4">
        <f>IF(C21&gt;=80,"A+",IF(C21&gt;=70,"A",IF(C21&gt;=60,"A-",IF(C21&gt;=50,"B",IF(C21&gt;=40,"C",IF(C21&gt;=33,"D","F"))))))</f>
        <v/>
      </c>
      <c r="O21" s="4">
        <f>IF(D21/200*100&gt;=80,"A+",IF(D21/200*100&gt;=70,"A",IF(D21/200*100&gt;=60,"A-",IF(D21/200*100&gt;=50,"B",IF(D21/200*100&gt;=40,"C",IF(D21/200*100&gt;=33,"D","F"))))))</f>
        <v/>
      </c>
      <c r="P21" s="4">
        <f>IF(E21&gt;=80,"A+",IF(E21&gt;=70,"A",IF(E21&gt;=60,"A-",IF(E21&gt;=50,"B",IF(E21&gt;=40,"C",IF(E21&gt;=33,"D","F"))))))</f>
        <v/>
      </c>
      <c r="Q21" s="4">
        <f>IF(F21/200*100&gt;=80,"A+",IF(F21/200*100&gt;=70,"A",IF(F21/200*100&gt;=60,"A-",IF(F21/200*100&gt;=50,"B",IF(F21/200*100&gt;=40,"C",IF(F21/200*100&gt;=33,"D","F"))))))</f>
        <v/>
      </c>
      <c r="R21" s="4">
        <f>IF(G21/200*100&gt;=80,"A+",IF(G21/200*100&gt;=70,"A",IF(G21/200*100&gt;=60,"A-",IF(G21/200*100&gt;=50,"B",IF(G21/200*100&gt;=40,"C",IF(G21/200*100&gt;=33,"D","F"))))))</f>
        <v/>
      </c>
      <c r="S21" s="4">
        <f>IF(H21&gt;=80,"A+",IF(H21&gt;=70,"A",IF(H21&gt;=60,"A-",IF(H21&gt;=50,"B",IF(H21&gt;=40,"C",IF(H21&gt;=33,"D","F"))))))</f>
        <v/>
      </c>
      <c r="T21" s="4">
        <f>IF(I21&gt;=80,"A+",IF(I21&gt;=70,"A",IF(I21&gt;=60,"A-",IF(I21&gt;=50,"B",IF(I21&gt;=40,"C",IF(I21&gt;=33,"D","F"))))))</f>
        <v/>
      </c>
      <c r="U21" s="4">
        <f>IF(J21&gt;=80,"A+",IF(J21&gt;=70,"A",IF(J21&gt;=60,"A-",IF(J21&gt;=50,"B",IF(J21&gt;=40,"C",IF(J21&gt;=33,"D","F"))))))</f>
        <v/>
      </c>
      <c r="V21" s="4">
        <f>IF(K21&gt;=80,"A+",IF(K21&gt;=70,"A",IF(K21&gt;=60,"A-",IF(K21&gt;=50,"B",IF(K21&gt;=40,"C",IF(K21&gt;=33,"D","F"))))))</f>
        <v/>
      </c>
      <c r="W21" s="4">
        <f>IF(L21&gt;=33,"Pass","Fail")</f>
        <v/>
      </c>
      <c r="X21" s="4">
        <f>IF(M21&gt;=33,"Pass","Fail")</f>
        <v/>
      </c>
      <c r="Y21">
        <f>SUM(C21:J21)</f>
        <v/>
      </c>
      <c r="Z21" s="5">
        <f>ROUND(Y21/8,2)</f>
        <v/>
      </c>
      <c r="AA21" s="6">
        <f>IF(OR(C21&lt;33,D21&lt;66,E21&lt;33,F21&lt;66,G21&lt;66,H21&lt;33,I21&lt;33,J21&lt;33,L21&lt;33,M21&lt;33),0,MIN(5,ROUND((IF(C21&gt;=80,5,IF(C21&gt;=70,4,IF(C21&gt;=60,3.5,IF(C21&gt;=50,3,IF(C21&gt;=40,2,IF(C21&gt;=33,1,0))))))+IF(D21/200*100&gt;=80,5,IF(D21/200*100&gt;=70,4,IF(D21/200*100&gt;=60,3.5,IF(D21/200*100&gt;=50,3,IF(D21/200*100&gt;=40,2,IF(D21/200*100&gt;=33,1,0))))))+IF(E21&gt;=80,5,IF(E21&gt;=70,4,IF(E21&gt;=60,3.5,IF(E21&gt;=50,3,IF(E21&gt;=40,2,IF(E21&gt;=33,1,0))))))+IF(F21/200*100&gt;=80,5,IF(F21/200*100&gt;=70,4,IF(F21/200*100&gt;=60,3.5,IF(F21/200*100&gt;=50,3,IF(F21/200*100&gt;=40,2,IF(F21/200*100&gt;=33,1,0))))))+IF(G21/200*100&gt;=80,5,IF(G21/200*100&gt;=70,4,IF(G21/200*100&gt;=60,3.5,IF(G21/200*100&gt;=50,3,IF(G21/200*100&gt;=40,2,IF(G21/200*100&gt;=33,1,0))))))+IF(H21&gt;=80,5,IF(H21&gt;=70,4,IF(H21&gt;=60,3.5,IF(H21&gt;=50,3,IF(H21&gt;=40,2,IF(H21&gt;=33,1,0))))))+IF(I21&gt;=80,5,IF(I21&gt;=70,4,IF(I21&gt;=60,3.5,IF(I21&gt;=50,3,IF(I21&gt;=40,2,IF(I21&gt;=33,1,0))))))+IF(J21&gt;=80,5,IF(J21&gt;=70,4,IF(J21&gt;=60,3.5,IF(J21&gt;=50,3,IF(J21&gt;=40,2,IF(J21&gt;=33,1,0)))))))/8+IF(IF(K21&gt;=80,5,IF(K21&gt;=70,4,IF(K21&gt;=60,3.5,IF(K21&gt;=50,3,IF(K21&gt;=40,2,IF(K21&gt;=33,1,0))))))&gt;=2,(IF(K21&gt;=80,5,IF(K21&gt;=70,4,IF(K21&gt;=60,3.5,IF(K21&gt;=50,3,IF(K21&gt;=40,2,IF(K21&gt;=33,1,0))))))-2)/8,0),2)))</f>
        <v/>
      </c>
      <c r="AB21" s="4">
        <f>IF(AA21&gt;=5,"A+",IF(AA21&gt;=4,"A",IF(AA21&gt;=3.5,"A-",IF(AA21&gt;=3,"B",IF(AA21&gt;=2,"C",IF(AA21&gt;=1,"D","F"))))))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5" customWidth="1" min="4" max="4"/>
    <col width="12" customWidth="1" min="5" max="5"/>
    <col width="18" customWidth="1" min="8" max="8"/>
  </cols>
  <sheetData>
    <row r="1">
      <c r="A1" s="8" t="inlineStr">
        <is>
          <t>📊 ACADEMIC RESULTS DASHBOARD</t>
        </is>
      </c>
    </row>
    <row r="2"/>
    <row r="4">
      <c r="A4" s="9" t="inlineStr">
        <is>
          <t>SUMMARY STATISTICS</t>
        </is>
      </c>
    </row>
    <row r="5">
      <c r="B5" s="10" t="inlineStr">
        <is>
          <t>Total Students:</t>
        </is>
      </c>
      <c r="C5" s="11">
        <f>COUNTA('Data Source'!B:B)-1</f>
        <v/>
      </c>
      <c r="E5" s="10" t="inlineStr">
        <is>
          <t>Average GPA:</t>
        </is>
      </c>
      <c r="F5" s="12">
        <f>IFERROR(ROUND(AVERAGE('Data Source'!AA:AA),2), 0)</f>
        <v/>
      </c>
      <c r="H5" s="10" t="inlineStr">
        <is>
          <t>Highest Total:</t>
        </is>
      </c>
      <c r="I5" s="11">
        <f>MAX('Data Source'!Y:Y)</f>
        <v/>
      </c>
      <c r="K5" s="10" t="inlineStr">
        <is>
          <t>Pass Rate:</t>
        </is>
      </c>
      <c r="L5" s="13">
        <f>IF(C5&gt;0,COUNTIF('Data Source'!AA:AA,"&gt;0")/C5,0)</f>
        <v/>
      </c>
    </row>
    <row r="7">
      <c r="A7" s="14" t="inlineStr">
        <is>
          <t>GRADE DISTRIBUTION</t>
        </is>
      </c>
      <c r="D7" s="14" t="inlineStr">
        <is>
          <t>SUBJECT-WISE AVERAGE</t>
        </is>
      </c>
      <c r="G7" s="14" t="inlineStr">
        <is>
          <t>TOP 5 STUDENTS</t>
        </is>
      </c>
    </row>
    <row r="8">
      <c r="A8" s="15" t="inlineStr">
        <is>
          <t>Grade</t>
        </is>
      </c>
      <c r="B8" s="15" t="inlineStr">
        <is>
          <t>Count</t>
        </is>
      </c>
      <c r="D8" s="10" t="inlineStr">
        <is>
          <t>Subject</t>
        </is>
      </c>
      <c r="E8" s="15" t="inlineStr">
        <is>
          <t>Avg</t>
        </is>
      </c>
      <c r="F8" s="15" t="inlineStr">
        <is>
          <t>%</t>
        </is>
      </c>
      <c r="G8" s="15" t="inlineStr">
        <is>
          <t>Rank</t>
        </is>
      </c>
      <c r="H8" s="10" t="inlineStr">
        <is>
          <t>Name</t>
        </is>
      </c>
      <c r="I8" s="15" t="inlineStr">
        <is>
          <t>GPA</t>
        </is>
      </c>
    </row>
    <row r="9">
      <c r="A9" s="4" t="inlineStr">
        <is>
          <t>A+</t>
        </is>
      </c>
      <c r="B9" s="4">
        <f>COUNTIF('Data Source'!AB:AB,"A+")</f>
        <v/>
      </c>
      <c r="D9" t="inlineStr">
        <is>
          <t>Quran Mazid</t>
        </is>
      </c>
      <c r="E9" s="6">
        <f>IFERROR(ROUND(AVERAGE('Data Source'!C:C),2),0)</f>
        <v/>
      </c>
      <c r="F9" s="16">
        <f>IFERROR(ROUND(E9/100*100,1),0)</f>
        <v/>
      </c>
      <c r="G9" s="4" t="n">
        <v>1</v>
      </c>
      <c r="H9">
        <f>'Data Source'!B18</f>
        <v/>
      </c>
      <c r="I9" s="6">
        <f>'Data Source'!AA18</f>
        <v/>
      </c>
    </row>
    <row r="10">
      <c r="A10" s="4" t="inlineStr">
        <is>
          <t>A</t>
        </is>
      </c>
      <c r="B10" s="4">
        <f>COUNTIF('Data Source'!AB:AB,"A")</f>
        <v/>
      </c>
      <c r="D10" t="inlineStr">
        <is>
          <t>Arabic (Comb.)</t>
        </is>
      </c>
      <c r="E10" s="6">
        <f>IFERROR(ROUND(AVERAGE('Data Source'!D:D),2),0)</f>
        <v/>
      </c>
      <c r="F10" s="16">
        <f>IFERROR(ROUND(E10/200*100,1),0)</f>
        <v/>
      </c>
      <c r="G10" s="4" t="n">
        <v>2</v>
      </c>
      <c r="H10">
        <f>'Data Source'!B17</f>
        <v/>
      </c>
      <c r="I10" s="6">
        <f>'Data Source'!AA17</f>
        <v/>
      </c>
    </row>
    <row r="11">
      <c r="A11" s="4" t="inlineStr">
        <is>
          <t>A-</t>
        </is>
      </c>
      <c r="B11" s="4">
        <f>COUNTIF('Data Source'!AB:AB,"A-")</f>
        <v/>
      </c>
      <c r="D11" t="inlineStr">
        <is>
          <t>Aqaid</t>
        </is>
      </c>
      <c r="E11" s="6">
        <f>IFERROR(ROUND(AVERAGE('Data Source'!E:E),2),0)</f>
        <v/>
      </c>
      <c r="F11" s="16">
        <f>IFERROR(ROUND(E11/100*100,1),0)</f>
        <v/>
      </c>
      <c r="G11" s="4" t="n">
        <v>3</v>
      </c>
      <c r="H11">
        <f>'Data Source'!B8</f>
        <v/>
      </c>
      <c r="I11" s="6">
        <f>'Data Source'!AA8</f>
        <v/>
      </c>
    </row>
    <row r="12">
      <c r="A12" s="4" t="inlineStr">
        <is>
          <t>B</t>
        </is>
      </c>
      <c r="B12" s="4">
        <f>COUNTIF('Data Source'!AB:AB,"B")</f>
        <v/>
      </c>
      <c r="D12" t="inlineStr">
        <is>
          <t>English (Comb.)</t>
        </is>
      </c>
      <c r="E12" s="6">
        <f>IFERROR(ROUND(AVERAGE('Data Source'!F:F),2),0)</f>
        <v/>
      </c>
      <c r="F12" s="16">
        <f>IFERROR(ROUND(E12/200*100,1),0)</f>
        <v/>
      </c>
      <c r="G12" s="4" t="n">
        <v>4</v>
      </c>
      <c r="H12">
        <f>'Data Source'!B13</f>
        <v/>
      </c>
      <c r="I12" s="6">
        <f>'Data Source'!AA13</f>
        <v/>
      </c>
    </row>
    <row r="13">
      <c r="A13" s="4" t="inlineStr">
        <is>
          <t>C</t>
        </is>
      </c>
      <c r="B13" s="4">
        <f>COUNTIF('Data Source'!AB:AB,"C")</f>
        <v/>
      </c>
      <c r="D13" t="inlineStr">
        <is>
          <t>Bangla (Comb.)</t>
        </is>
      </c>
      <c r="E13" s="6">
        <f>IFERROR(ROUND(AVERAGE('Data Source'!G:G),2),0)</f>
        <v/>
      </c>
      <c r="F13" s="16">
        <f>IFERROR(ROUND(E13/200*100,1),0)</f>
        <v/>
      </c>
      <c r="G13" s="4" t="n">
        <v>5</v>
      </c>
      <c r="H13">
        <f>'Data Source'!B14</f>
        <v/>
      </c>
      <c r="I13" s="6">
        <f>'Data Source'!AA14</f>
        <v/>
      </c>
    </row>
    <row r="14">
      <c r="A14" s="4" t="inlineStr">
        <is>
          <t>D</t>
        </is>
      </c>
      <c r="B14" s="4">
        <f>COUNTIF('Data Source'!AB:AB,"D")</f>
        <v/>
      </c>
      <c r="D14" t="inlineStr">
        <is>
          <t>Mathematics</t>
        </is>
      </c>
      <c r="E14" s="6">
        <f>IFERROR(ROUND(AVERAGE('Data Source'!H:H),2),0)</f>
        <v/>
      </c>
      <c r="F14" s="16">
        <f>IFERROR(ROUND(E14/100*100,1),0)</f>
        <v/>
      </c>
    </row>
    <row r="15">
      <c r="A15" s="4" t="inlineStr">
        <is>
          <t>F</t>
        </is>
      </c>
      <c r="B15" s="4">
        <f>COUNTIF('Data Source'!AB:AB,"F")</f>
        <v/>
      </c>
      <c r="D15" t="inlineStr">
        <is>
          <t>Islamic History</t>
        </is>
      </c>
      <c r="E15" s="6">
        <f>IFERROR(ROUND(AVERAGE('Data Source'!I:I),2),0)</f>
        <v/>
      </c>
      <c r="F15" s="16">
        <f>IFERROR(ROUND(E15/100*100,1),0)</f>
        <v/>
      </c>
    </row>
    <row r="16">
      <c r="D16" t="inlineStr">
        <is>
          <t>ICT</t>
        </is>
      </c>
      <c r="E16" s="6">
        <f>IFERROR(ROUND(AVERAGE('Data Source'!J:J),2),0)</f>
        <v/>
      </c>
      <c r="F16" s="16">
        <f>IFERROR(ROUND(E16/100*100,1),0)</f>
        <v/>
      </c>
    </row>
    <row r="17">
      <c r="D17" t="inlineStr">
        <is>
          <t>Mantiq</t>
        </is>
      </c>
      <c r="E17" s="6">
        <f>IFERROR(ROUND(AVERAGE('Data Source'!K:K),2),0)</f>
        <v/>
      </c>
      <c r="F17" s="16">
        <f>IFERROR(ROUND(E17/100*100,1),0)</f>
        <v/>
      </c>
    </row>
  </sheetData>
  <mergeCells count="1">
    <mergeCell ref="A1:L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Pivot tables can be created manually in Excel</t>
        </is>
      </c>
    </row>
    <row r="2">
      <c r="A2" t="inlineStr">
        <is>
          <t>Use Insert &gt; PivotTable from the Data Source sheet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2025-11-18T15:03:48Z</dcterms:created>
  <dcterms:modified xsi:type="dcterms:W3CDTF">2025-11-18T15:03:48Z</dcterms:modified>
</cp:coreProperties>
</file>