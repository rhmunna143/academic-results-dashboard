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Subject Grades" sheetId="3" state="visible" r:id="rId3"/>
    <sheet name="Subject-wise GPA" sheetId="4" state="visible" r:id="rId4"/>
    <sheet name="Pivot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  <font>
      <b val="1"/>
      <color rgb="00FFFFFF"/>
      <sz val="16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70AD47"/>
        <bgColor rgb="0070AD47"/>
      </patternFill>
    </fill>
    <fill>
      <patternFill patternType="solid">
        <fgColor rgb="00FC9999"/>
        <bgColor rgb="00FC9999"/>
      </patternFill>
    </fill>
    <fill>
      <patternFill patternType="solid">
        <fgColor rgb="00FFE699"/>
        <bgColor rgb="00FFE699"/>
      </patternFill>
    </fill>
    <fill>
      <patternFill patternType="solid">
        <fgColor rgb="004472C4"/>
        <bgColor rgb="004472C4"/>
      </patternFill>
    </fill>
    <fill>
      <patternFill patternType="solid">
        <fgColor rgb="005B9BD5"/>
        <b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'Dashboard'!$A$9:$A$15</f>
            </numRef>
          </cat>
          <val>
            <numRef>
              <f>'Dashboard'!$B$9:$B$15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'Dashboard'!$D$9:$D$17</f>
            </numRef>
          </cat>
          <val>
            <numRef>
              <f>'Dashboard'!$E$9:$E$17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3" customWidth="1" min="11" max="11"/>
    <col width="11" customWidth="1" min="12" max="12"/>
    <col width="13" customWidth="1" min="13" max="13"/>
    <col width="10" customWidth="1" min="14" max="14"/>
    <col width="12" customWidth="1" min="15" max="15"/>
    <col width="11" customWidth="1" min="16" max="16"/>
    <col width="13" customWidth="1" min="17" max="17"/>
    <col width="10" customWidth="1" min="18" max="18"/>
    <col width="10" customWidth="1" min="19" max="19"/>
    <col width="12" customWidth="1" min="20" max="20"/>
    <col width="12" customWidth="1" min="21" max="21"/>
    <col width="10" customWidth="1" min="22" max="22"/>
    <col width="10" customWidth="1" min="23" max="23"/>
    <col width="14" customWidth="1" min="24" max="24"/>
    <col width="12" customWidth="1" min="25" max="25"/>
    <col width="12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Quran</t>
        </is>
      </c>
      <c r="D1" s="1" t="inlineStr">
        <is>
          <t>Hadith</t>
        </is>
      </c>
      <c r="E1" s="1" t="inlineStr">
        <is>
          <t>Arabic_I</t>
        </is>
      </c>
      <c r="F1" s="1" t="inlineStr">
        <is>
          <t>Arabic_II</t>
        </is>
      </c>
      <c r="G1" s="1" t="inlineStr">
        <is>
          <t>Aqaid</t>
        </is>
      </c>
      <c r="H1" s="1" t="inlineStr">
        <is>
          <t>English_I</t>
        </is>
      </c>
      <c r="I1" s="1" t="inlineStr">
        <is>
          <t>English_II</t>
        </is>
      </c>
      <c r="J1" s="1" t="inlineStr">
        <is>
          <t>Bangla_I_MCQ</t>
        </is>
      </c>
      <c r="K1" s="1" t="inlineStr">
        <is>
          <t>Bangla_I_Written</t>
        </is>
      </c>
      <c r="L1" s="1" t="inlineStr">
        <is>
          <t>Bangla_II_MCQ</t>
        </is>
      </c>
      <c r="M1" s="1" t="inlineStr">
        <is>
          <t>Bangla_II_Written</t>
        </is>
      </c>
      <c r="N1" s="1" t="inlineStr">
        <is>
          <t>Mathematics_MCQ</t>
        </is>
      </c>
      <c r="O1" s="1" t="inlineStr">
        <is>
          <t>Mathematics_Written</t>
        </is>
      </c>
      <c r="P1" s="1" t="inlineStr">
        <is>
          <t>Islamic_History_MCQ</t>
        </is>
      </c>
      <c r="Q1" s="1" t="inlineStr">
        <is>
          <t>Islamic_History_Written</t>
        </is>
      </c>
      <c r="R1" s="1" t="inlineStr">
        <is>
          <t>ICT</t>
        </is>
      </c>
      <c r="S1" s="1" t="inlineStr">
        <is>
          <t>Mantiq</t>
        </is>
      </c>
      <c r="T1" s="1" t="inlineStr">
        <is>
          <t>Career_Education</t>
        </is>
      </c>
      <c r="U1" s="1" t="inlineStr">
        <is>
          <t>Physical_Education</t>
        </is>
      </c>
      <c r="V1" s="1" t="inlineStr">
        <is>
          <t>Total</t>
        </is>
      </c>
      <c r="W1" s="1" t="inlineStr">
        <is>
          <t>Average</t>
        </is>
      </c>
      <c r="X1" s="1" t="inlineStr">
        <is>
          <t>GPA (Compulsory)</t>
        </is>
      </c>
      <c r="Y1" s="1" t="inlineStr">
        <is>
          <t>GPA (Final)</t>
        </is>
      </c>
      <c r="Z1" s="1" t="inlineStr">
        <is>
          <t>Overall Grade</t>
        </is>
      </c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</row>
    <row r="2">
      <c r="A2" t="n">
        <v>1</v>
      </c>
      <c r="B2" t="inlineStr">
        <is>
          <t>Ahmed Rahman</t>
        </is>
      </c>
      <c r="C2" s="2" t="n">
        <v>67</v>
      </c>
      <c r="D2" s="2" t="n">
        <v>78</v>
      </c>
      <c r="E2" s="2" t="n">
        <v>66</v>
      </c>
      <c r="F2" s="3" t="n">
        <v>89</v>
      </c>
      <c r="G2" s="2" t="n">
        <v>64</v>
      </c>
      <c r="H2" s="2" t="n">
        <v>68</v>
      </c>
      <c r="I2" s="2" t="n">
        <v>62</v>
      </c>
      <c r="J2" s="4" t="n">
        <v>8</v>
      </c>
      <c r="K2" s="5" t="n">
        <v>52</v>
      </c>
      <c r="L2" s="4" t="n">
        <v>10</v>
      </c>
      <c r="M2" s="5" t="n">
        <v>43</v>
      </c>
      <c r="N2" s="4" t="n">
        <v>15</v>
      </c>
      <c r="O2" s="4" t="n">
        <v>26</v>
      </c>
      <c r="P2" s="4" t="n">
        <v>22</v>
      </c>
      <c r="Q2" s="5" t="n">
        <v>50</v>
      </c>
      <c r="R2" t="n">
        <v>36</v>
      </c>
      <c r="S2" t="n">
        <v>75</v>
      </c>
      <c r="T2" t="n">
        <v>74</v>
      </c>
      <c r="U2" t="n">
        <v>77</v>
      </c>
      <c r="V2">
        <f>SUM(C2:R2)</f>
        <v/>
      </c>
      <c r="W2" s="6">
        <f>ROUND(V2/11.5,2)</f>
        <v/>
      </c>
      <c r="X2" s="7">
        <f>IF(AD2,0,ROUND(AN2,2))</f>
        <v/>
      </c>
      <c r="Y2" s="7">
        <f>IF(AD2,0,MIN(5,ROUND(AN2+AO2,2)))</f>
        <v/>
      </c>
      <c r="Z2" s="8">
        <f>IF(Y2&gt;=5,"A+",IF(Y2&gt;=4,"A",IF(Y2&gt;=3.5,"A-",IF(Y2&gt;=3,"B",IF(Y2&gt;=2,"C",IF(Y2&gt;=1,"D","F"))))))</f>
        <v/>
      </c>
      <c r="AA2">
        <f>NOT(OR(AND(J2&gt;=10,K2&gt;=23,L2&gt;=10,M2&gt;=23),AND(J2+L2&gt;=20,K2+M2&gt;=46)))</f>
        <v/>
      </c>
      <c r="AB2">
        <f>OR(N2&lt;10,O2&lt;23)</f>
        <v/>
      </c>
      <c r="AC2">
        <f>OR(P2&lt;10,Q2&lt;23)</f>
        <v/>
      </c>
      <c r="AD2">
        <f>OR((C2+D2)&lt;66,(E2+F2)&lt;66,G2&lt;33,(H2+I2)&lt;66,AA2,AB2,AC2,R2&lt;8.25,T2&lt;33,U2&lt;33)</f>
        <v/>
      </c>
      <c r="AE2">
        <f>IF(C2+D2&lt;66,0,IF((C2+D2)/2&gt;=80,5,IF((C2+D2)/2&gt;=70,4,IF((C2+D2)/2&gt;=60,3.5,IF((C2+D2)/2&gt;=50,3,IF((C2+D2)/2&gt;=40,2,IF((C2+D2)/2&gt;=33,1,0)))))))</f>
        <v/>
      </c>
      <c r="AF2">
        <f>IF(E2+F2&lt;66,0,IF((E2+F2)/2&gt;=80,5,IF((E2+F2)/2&gt;=70,4,IF((E2+F2)/2&gt;=60,3.5,IF((E2+F2)/2&gt;=50,3,IF((E2+F2)/2&gt;=40,2,IF((E2+F2)/2&gt;=33,1,0)))))))</f>
        <v/>
      </c>
      <c r="AG2">
        <f>IF(G2&lt;33,0,IF(G2&gt;=80,5,IF(G2&gt;=70,4,IF(G2&gt;=60,3.5,IF(G2&gt;=50,3,IF(G2&gt;=40,2,IF(G2&gt;=33,1,0)))))))</f>
        <v/>
      </c>
      <c r="AH2">
        <f>IF(H2+I2&lt;66,0,IF((H2+I2)/2&gt;=80,5,IF((H2+I2)/2&gt;=70,4,IF((H2+I2)/2&gt;=60,3.5,IF((H2+I2)/2&gt;=50,3,IF((H2+I2)/2&gt;=40,2,IF((H2+I2)/2&gt;=33,1,0)))))))</f>
        <v/>
      </c>
      <c r="AI2">
        <f>IF(AA2,0,IF((J2+K2+L2+M2)/2&gt;=80,5,IF((J2+K2+L2+M2)/2&gt;=70,4,IF((J2+K2+L2+M2)/2&gt;=60,3.5,IF((J2+K2+L2+M2)/2&gt;=50,3,IF((J2+K2+L2+M2)/2&gt;=40,2,IF((J2+K2+L2+M2)/2&gt;=33,1,0)))))))</f>
        <v/>
      </c>
      <c r="AJ2">
        <f>IF(AB2,0,IF(N2+O2&gt;=80,5,IF(N2+O2&gt;=70,4,IF(N2+O2&gt;=60,3.5,IF(N2+O2&gt;=50,3,IF(N2+O2&gt;=40,2,IF(N2+O2&gt;=33,1,0)))))))</f>
        <v/>
      </c>
      <c r="AK2">
        <f>IF(AC2,0,IF(P2+Q2&gt;=80,5,IF(P2+Q2&gt;=70,4,IF(P2+Q2&gt;=60,3.5,IF(P2+Q2&gt;=50,3,IF(P2+Q2&gt;=40,2,IF(P2+Q2&gt;=33,1,0)))))))</f>
        <v/>
      </c>
      <c r="AL2">
        <f>IF(R2&lt;8.25,0,IF(R2*2&gt;=80,5,IF(R2*2&gt;=70,4,IF(R2*2&gt;=60,3.5,IF(R2*2&gt;=50,3,IF(R2*2&gt;=40,2,IF(R2*2&gt;=33,1,0)))))))</f>
        <v/>
      </c>
      <c r="AM2">
        <f>IF(S2&lt;33,0,IF(S2&gt;=80,5,IF(S2&gt;=70,4,IF(S2&gt;=60,3.5,IF(S2&gt;=50,3,IF(S2&gt;=40,2,IF(S2&gt;=33,1,0)))))))</f>
        <v/>
      </c>
      <c r="AN2">
        <f>(AE2+AF2+AG2+AH2+AI2+AJ2+AK2+AL2)/8</f>
        <v/>
      </c>
      <c r="AO2">
        <f>IF(AM2&gt;=2,(AM2-2)/8,0)</f>
        <v/>
      </c>
    </row>
    <row r="3">
      <c r="A3" t="n">
        <v>2</v>
      </c>
      <c r="B3" t="inlineStr">
        <is>
          <t>Fatima Khan</t>
        </is>
      </c>
      <c r="C3" s="2" t="n">
        <v>61</v>
      </c>
      <c r="D3" s="2" t="n">
        <v>72</v>
      </c>
      <c r="E3" s="2" t="n">
        <v>65</v>
      </c>
      <c r="F3" s="2" t="n">
        <v>74</v>
      </c>
      <c r="G3" s="2" t="n">
        <v>70</v>
      </c>
      <c r="H3" s="3" t="n">
        <v>86</v>
      </c>
      <c r="I3" s="3" t="n">
        <v>84</v>
      </c>
      <c r="J3" s="4" t="n">
        <v>11</v>
      </c>
      <c r="K3" s="5" t="n">
        <v>58</v>
      </c>
      <c r="L3" s="4" t="n">
        <v>10</v>
      </c>
      <c r="M3" s="5" t="n">
        <v>48</v>
      </c>
      <c r="N3" s="4" t="n">
        <v>10</v>
      </c>
      <c r="O3" s="2" t="n">
        <v>62</v>
      </c>
      <c r="P3" s="4" t="n">
        <v>12</v>
      </c>
      <c r="Q3" s="4" t="n">
        <v>33</v>
      </c>
      <c r="R3" t="n">
        <v>31</v>
      </c>
      <c r="S3" t="n">
        <v>57</v>
      </c>
      <c r="T3" t="n">
        <v>91</v>
      </c>
      <c r="U3" t="n">
        <v>82</v>
      </c>
      <c r="V3">
        <f>SUM(C3:R3)</f>
        <v/>
      </c>
      <c r="W3" s="6">
        <f>ROUND(V3/11.5,2)</f>
        <v/>
      </c>
      <c r="X3" s="7">
        <f>IF(AD3,0,ROUND(AN3,2))</f>
        <v/>
      </c>
      <c r="Y3" s="7">
        <f>IF(AD3,0,MIN(5,ROUND(AN3+AO3,2)))</f>
        <v/>
      </c>
      <c r="Z3" s="8">
        <f>IF(Y3&gt;=5,"A+",IF(Y3&gt;=4,"A",IF(Y3&gt;=3.5,"A-",IF(Y3&gt;=3,"B",IF(Y3&gt;=2,"C",IF(Y3&gt;=1,"D","F"))))))</f>
        <v/>
      </c>
      <c r="AA3">
        <f>NOT(OR(AND(J3&gt;=10,K3&gt;=23,L3&gt;=10,M3&gt;=23),AND(J3+L3&gt;=20,K3+M3&gt;=46)))</f>
        <v/>
      </c>
      <c r="AB3">
        <f>OR(N3&lt;10,O3&lt;23)</f>
        <v/>
      </c>
      <c r="AC3">
        <f>OR(P3&lt;10,Q3&lt;23)</f>
        <v/>
      </c>
      <c r="AD3">
        <f>OR((C3+D3)&lt;66,(E3+F3)&lt;66,G3&lt;33,(H3+I3)&lt;66,AA3,AB3,AC3,R3&lt;8.25,T3&lt;33,U3&lt;33)</f>
        <v/>
      </c>
      <c r="AE3">
        <f>IF(C3+D3&lt;66,0,IF((C3+D3)/2&gt;=80,5,IF((C3+D3)/2&gt;=70,4,IF((C3+D3)/2&gt;=60,3.5,IF((C3+D3)/2&gt;=50,3,IF((C3+D3)/2&gt;=40,2,IF((C3+D3)/2&gt;=33,1,0)))))))</f>
        <v/>
      </c>
      <c r="AF3">
        <f>IF(E3+F3&lt;66,0,IF((E3+F3)/2&gt;=80,5,IF((E3+F3)/2&gt;=70,4,IF((E3+F3)/2&gt;=60,3.5,IF((E3+F3)/2&gt;=50,3,IF((E3+F3)/2&gt;=40,2,IF((E3+F3)/2&gt;=33,1,0)))))))</f>
        <v/>
      </c>
      <c r="AG3">
        <f>IF(G3&lt;33,0,IF(G3&gt;=80,5,IF(G3&gt;=70,4,IF(G3&gt;=60,3.5,IF(G3&gt;=50,3,IF(G3&gt;=40,2,IF(G3&gt;=33,1,0)))))))</f>
        <v/>
      </c>
      <c r="AH3">
        <f>IF(H3+I3&lt;66,0,IF((H3+I3)/2&gt;=80,5,IF((H3+I3)/2&gt;=70,4,IF((H3+I3)/2&gt;=60,3.5,IF((H3+I3)/2&gt;=50,3,IF((H3+I3)/2&gt;=40,2,IF((H3+I3)/2&gt;=33,1,0)))))))</f>
        <v/>
      </c>
      <c r="AI3">
        <f>IF(AA3,0,IF((J3+K3+L3+M3)/2&gt;=80,5,IF((J3+K3+L3+M3)/2&gt;=70,4,IF((J3+K3+L3+M3)/2&gt;=60,3.5,IF((J3+K3+L3+M3)/2&gt;=50,3,IF((J3+K3+L3+M3)/2&gt;=40,2,IF((J3+K3+L3+M3)/2&gt;=33,1,0)))))))</f>
        <v/>
      </c>
      <c r="AJ3">
        <f>IF(AB3,0,IF(N3+O3&gt;=80,5,IF(N3+O3&gt;=70,4,IF(N3+O3&gt;=60,3.5,IF(N3+O3&gt;=50,3,IF(N3+O3&gt;=40,2,IF(N3+O3&gt;=33,1,0)))))))</f>
        <v/>
      </c>
      <c r="AK3">
        <f>IF(AC3,0,IF(P3+Q3&gt;=80,5,IF(P3+Q3&gt;=70,4,IF(P3+Q3&gt;=60,3.5,IF(P3+Q3&gt;=50,3,IF(P3+Q3&gt;=40,2,IF(P3+Q3&gt;=33,1,0)))))))</f>
        <v/>
      </c>
      <c r="AL3">
        <f>IF(R3&lt;8.25,0,IF(R3*2&gt;=80,5,IF(R3*2&gt;=70,4,IF(R3*2&gt;=60,3.5,IF(R3*2&gt;=50,3,IF(R3*2&gt;=40,2,IF(R3*2&gt;=33,1,0)))))))</f>
        <v/>
      </c>
      <c r="AM3">
        <f>IF(S3&lt;33,0,IF(S3&gt;=80,5,IF(S3&gt;=70,4,IF(S3&gt;=60,3.5,IF(S3&gt;=50,3,IF(S3&gt;=40,2,IF(S3&gt;=33,1,0)))))))</f>
        <v/>
      </c>
      <c r="AN3">
        <f>(AE3+AF3+AG3+AH3+AI3+AJ3+AK3+AL3)/8</f>
        <v/>
      </c>
      <c r="AO3">
        <f>IF(AM3&gt;=2,(AM3-2)/8,0)</f>
        <v/>
      </c>
    </row>
    <row r="4">
      <c r="A4" t="n">
        <v>3</v>
      </c>
      <c r="B4" t="inlineStr">
        <is>
          <t>Karim Hassan</t>
        </is>
      </c>
      <c r="C4" s="2" t="n">
        <v>77</v>
      </c>
      <c r="D4" s="2" t="n">
        <v>79</v>
      </c>
      <c r="E4" s="3" t="n">
        <v>84</v>
      </c>
      <c r="F4" s="2" t="n">
        <v>67</v>
      </c>
      <c r="G4" s="3" t="n">
        <v>94</v>
      </c>
      <c r="H4" s="3" t="n">
        <v>80</v>
      </c>
      <c r="I4" s="2" t="n">
        <v>61</v>
      </c>
      <c r="J4" s="4" t="n">
        <v>25</v>
      </c>
      <c r="K4" s="4" t="n">
        <v>32</v>
      </c>
      <c r="L4" s="4" t="n">
        <v>23</v>
      </c>
      <c r="M4" s="5" t="n">
        <v>53</v>
      </c>
      <c r="N4" s="4" t="n">
        <v>9</v>
      </c>
      <c r="O4" s="5" t="n">
        <v>47</v>
      </c>
      <c r="P4" s="4" t="n">
        <v>21</v>
      </c>
      <c r="Q4" s="5" t="n">
        <v>45</v>
      </c>
      <c r="R4" t="n">
        <v>48</v>
      </c>
      <c r="S4" t="n">
        <v>86</v>
      </c>
      <c r="T4" t="n">
        <v>90</v>
      </c>
      <c r="U4" t="n">
        <v>86</v>
      </c>
      <c r="V4">
        <f>SUM(C4:R4)</f>
        <v/>
      </c>
      <c r="W4" s="6">
        <f>ROUND(V4/11.5,2)</f>
        <v/>
      </c>
      <c r="X4" s="7">
        <f>IF(AD4,0,ROUND(AN4,2))</f>
        <v/>
      </c>
      <c r="Y4" s="7">
        <f>IF(AD4,0,MIN(5,ROUND(AN4+AO4,2)))</f>
        <v/>
      </c>
      <c r="Z4" s="8">
        <f>IF(Y4&gt;=5,"A+",IF(Y4&gt;=4,"A",IF(Y4&gt;=3.5,"A-",IF(Y4&gt;=3,"B",IF(Y4&gt;=2,"C",IF(Y4&gt;=1,"D","F"))))))</f>
        <v/>
      </c>
      <c r="AA4">
        <f>NOT(OR(AND(J4&gt;=10,K4&gt;=23,L4&gt;=10,M4&gt;=23),AND(J4+L4&gt;=20,K4+M4&gt;=46)))</f>
        <v/>
      </c>
      <c r="AB4">
        <f>OR(N4&lt;10,O4&lt;23)</f>
        <v/>
      </c>
      <c r="AC4">
        <f>OR(P4&lt;10,Q4&lt;23)</f>
        <v/>
      </c>
      <c r="AD4">
        <f>OR((C4+D4)&lt;66,(E4+F4)&lt;66,G4&lt;33,(H4+I4)&lt;66,AA4,AB4,AC4,R4&lt;8.25,T4&lt;33,U4&lt;33)</f>
        <v/>
      </c>
      <c r="AE4">
        <f>IF(C4+D4&lt;66,0,IF((C4+D4)/2&gt;=80,5,IF((C4+D4)/2&gt;=70,4,IF((C4+D4)/2&gt;=60,3.5,IF((C4+D4)/2&gt;=50,3,IF((C4+D4)/2&gt;=40,2,IF((C4+D4)/2&gt;=33,1,0)))))))</f>
        <v/>
      </c>
      <c r="AF4">
        <f>IF(E4+F4&lt;66,0,IF((E4+F4)/2&gt;=80,5,IF((E4+F4)/2&gt;=70,4,IF((E4+F4)/2&gt;=60,3.5,IF((E4+F4)/2&gt;=50,3,IF((E4+F4)/2&gt;=40,2,IF((E4+F4)/2&gt;=33,1,0)))))))</f>
        <v/>
      </c>
      <c r="AG4">
        <f>IF(G4&lt;33,0,IF(G4&gt;=80,5,IF(G4&gt;=70,4,IF(G4&gt;=60,3.5,IF(G4&gt;=50,3,IF(G4&gt;=40,2,IF(G4&gt;=33,1,0)))))))</f>
        <v/>
      </c>
      <c r="AH4">
        <f>IF(H4+I4&lt;66,0,IF((H4+I4)/2&gt;=80,5,IF((H4+I4)/2&gt;=70,4,IF((H4+I4)/2&gt;=60,3.5,IF((H4+I4)/2&gt;=50,3,IF((H4+I4)/2&gt;=40,2,IF((H4+I4)/2&gt;=33,1,0)))))))</f>
        <v/>
      </c>
      <c r="AI4">
        <f>IF(AA4,0,IF((J4+K4+L4+M4)/2&gt;=80,5,IF((J4+K4+L4+M4)/2&gt;=70,4,IF((J4+K4+L4+M4)/2&gt;=60,3.5,IF((J4+K4+L4+M4)/2&gt;=50,3,IF((J4+K4+L4+M4)/2&gt;=40,2,IF((J4+K4+L4+M4)/2&gt;=33,1,0)))))))</f>
        <v/>
      </c>
      <c r="AJ4">
        <f>IF(AB4,0,IF(N4+O4&gt;=80,5,IF(N4+O4&gt;=70,4,IF(N4+O4&gt;=60,3.5,IF(N4+O4&gt;=50,3,IF(N4+O4&gt;=40,2,IF(N4+O4&gt;=33,1,0)))))))</f>
        <v/>
      </c>
      <c r="AK4">
        <f>IF(AC4,0,IF(P4+Q4&gt;=80,5,IF(P4+Q4&gt;=70,4,IF(P4+Q4&gt;=60,3.5,IF(P4+Q4&gt;=50,3,IF(P4+Q4&gt;=40,2,IF(P4+Q4&gt;=33,1,0)))))))</f>
        <v/>
      </c>
      <c r="AL4">
        <f>IF(R4&lt;8.25,0,IF(R4*2&gt;=80,5,IF(R4*2&gt;=70,4,IF(R4*2&gt;=60,3.5,IF(R4*2&gt;=50,3,IF(R4*2&gt;=40,2,IF(R4*2&gt;=33,1,0)))))))</f>
        <v/>
      </c>
      <c r="AM4">
        <f>IF(S4&lt;33,0,IF(S4&gt;=80,5,IF(S4&gt;=70,4,IF(S4&gt;=60,3.5,IF(S4&gt;=50,3,IF(S4&gt;=40,2,IF(S4&gt;=33,1,0)))))))</f>
        <v/>
      </c>
      <c r="AN4">
        <f>(AE4+AF4+AG4+AH4+AI4+AJ4+AK4+AL4)/8</f>
        <v/>
      </c>
      <c r="AO4">
        <f>IF(AM4&gt;=2,(AM4-2)/8,0)</f>
        <v/>
      </c>
    </row>
    <row r="5">
      <c r="A5" t="n">
        <v>4</v>
      </c>
      <c r="B5" t="inlineStr">
        <is>
          <t>Ayesha Begum</t>
        </is>
      </c>
      <c r="C5" s="2" t="n">
        <v>75</v>
      </c>
      <c r="D5" s="3" t="n">
        <v>83</v>
      </c>
      <c r="E5" s="2" t="n">
        <v>66</v>
      </c>
      <c r="F5" s="3" t="n">
        <v>92</v>
      </c>
      <c r="G5" s="2" t="n">
        <v>75</v>
      </c>
      <c r="H5" s="3" t="n">
        <v>84</v>
      </c>
      <c r="I5" s="3" t="n">
        <v>87</v>
      </c>
      <c r="J5" s="4" t="n">
        <v>16</v>
      </c>
      <c r="K5" s="4" t="n">
        <v>29</v>
      </c>
      <c r="L5" s="4" t="n">
        <v>10</v>
      </c>
      <c r="M5" s="5" t="n">
        <v>48</v>
      </c>
      <c r="N5" s="4" t="n">
        <v>18</v>
      </c>
      <c r="O5" s="5" t="n">
        <v>42</v>
      </c>
      <c r="P5" s="4" t="n">
        <v>13</v>
      </c>
      <c r="Q5" s="4" t="n">
        <v>23</v>
      </c>
      <c r="R5" t="n">
        <v>47</v>
      </c>
      <c r="S5" t="n">
        <v>65</v>
      </c>
      <c r="T5" t="n">
        <v>79</v>
      </c>
      <c r="U5" t="n">
        <v>84</v>
      </c>
      <c r="V5">
        <f>SUM(C5:R5)</f>
        <v/>
      </c>
      <c r="W5" s="6">
        <f>ROUND(V5/11.5,2)</f>
        <v/>
      </c>
      <c r="X5" s="7">
        <f>IF(AD5,0,ROUND(AN5,2))</f>
        <v/>
      </c>
      <c r="Y5" s="7">
        <f>IF(AD5,0,MIN(5,ROUND(AN5+AO5,2)))</f>
        <v/>
      </c>
      <c r="Z5" s="8">
        <f>IF(Y5&gt;=5,"A+",IF(Y5&gt;=4,"A",IF(Y5&gt;=3.5,"A-",IF(Y5&gt;=3,"B",IF(Y5&gt;=2,"C",IF(Y5&gt;=1,"D","F"))))))</f>
        <v/>
      </c>
      <c r="AA5">
        <f>NOT(OR(AND(J5&gt;=10,K5&gt;=23,L5&gt;=10,M5&gt;=23),AND(J5+L5&gt;=20,K5+M5&gt;=46)))</f>
        <v/>
      </c>
      <c r="AB5">
        <f>OR(N5&lt;10,O5&lt;23)</f>
        <v/>
      </c>
      <c r="AC5">
        <f>OR(P5&lt;10,Q5&lt;23)</f>
        <v/>
      </c>
      <c r="AD5">
        <f>OR((C5+D5)&lt;66,(E5+F5)&lt;66,G5&lt;33,(H5+I5)&lt;66,AA5,AB5,AC5,R5&lt;8.25,T5&lt;33,U5&lt;33)</f>
        <v/>
      </c>
      <c r="AE5">
        <f>IF(C5+D5&lt;66,0,IF((C5+D5)/2&gt;=80,5,IF((C5+D5)/2&gt;=70,4,IF((C5+D5)/2&gt;=60,3.5,IF((C5+D5)/2&gt;=50,3,IF((C5+D5)/2&gt;=40,2,IF((C5+D5)/2&gt;=33,1,0)))))))</f>
        <v/>
      </c>
      <c r="AF5">
        <f>IF(E5+F5&lt;66,0,IF((E5+F5)/2&gt;=80,5,IF((E5+F5)/2&gt;=70,4,IF((E5+F5)/2&gt;=60,3.5,IF((E5+F5)/2&gt;=50,3,IF((E5+F5)/2&gt;=40,2,IF((E5+F5)/2&gt;=33,1,0)))))))</f>
        <v/>
      </c>
      <c r="AG5">
        <f>IF(G5&lt;33,0,IF(G5&gt;=80,5,IF(G5&gt;=70,4,IF(G5&gt;=60,3.5,IF(G5&gt;=50,3,IF(G5&gt;=40,2,IF(G5&gt;=33,1,0)))))))</f>
        <v/>
      </c>
      <c r="AH5">
        <f>IF(H5+I5&lt;66,0,IF((H5+I5)/2&gt;=80,5,IF((H5+I5)/2&gt;=70,4,IF((H5+I5)/2&gt;=60,3.5,IF((H5+I5)/2&gt;=50,3,IF((H5+I5)/2&gt;=40,2,IF((H5+I5)/2&gt;=33,1,0)))))))</f>
        <v/>
      </c>
      <c r="AI5">
        <f>IF(AA5,0,IF((J5+K5+L5+M5)/2&gt;=80,5,IF((J5+K5+L5+M5)/2&gt;=70,4,IF((J5+K5+L5+M5)/2&gt;=60,3.5,IF((J5+K5+L5+M5)/2&gt;=50,3,IF((J5+K5+L5+M5)/2&gt;=40,2,IF((J5+K5+L5+M5)/2&gt;=33,1,0)))))))</f>
        <v/>
      </c>
      <c r="AJ5">
        <f>IF(AB5,0,IF(N5+O5&gt;=80,5,IF(N5+O5&gt;=70,4,IF(N5+O5&gt;=60,3.5,IF(N5+O5&gt;=50,3,IF(N5+O5&gt;=40,2,IF(N5+O5&gt;=33,1,0)))))))</f>
        <v/>
      </c>
      <c r="AK5">
        <f>IF(AC5,0,IF(P5+Q5&gt;=80,5,IF(P5+Q5&gt;=70,4,IF(P5+Q5&gt;=60,3.5,IF(P5+Q5&gt;=50,3,IF(P5+Q5&gt;=40,2,IF(P5+Q5&gt;=33,1,0)))))))</f>
        <v/>
      </c>
      <c r="AL5">
        <f>IF(R5&lt;8.25,0,IF(R5*2&gt;=80,5,IF(R5*2&gt;=70,4,IF(R5*2&gt;=60,3.5,IF(R5*2&gt;=50,3,IF(R5*2&gt;=40,2,IF(R5*2&gt;=33,1,0)))))))</f>
        <v/>
      </c>
      <c r="AM5">
        <f>IF(S5&lt;33,0,IF(S5&gt;=80,5,IF(S5&gt;=70,4,IF(S5&gt;=60,3.5,IF(S5&gt;=50,3,IF(S5&gt;=40,2,IF(S5&gt;=33,1,0)))))))</f>
        <v/>
      </c>
      <c r="AN5">
        <f>(AE5+AF5+AG5+AH5+AI5+AJ5+AK5+AL5)/8</f>
        <v/>
      </c>
      <c r="AO5">
        <f>IF(AM5&gt;=2,(AM5-2)/8,0)</f>
        <v/>
      </c>
    </row>
    <row r="6">
      <c r="A6" t="n">
        <v>5</v>
      </c>
      <c r="B6" t="inlineStr">
        <is>
          <t>Rahim Uddin</t>
        </is>
      </c>
      <c r="C6" s="2" t="n">
        <v>74</v>
      </c>
      <c r="D6" s="2" t="n">
        <v>73</v>
      </c>
      <c r="E6" s="3" t="n">
        <v>82</v>
      </c>
      <c r="F6" s="2" t="n">
        <v>72</v>
      </c>
      <c r="G6" s="2" t="n">
        <v>70</v>
      </c>
      <c r="H6" s="2" t="n">
        <v>64</v>
      </c>
      <c r="I6" s="2" t="n">
        <v>63</v>
      </c>
      <c r="J6" s="4" t="n">
        <v>28</v>
      </c>
      <c r="K6" s="5" t="n">
        <v>43</v>
      </c>
      <c r="L6" s="4" t="n">
        <v>25</v>
      </c>
      <c r="M6" s="4" t="n">
        <v>27</v>
      </c>
      <c r="N6" s="4" t="n">
        <v>10</v>
      </c>
      <c r="O6" s="5" t="n">
        <v>47</v>
      </c>
      <c r="P6" s="4" t="n">
        <v>16</v>
      </c>
      <c r="Q6" s="4" t="n">
        <v>30</v>
      </c>
      <c r="R6" t="n">
        <v>31</v>
      </c>
      <c r="S6" t="n">
        <v>87</v>
      </c>
      <c r="T6" t="n">
        <v>84</v>
      </c>
      <c r="U6" t="n">
        <v>80</v>
      </c>
      <c r="V6">
        <f>SUM(C6:R6)</f>
        <v/>
      </c>
      <c r="W6" s="6">
        <f>ROUND(V6/11.5,2)</f>
        <v/>
      </c>
      <c r="X6" s="7">
        <f>IF(AD6,0,ROUND(AN6,2))</f>
        <v/>
      </c>
      <c r="Y6" s="7">
        <f>IF(AD6,0,MIN(5,ROUND(AN6+AO6,2)))</f>
        <v/>
      </c>
      <c r="Z6" s="8">
        <f>IF(Y6&gt;=5,"A+",IF(Y6&gt;=4,"A",IF(Y6&gt;=3.5,"A-",IF(Y6&gt;=3,"B",IF(Y6&gt;=2,"C",IF(Y6&gt;=1,"D","F"))))))</f>
        <v/>
      </c>
      <c r="AA6">
        <f>NOT(OR(AND(J6&gt;=10,K6&gt;=23,L6&gt;=10,M6&gt;=23),AND(J6+L6&gt;=20,K6+M6&gt;=46)))</f>
        <v/>
      </c>
      <c r="AB6">
        <f>OR(N6&lt;10,O6&lt;23)</f>
        <v/>
      </c>
      <c r="AC6">
        <f>OR(P6&lt;10,Q6&lt;23)</f>
        <v/>
      </c>
      <c r="AD6">
        <f>OR((C6+D6)&lt;66,(E6+F6)&lt;66,G6&lt;33,(H6+I6)&lt;66,AA6,AB6,AC6,R6&lt;8.25,T6&lt;33,U6&lt;33)</f>
        <v/>
      </c>
      <c r="AE6">
        <f>IF(C6+D6&lt;66,0,IF((C6+D6)/2&gt;=80,5,IF((C6+D6)/2&gt;=70,4,IF((C6+D6)/2&gt;=60,3.5,IF((C6+D6)/2&gt;=50,3,IF((C6+D6)/2&gt;=40,2,IF((C6+D6)/2&gt;=33,1,0)))))))</f>
        <v/>
      </c>
      <c r="AF6">
        <f>IF(E6+F6&lt;66,0,IF((E6+F6)/2&gt;=80,5,IF((E6+F6)/2&gt;=70,4,IF((E6+F6)/2&gt;=60,3.5,IF((E6+F6)/2&gt;=50,3,IF((E6+F6)/2&gt;=40,2,IF((E6+F6)/2&gt;=33,1,0)))))))</f>
        <v/>
      </c>
      <c r="AG6">
        <f>IF(G6&lt;33,0,IF(G6&gt;=80,5,IF(G6&gt;=70,4,IF(G6&gt;=60,3.5,IF(G6&gt;=50,3,IF(G6&gt;=40,2,IF(G6&gt;=33,1,0)))))))</f>
        <v/>
      </c>
      <c r="AH6">
        <f>IF(H6+I6&lt;66,0,IF((H6+I6)/2&gt;=80,5,IF((H6+I6)/2&gt;=70,4,IF((H6+I6)/2&gt;=60,3.5,IF((H6+I6)/2&gt;=50,3,IF((H6+I6)/2&gt;=40,2,IF((H6+I6)/2&gt;=33,1,0)))))))</f>
        <v/>
      </c>
      <c r="AI6">
        <f>IF(AA6,0,IF((J6+K6+L6+M6)/2&gt;=80,5,IF((J6+K6+L6+M6)/2&gt;=70,4,IF((J6+K6+L6+M6)/2&gt;=60,3.5,IF((J6+K6+L6+M6)/2&gt;=50,3,IF((J6+K6+L6+M6)/2&gt;=40,2,IF((J6+K6+L6+M6)/2&gt;=33,1,0)))))))</f>
        <v/>
      </c>
      <c r="AJ6">
        <f>IF(AB6,0,IF(N6+O6&gt;=80,5,IF(N6+O6&gt;=70,4,IF(N6+O6&gt;=60,3.5,IF(N6+O6&gt;=50,3,IF(N6+O6&gt;=40,2,IF(N6+O6&gt;=33,1,0)))))))</f>
        <v/>
      </c>
      <c r="AK6">
        <f>IF(AC6,0,IF(P6+Q6&gt;=80,5,IF(P6+Q6&gt;=70,4,IF(P6+Q6&gt;=60,3.5,IF(P6+Q6&gt;=50,3,IF(P6+Q6&gt;=40,2,IF(P6+Q6&gt;=33,1,0)))))))</f>
        <v/>
      </c>
      <c r="AL6">
        <f>IF(R6&lt;8.25,0,IF(R6*2&gt;=80,5,IF(R6*2&gt;=70,4,IF(R6*2&gt;=60,3.5,IF(R6*2&gt;=50,3,IF(R6*2&gt;=40,2,IF(R6*2&gt;=33,1,0)))))))</f>
        <v/>
      </c>
      <c r="AM6">
        <f>IF(S6&lt;33,0,IF(S6&gt;=80,5,IF(S6&gt;=70,4,IF(S6&gt;=60,3.5,IF(S6&gt;=50,3,IF(S6&gt;=40,2,IF(S6&gt;=33,1,0)))))))</f>
        <v/>
      </c>
      <c r="AN6">
        <f>(AE6+AF6+AG6+AH6+AI6+AJ6+AK6+AL6)/8</f>
        <v/>
      </c>
      <c r="AO6">
        <f>IF(AM6&gt;=2,(AM6-2)/8,0)</f>
        <v/>
      </c>
    </row>
    <row r="7">
      <c r="A7" t="n">
        <v>6</v>
      </c>
      <c r="B7" t="inlineStr">
        <is>
          <t>Nadia Islam</t>
        </is>
      </c>
      <c r="C7" s="2" t="n">
        <v>68</v>
      </c>
      <c r="D7" s="3" t="n">
        <v>90</v>
      </c>
      <c r="E7" s="3" t="n">
        <v>82</v>
      </c>
      <c r="F7" s="3" t="n">
        <v>92</v>
      </c>
      <c r="G7" s="3" t="n">
        <v>89</v>
      </c>
      <c r="H7" s="2" t="n">
        <v>71</v>
      </c>
      <c r="I7" s="2" t="n">
        <v>64</v>
      </c>
      <c r="J7" s="4" t="n">
        <v>18</v>
      </c>
      <c r="K7" s="4" t="n">
        <v>30</v>
      </c>
      <c r="L7" s="4" t="n">
        <v>12</v>
      </c>
      <c r="M7" s="4" t="n">
        <v>35</v>
      </c>
      <c r="N7" s="4" t="n">
        <v>24</v>
      </c>
      <c r="O7" s="5" t="n">
        <v>46</v>
      </c>
      <c r="P7" s="4" t="n">
        <v>22</v>
      </c>
      <c r="Q7" s="5" t="n">
        <v>44</v>
      </c>
      <c r="R7" t="n">
        <v>40</v>
      </c>
      <c r="S7" t="n">
        <v>88</v>
      </c>
      <c r="T7" t="n">
        <v>80</v>
      </c>
      <c r="U7" t="n">
        <v>89</v>
      </c>
      <c r="V7">
        <f>SUM(C7:R7)</f>
        <v/>
      </c>
      <c r="W7" s="6">
        <f>ROUND(V7/11.5,2)</f>
        <v/>
      </c>
      <c r="X7" s="7">
        <f>IF(AD7,0,ROUND(AN7,2))</f>
        <v/>
      </c>
      <c r="Y7" s="7">
        <f>IF(AD7,0,MIN(5,ROUND(AN7+AO7,2)))</f>
        <v/>
      </c>
      <c r="Z7" s="8">
        <f>IF(Y7&gt;=5,"A+",IF(Y7&gt;=4,"A",IF(Y7&gt;=3.5,"A-",IF(Y7&gt;=3,"B",IF(Y7&gt;=2,"C",IF(Y7&gt;=1,"D","F"))))))</f>
        <v/>
      </c>
      <c r="AA7">
        <f>NOT(OR(AND(J7&gt;=10,K7&gt;=23,L7&gt;=10,M7&gt;=23),AND(J7+L7&gt;=20,K7+M7&gt;=46)))</f>
        <v/>
      </c>
      <c r="AB7">
        <f>OR(N7&lt;10,O7&lt;23)</f>
        <v/>
      </c>
      <c r="AC7">
        <f>OR(P7&lt;10,Q7&lt;23)</f>
        <v/>
      </c>
      <c r="AD7">
        <f>OR((C7+D7)&lt;66,(E7+F7)&lt;66,G7&lt;33,(H7+I7)&lt;66,AA7,AB7,AC7,R7&lt;8.25,T7&lt;33,U7&lt;33)</f>
        <v/>
      </c>
      <c r="AE7">
        <f>IF(C7+D7&lt;66,0,IF((C7+D7)/2&gt;=80,5,IF((C7+D7)/2&gt;=70,4,IF((C7+D7)/2&gt;=60,3.5,IF((C7+D7)/2&gt;=50,3,IF((C7+D7)/2&gt;=40,2,IF((C7+D7)/2&gt;=33,1,0)))))))</f>
        <v/>
      </c>
      <c r="AF7">
        <f>IF(E7+F7&lt;66,0,IF((E7+F7)/2&gt;=80,5,IF((E7+F7)/2&gt;=70,4,IF((E7+F7)/2&gt;=60,3.5,IF((E7+F7)/2&gt;=50,3,IF((E7+F7)/2&gt;=40,2,IF((E7+F7)/2&gt;=33,1,0)))))))</f>
        <v/>
      </c>
      <c r="AG7">
        <f>IF(G7&lt;33,0,IF(G7&gt;=80,5,IF(G7&gt;=70,4,IF(G7&gt;=60,3.5,IF(G7&gt;=50,3,IF(G7&gt;=40,2,IF(G7&gt;=33,1,0)))))))</f>
        <v/>
      </c>
      <c r="AH7">
        <f>IF(H7+I7&lt;66,0,IF((H7+I7)/2&gt;=80,5,IF((H7+I7)/2&gt;=70,4,IF((H7+I7)/2&gt;=60,3.5,IF((H7+I7)/2&gt;=50,3,IF((H7+I7)/2&gt;=40,2,IF((H7+I7)/2&gt;=33,1,0)))))))</f>
        <v/>
      </c>
      <c r="AI7">
        <f>IF(AA7,0,IF((J7+K7+L7+M7)/2&gt;=80,5,IF((J7+K7+L7+M7)/2&gt;=70,4,IF((J7+K7+L7+M7)/2&gt;=60,3.5,IF((J7+K7+L7+M7)/2&gt;=50,3,IF((J7+K7+L7+M7)/2&gt;=40,2,IF((J7+K7+L7+M7)/2&gt;=33,1,0)))))))</f>
        <v/>
      </c>
      <c r="AJ7">
        <f>IF(AB7,0,IF(N7+O7&gt;=80,5,IF(N7+O7&gt;=70,4,IF(N7+O7&gt;=60,3.5,IF(N7+O7&gt;=50,3,IF(N7+O7&gt;=40,2,IF(N7+O7&gt;=33,1,0)))))))</f>
        <v/>
      </c>
      <c r="AK7">
        <f>IF(AC7,0,IF(P7+Q7&gt;=80,5,IF(P7+Q7&gt;=70,4,IF(P7+Q7&gt;=60,3.5,IF(P7+Q7&gt;=50,3,IF(P7+Q7&gt;=40,2,IF(P7+Q7&gt;=33,1,0)))))))</f>
        <v/>
      </c>
      <c r="AL7">
        <f>IF(R7&lt;8.25,0,IF(R7*2&gt;=80,5,IF(R7*2&gt;=70,4,IF(R7*2&gt;=60,3.5,IF(R7*2&gt;=50,3,IF(R7*2&gt;=40,2,IF(R7*2&gt;=33,1,0)))))))</f>
        <v/>
      </c>
      <c r="AM7">
        <f>IF(S7&lt;33,0,IF(S7&gt;=80,5,IF(S7&gt;=70,4,IF(S7&gt;=60,3.5,IF(S7&gt;=50,3,IF(S7&gt;=40,2,IF(S7&gt;=33,1,0)))))))</f>
        <v/>
      </c>
      <c r="AN7">
        <f>(AE7+AF7+AG7+AH7+AI7+AJ7+AK7+AL7)/8</f>
        <v/>
      </c>
      <c r="AO7">
        <f>IF(AM7&gt;=2,(AM7-2)/8,0)</f>
        <v/>
      </c>
    </row>
    <row r="8">
      <c r="A8" t="n">
        <v>7</v>
      </c>
      <c r="B8" t="inlineStr">
        <is>
          <t>Jahir Ahmed</t>
        </is>
      </c>
      <c r="C8" s="2" t="n">
        <v>66</v>
      </c>
      <c r="D8" s="3" t="n">
        <v>92</v>
      </c>
      <c r="E8" s="2" t="n">
        <v>76</v>
      </c>
      <c r="F8" s="2" t="n">
        <v>68</v>
      </c>
      <c r="G8" s="3" t="n">
        <v>84</v>
      </c>
      <c r="H8" s="2" t="n">
        <v>63</v>
      </c>
      <c r="I8" s="3" t="n">
        <v>80</v>
      </c>
      <c r="J8" s="4" t="n">
        <v>11</v>
      </c>
      <c r="K8" s="5" t="n">
        <v>54</v>
      </c>
      <c r="L8" s="4" t="n">
        <v>12</v>
      </c>
      <c r="M8" s="4" t="n">
        <v>34</v>
      </c>
      <c r="N8" s="4" t="n">
        <v>15</v>
      </c>
      <c r="O8" s="5" t="n">
        <v>49</v>
      </c>
      <c r="P8" s="4" t="n">
        <v>15</v>
      </c>
      <c r="Q8" s="4" t="n">
        <v>20</v>
      </c>
      <c r="R8" t="n">
        <v>31</v>
      </c>
      <c r="S8" t="n">
        <v>52</v>
      </c>
      <c r="T8" t="n">
        <v>94</v>
      </c>
      <c r="U8" t="n">
        <v>92</v>
      </c>
      <c r="V8">
        <f>SUM(C8:R8)</f>
        <v/>
      </c>
      <c r="W8" s="6">
        <f>ROUND(V8/11.5,2)</f>
        <v/>
      </c>
      <c r="X8" s="7">
        <f>IF(AD8,0,ROUND(AN8,2))</f>
        <v/>
      </c>
      <c r="Y8" s="7">
        <f>IF(AD8,0,MIN(5,ROUND(AN8+AO8,2)))</f>
        <v/>
      </c>
      <c r="Z8" s="8">
        <f>IF(Y8&gt;=5,"A+",IF(Y8&gt;=4,"A",IF(Y8&gt;=3.5,"A-",IF(Y8&gt;=3,"B",IF(Y8&gt;=2,"C",IF(Y8&gt;=1,"D","F"))))))</f>
        <v/>
      </c>
      <c r="AA8">
        <f>NOT(OR(AND(J8&gt;=10,K8&gt;=23,L8&gt;=10,M8&gt;=23),AND(J8+L8&gt;=20,K8+M8&gt;=46)))</f>
        <v/>
      </c>
      <c r="AB8">
        <f>OR(N8&lt;10,O8&lt;23)</f>
        <v/>
      </c>
      <c r="AC8">
        <f>OR(P8&lt;10,Q8&lt;23)</f>
        <v/>
      </c>
      <c r="AD8">
        <f>OR((C8+D8)&lt;66,(E8+F8)&lt;66,G8&lt;33,(H8+I8)&lt;66,AA8,AB8,AC8,R8&lt;8.25,T8&lt;33,U8&lt;33)</f>
        <v/>
      </c>
      <c r="AE8">
        <f>IF(C8+D8&lt;66,0,IF((C8+D8)/2&gt;=80,5,IF((C8+D8)/2&gt;=70,4,IF((C8+D8)/2&gt;=60,3.5,IF((C8+D8)/2&gt;=50,3,IF((C8+D8)/2&gt;=40,2,IF((C8+D8)/2&gt;=33,1,0)))))))</f>
        <v/>
      </c>
      <c r="AF8">
        <f>IF(E8+F8&lt;66,0,IF((E8+F8)/2&gt;=80,5,IF((E8+F8)/2&gt;=70,4,IF((E8+F8)/2&gt;=60,3.5,IF((E8+F8)/2&gt;=50,3,IF((E8+F8)/2&gt;=40,2,IF((E8+F8)/2&gt;=33,1,0)))))))</f>
        <v/>
      </c>
      <c r="AG8">
        <f>IF(G8&lt;33,0,IF(G8&gt;=80,5,IF(G8&gt;=70,4,IF(G8&gt;=60,3.5,IF(G8&gt;=50,3,IF(G8&gt;=40,2,IF(G8&gt;=33,1,0)))))))</f>
        <v/>
      </c>
      <c r="AH8">
        <f>IF(H8+I8&lt;66,0,IF((H8+I8)/2&gt;=80,5,IF((H8+I8)/2&gt;=70,4,IF((H8+I8)/2&gt;=60,3.5,IF((H8+I8)/2&gt;=50,3,IF((H8+I8)/2&gt;=40,2,IF((H8+I8)/2&gt;=33,1,0)))))))</f>
        <v/>
      </c>
      <c r="AI8">
        <f>IF(AA8,0,IF((J8+K8+L8+M8)/2&gt;=80,5,IF((J8+K8+L8+M8)/2&gt;=70,4,IF((J8+K8+L8+M8)/2&gt;=60,3.5,IF((J8+K8+L8+M8)/2&gt;=50,3,IF((J8+K8+L8+M8)/2&gt;=40,2,IF((J8+K8+L8+M8)/2&gt;=33,1,0)))))))</f>
        <v/>
      </c>
      <c r="AJ8">
        <f>IF(AB8,0,IF(N8+O8&gt;=80,5,IF(N8+O8&gt;=70,4,IF(N8+O8&gt;=60,3.5,IF(N8+O8&gt;=50,3,IF(N8+O8&gt;=40,2,IF(N8+O8&gt;=33,1,0)))))))</f>
        <v/>
      </c>
      <c r="AK8">
        <f>IF(AC8,0,IF(P8+Q8&gt;=80,5,IF(P8+Q8&gt;=70,4,IF(P8+Q8&gt;=60,3.5,IF(P8+Q8&gt;=50,3,IF(P8+Q8&gt;=40,2,IF(P8+Q8&gt;=33,1,0)))))))</f>
        <v/>
      </c>
      <c r="AL8">
        <f>IF(R8&lt;8.25,0,IF(R8*2&gt;=80,5,IF(R8*2&gt;=70,4,IF(R8*2&gt;=60,3.5,IF(R8*2&gt;=50,3,IF(R8*2&gt;=40,2,IF(R8*2&gt;=33,1,0)))))))</f>
        <v/>
      </c>
      <c r="AM8">
        <f>IF(S8&lt;33,0,IF(S8&gt;=80,5,IF(S8&gt;=70,4,IF(S8&gt;=60,3.5,IF(S8&gt;=50,3,IF(S8&gt;=40,2,IF(S8&gt;=33,1,0)))))))</f>
        <v/>
      </c>
      <c r="AN8">
        <f>(AE8+AF8+AG8+AH8+AI8+AJ8+AK8+AL8)/8</f>
        <v/>
      </c>
      <c r="AO8">
        <f>IF(AM8&gt;=2,(AM8-2)/8,0)</f>
        <v/>
      </c>
    </row>
    <row r="9">
      <c r="A9" t="n">
        <v>8</v>
      </c>
      <c r="B9" t="inlineStr">
        <is>
          <t>Sadia Sultana</t>
        </is>
      </c>
      <c r="C9" s="3" t="n">
        <v>94</v>
      </c>
      <c r="D9" s="2" t="n">
        <v>65</v>
      </c>
      <c r="E9" s="2" t="n">
        <v>62</v>
      </c>
      <c r="F9" s="2" t="n">
        <v>77</v>
      </c>
      <c r="G9" s="2" t="n">
        <v>77</v>
      </c>
      <c r="H9" s="2" t="n">
        <v>70</v>
      </c>
      <c r="I9" s="2" t="n">
        <v>65</v>
      </c>
      <c r="J9" s="4" t="n">
        <v>17</v>
      </c>
      <c r="K9" s="5" t="n">
        <v>53</v>
      </c>
      <c r="L9" s="4" t="n">
        <v>23</v>
      </c>
      <c r="M9" s="4" t="n">
        <v>24</v>
      </c>
      <c r="N9" s="4" t="n">
        <v>16</v>
      </c>
      <c r="O9" s="4" t="n">
        <v>23</v>
      </c>
      <c r="P9" s="4" t="n">
        <v>10</v>
      </c>
      <c r="Q9" s="5" t="n">
        <v>44</v>
      </c>
      <c r="R9" t="n">
        <v>31</v>
      </c>
      <c r="S9" t="n">
        <v>89</v>
      </c>
      <c r="T9" t="n">
        <v>72</v>
      </c>
      <c r="U9" t="n">
        <v>84</v>
      </c>
      <c r="V9">
        <f>SUM(C9:R9)</f>
        <v/>
      </c>
      <c r="W9" s="6">
        <f>ROUND(V9/11.5,2)</f>
        <v/>
      </c>
      <c r="X9" s="7">
        <f>IF(AD9,0,ROUND(AN9,2))</f>
        <v/>
      </c>
      <c r="Y9" s="7">
        <f>IF(AD9,0,MIN(5,ROUND(AN9+AO9,2)))</f>
        <v/>
      </c>
      <c r="Z9" s="8">
        <f>IF(Y9&gt;=5,"A+",IF(Y9&gt;=4,"A",IF(Y9&gt;=3.5,"A-",IF(Y9&gt;=3,"B",IF(Y9&gt;=2,"C",IF(Y9&gt;=1,"D","F"))))))</f>
        <v/>
      </c>
      <c r="AA9">
        <f>NOT(OR(AND(J9&gt;=10,K9&gt;=23,L9&gt;=10,M9&gt;=23),AND(J9+L9&gt;=20,K9+M9&gt;=46)))</f>
        <v/>
      </c>
      <c r="AB9">
        <f>OR(N9&lt;10,O9&lt;23)</f>
        <v/>
      </c>
      <c r="AC9">
        <f>OR(P9&lt;10,Q9&lt;23)</f>
        <v/>
      </c>
      <c r="AD9">
        <f>OR((C9+D9)&lt;66,(E9+F9)&lt;66,G9&lt;33,(H9+I9)&lt;66,AA9,AB9,AC9,R9&lt;8.25,T9&lt;33,U9&lt;33)</f>
        <v/>
      </c>
      <c r="AE9">
        <f>IF(C9+D9&lt;66,0,IF((C9+D9)/2&gt;=80,5,IF((C9+D9)/2&gt;=70,4,IF((C9+D9)/2&gt;=60,3.5,IF((C9+D9)/2&gt;=50,3,IF((C9+D9)/2&gt;=40,2,IF((C9+D9)/2&gt;=33,1,0)))))))</f>
        <v/>
      </c>
      <c r="AF9">
        <f>IF(E9+F9&lt;66,0,IF((E9+F9)/2&gt;=80,5,IF((E9+F9)/2&gt;=70,4,IF((E9+F9)/2&gt;=60,3.5,IF((E9+F9)/2&gt;=50,3,IF((E9+F9)/2&gt;=40,2,IF((E9+F9)/2&gt;=33,1,0)))))))</f>
        <v/>
      </c>
      <c r="AG9">
        <f>IF(G9&lt;33,0,IF(G9&gt;=80,5,IF(G9&gt;=70,4,IF(G9&gt;=60,3.5,IF(G9&gt;=50,3,IF(G9&gt;=40,2,IF(G9&gt;=33,1,0)))))))</f>
        <v/>
      </c>
      <c r="AH9">
        <f>IF(H9+I9&lt;66,0,IF((H9+I9)/2&gt;=80,5,IF((H9+I9)/2&gt;=70,4,IF((H9+I9)/2&gt;=60,3.5,IF((H9+I9)/2&gt;=50,3,IF((H9+I9)/2&gt;=40,2,IF((H9+I9)/2&gt;=33,1,0)))))))</f>
        <v/>
      </c>
      <c r="AI9">
        <f>IF(AA9,0,IF((J9+K9+L9+M9)/2&gt;=80,5,IF((J9+K9+L9+M9)/2&gt;=70,4,IF((J9+K9+L9+M9)/2&gt;=60,3.5,IF((J9+K9+L9+M9)/2&gt;=50,3,IF((J9+K9+L9+M9)/2&gt;=40,2,IF((J9+K9+L9+M9)/2&gt;=33,1,0)))))))</f>
        <v/>
      </c>
      <c r="AJ9">
        <f>IF(AB9,0,IF(N9+O9&gt;=80,5,IF(N9+O9&gt;=70,4,IF(N9+O9&gt;=60,3.5,IF(N9+O9&gt;=50,3,IF(N9+O9&gt;=40,2,IF(N9+O9&gt;=33,1,0)))))))</f>
        <v/>
      </c>
      <c r="AK9">
        <f>IF(AC9,0,IF(P9+Q9&gt;=80,5,IF(P9+Q9&gt;=70,4,IF(P9+Q9&gt;=60,3.5,IF(P9+Q9&gt;=50,3,IF(P9+Q9&gt;=40,2,IF(P9+Q9&gt;=33,1,0)))))))</f>
        <v/>
      </c>
      <c r="AL9">
        <f>IF(R9&lt;8.25,0,IF(R9*2&gt;=80,5,IF(R9*2&gt;=70,4,IF(R9*2&gt;=60,3.5,IF(R9*2&gt;=50,3,IF(R9*2&gt;=40,2,IF(R9*2&gt;=33,1,0)))))))</f>
        <v/>
      </c>
      <c r="AM9">
        <f>IF(S9&lt;33,0,IF(S9&gt;=80,5,IF(S9&gt;=70,4,IF(S9&gt;=60,3.5,IF(S9&gt;=50,3,IF(S9&gt;=40,2,IF(S9&gt;=33,1,0)))))))</f>
        <v/>
      </c>
      <c r="AN9">
        <f>(AE9+AF9+AG9+AH9+AI9+AJ9+AK9+AL9)/8</f>
        <v/>
      </c>
      <c r="AO9">
        <f>IF(AM9&gt;=2,(AM9-2)/8,0)</f>
        <v/>
      </c>
    </row>
    <row r="10">
      <c r="A10" t="n">
        <v>9</v>
      </c>
      <c r="B10" t="inlineStr">
        <is>
          <t>Tarik Hasan</t>
        </is>
      </c>
      <c r="C10" s="2" t="n">
        <v>65</v>
      </c>
      <c r="D10" s="3" t="n">
        <v>89</v>
      </c>
      <c r="E10" s="3" t="n">
        <v>89</v>
      </c>
      <c r="F10" s="2" t="n">
        <v>73</v>
      </c>
      <c r="G10" s="3" t="n">
        <v>95</v>
      </c>
      <c r="H10" s="3" t="n">
        <v>90</v>
      </c>
      <c r="I10" s="3" t="n">
        <v>85</v>
      </c>
      <c r="J10" s="4" t="n">
        <v>21</v>
      </c>
      <c r="K10" s="4" t="n">
        <v>20</v>
      </c>
      <c r="L10" s="4" t="n">
        <v>25</v>
      </c>
      <c r="M10" s="5" t="n">
        <v>41</v>
      </c>
      <c r="N10" s="4" t="n">
        <v>23</v>
      </c>
      <c r="O10" s="2" t="n">
        <v>63</v>
      </c>
      <c r="P10" s="4" t="n">
        <v>22</v>
      </c>
      <c r="Q10" s="4" t="n">
        <v>36</v>
      </c>
      <c r="R10" t="n">
        <v>48</v>
      </c>
      <c r="S10" t="n">
        <v>55</v>
      </c>
      <c r="T10" t="n">
        <v>70</v>
      </c>
      <c r="U10" t="n">
        <v>94</v>
      </c>
      <c r="V10">
        <f>SUM(C10:R10)</f>
        <v/>
      </c>
      <c r="W10" s="6">
        <f>ROUND(V10/11.5,2)</f>
        <v/>
      </c>
      <c r="X10" s="7">
        <f>IF(AD10,0,ROUND(AN10,2))</f>
        <v/>
      </c>
      <c r="Y10" s="7">
        <f>IF(AD10,0,MIN(5,ROUND(AN10+AO10,2)))</f>
        <v/>
      </c>
      <c r="Z10" s="8">
        <f>IF(Y10&gt;=5,"A+",IF(Y10&gt;=4,"A",IF(Y10&gt;=3.5,"A-",IF(Y10&gt;=3,"B",IF(Y10&gt;=2,"C",IF(Y10&gt;=1,"D","F"))))))</f>
        <v/>
      </c>
      <c r="AA10">
        <f>NOT(OR(AND(J10&gt;=10,K10&gt;=23,L10&gt;=10,M10&gt;=23),AND(J10+L10&gt;=20,K10+M10&gt;=46)))</f>
        <v/>
      </c>
      <c r="AB10">
        <f>OR(N10&lt;10,O10&lt;23)</f>
        <v/>
      </c>
      <c r="AC10">
        <f>OR(P10&lt;10,Q10&lt;23)</f>
        <v/>
      </c>
      <c r="AD10">
        <f>OR((C10+D10)&lt;66,(E10+F10)&lt;66,G10&lt;33,(H10+I10)&lt;66,AA10,AB10,AC10,R10&lt;8.25,T10&lt;33,U10&lt;33)</f>
        <v/>
      </c>
      <c r="AE10">
        <f>IF(C10+D10&lt;66,0,IF((C10+D10)/2&gt;=80,5,IF((C10+D10)/2&gt;=70,4,IF((C10+D10)/2&gt;=60,3.5,IF((C10+D10)/2&gt;=50,3,IF((C10+D10)/2&gt;=40,2,IF((C10+D10)/2&gt;=33,1,0)))))))</f>
        <v/>
      </c>
      <c r="AF10">
        <f>IF(E10+F10&lt;66,0,IF((E10+F10)/2&gt;=80,5,IF((E10+F10)/2&gt;=70,4,IF((E10+F10)/2&gt;=60,3.5,IF((E10+F10)/2&gt;=50,3,IF((E10+F10)/2&gt;=40,2,IF((E10+F10)/2&gt;=33,1,0)))))))</f>
        <v/>
      </c>
      <c r="AG10">
        <f>IF(G10&lt;33,0,IF(G10&gt;=80,5,IF(G10&gt;=70,4,IF(G10&gt;=60,3.5,IF(G10&gt;=50,3,IF(G10&gt;=40,2,IF(G10&gt;=33,1,0)))))))</f>
        <v/>
      </c>
      <c r="AH10">
        <f>IF(H10+I10&lt;66,0,IF((H10+I10)/2&gt;=80,5,IF((H10+I10)/2&gt;=70,4,IF((H10+I10)/2&gt;=60,3.5,IF((H10+I10)/2&gt;=50,3,IF((H10+I10)/2&gt;=40,2,IF((H10+I10)/2&gt;=33,1,0)))))))</f>
        <v/>
      </c>
      <c r="AI10">
        <f>IF(AA10,0,IF((J10+K10+L10+M10)/2&gt;=80,5,IF((J10+K10+L10+M10)/2&gt;=70,4,IF((J10+K10+L10+M10)/2&gt;=60,3.5,IF((J10+K10+L10+M10)/2&gt;=50,3,IF((J10+K10+L10+M10)/2&gt;=40,2,IF((J10+K10+L10+M10)/2&gt;=33,1,0)))))))</f>
        <v/>
      </c>
      <c r="AJ10">
        <f>IF(AB10,0,IF(N10+O10&gt;=80,5,IF(N10+O10&gt;=70,4,IF(N10+O10&gt;=60,3.5,IF(N10+O10&gt;=50,3,IF(N10+O10&gt;=40,2,IF(N10+O10&gt;=33,1,0)))))))</f>
        <v/>
      </c>
      <c r="AK10">
        <f>IF(AC10,0,IF(P10+Q10&gt;=80,5,IF(P10+Q10&gt;=70,4,IF(P10+Q10&gt;=60,3.5,IF(P10+Q10&gt;=50,3,IF(P10+Q10&gt;=40,2,IF(P10+Q10&gt;=33,1,0)))))))</f>
        <v/>
      </c>
      <c r="AL10">
        <f>IF(R10&lt;8.25,0,IF(R10*2&gt;=80,5,IF(R10*2&gt;=70,4,IF(R10*2&gt;=60,3.5,IF(R10*2&gt;=50,3,IF(R10*2&gt;=40,2,IF(R10*2&gt;=33,1,0)))))))</f>
        <v/>
      </c>
      <c r="AM10">
        <f>IF(S10&lt;33,0,IF(S10&gt;=80,5,IF(S10&gt;=70,4,IF(S10&gt;=60,3.5,IF(S10&gt;=50,3,IF(S10&gt;=40,2,IF(S10&gt;=33,1,0)))))))</f>
        <v/>
      </c>
      <c r="AN10">
        <f>(AE10+AF10+AG10+AH10+AI10+AJ10+AK10+AL10)/8</f>
        <v/>
      </c>
      <c r="AO10">
        <f>IF(AM10&gt;=2,(AM10-2)/8,0)</f>
        <v/>
      </c>
    </row>
    <row r="11">
      <c r="A11" t="n">
        <v>10</v>
      </c>
      <c r="B11" t="inlineStr">
        <is>
          <t>Ruhi Akter</t>
        </is>
      </c>
      <c r="C11" s="3" t="n">
        <v>87</v>
      </c>
      <c r="D11" s="3" t="n">
        <v>90</v>
      </c>
      <c r="E11" s="3" t="n">
        <v>94</v>
      </c>
      <c r="F11" s="2" t="n">
        <v>79</v>
      </c>
      <c r="G11" s="2" t="n">
        <v>74</v>
      </c>
      <c r="H11" s="3" t="n">
        <v>89</v>
      </c>
      <c r="I11" s="3" t="n">
        <v>81</v>
      </c>
      <c r="J11" s="4" t="n">
        <v>13</v>
      </c>
      <c r="K11" s="5" t="n">
        <v>58</v>
      </c>
      <c r="L11" s="4" t="n">
        <v>13</v>
      </c>
      <c r="M11" s="4" t="n">
        <v>21</v>
      </c>
      <c r="N11" s="4" t="n">
        <v>14</v>
      </c>
      <c r="O11" s="2" t="n">
        <v>61</v>
      </c>
      <c r="P11" s="4" t="n">
        <v>25</v>
      </c>
      <c r="Q11" s="5" t="n">
        <v>49</v>
      </c>
      <c r="R11" t="n">
        <v>45</v>
      </c>
      <c r="S11" t="n">
        <v>76</v>
      </c>
      <c r="T11" t="n">
        <v>84</v>
      </c>
      <c r="U11" t="n">
        <v>95</v>
      </c>
      <c r="V11">
        <f>SUM(C11:R11)</f>
        <v/>
      </c>
      <c r="W11" s="6">
        <f>ROUND(V11/11.5,2)</f>
        <v/>
      </c>
      <c r="X11" s="7">
        <f>IF(AD11,0,ROUND(AN11,2))</f>
        <v/>
      </c>
      <c r="Y11" s="7">
        <f>IF(AD11,0,MIN(5,ROUND(AN11+AO11,2)))</f>
        <v/>
      </c>
      <c r="Z11" s="8">
        <f>IF(Y11&gt;=5,"A+",IF(Y11&gt;=4,"A",IF(Y11&gt;=3.5,"A-",IF(Y11&gt;=3,"B",IF(Y11&gt;=2,"C",IF(Y11&gt;=1,"D","F"))))))</f>
        <v/>
      </c>
      <c r="AA11">
        <f>NOT(OR(AND(J11&gt;=10,K11&gt;=23,L11&gt;=10,M11&gt;=23),AND(J11+L11&gt;=20,K11+M11&gt;=46)))</f>
        <v/>
      </c>
      <c r="AB11">
        <f>OR(N11&lt;10,O11&lt;23)</f>
        <v/>
      </c>
      <c r="AC11">
        <f>OR(P11&lt;10,Q11&lt;23)</f>
        <v/>
      </c>
      <c r="AD11">
        <f>OR((C11+D11)&lt;66,(E11+F11)&lt;66,G11&lt;33,(H11+I11)&lt;66,AA11,AB11,AC11,R11&lt;8.25,T11&lt;33,U11&lt;33)</f>
        <v/>
      </c>
      <c r="AE11">
        <f>IF(C11+D11&lt;66,0,IF((C11+D11)/2&gt;=80,5,IF((C11+D11)/2&gt;=70,4,IF((C11+D11)/2&gt;=60,3.5,IF((C11+D11)/2&gt;=50,3,IF((C11+D11)/2&gt;=40,2,IF((C11+D11)/2&gt;=33,1,0)))))))</f>
        <v/>
      </c>
      <c r="AF11">
        <f>IF(E11+F11&lt;66,0,IF((E11+F11)/2&gt;=80,5,IF((E11+F11)/2&gt;=70,4,IF((E11+F11)/2&gt;=60,3.5,IF((E11+F11)/2&gt;=50,3,IF((E11+F11)/2&gt;=40,2,IF((E11+F11)/2&gt;=33,1,0)))))))</f>
        <v/>
      </c>
      <c r="AG11">
        <f>IF(G11&lt;33,0,IF(G11&gt;=80,5,IF(G11&gt;=70,4,IF(G11&gt;=60,3.5,IF(G11&gt;=50,3,IF(G11&gt;=40,2,IF(G11&gt;=33,1,0)))))))</f>
        <v/>
      </c>
      <c r="AH11">
        <f>IF(H11+I11&lt;66,0,IF((H11+I11)/2&gt;=80,5,IF((H11+I11)/2&gt;=70,4,IF((H11+I11)/2&gt;=60,3.5,IF((H11+I11)/2&gt;=50,3,IF((H11+I11)/2&gt;=40,2,IF((H11+I11)/2&gt;=33,1,0)))))))</f>
        <v/>
      </c>
      <c r="AI11">
        <f>IF(AA11,0,IF((J11+K11+L11+M11)/2&gt;=80,5,IF((J11+K11+L11+M11)/2&gt;=70,4,IF((J11+K11+L11+M11)/2&gt;=60,3.5,IF((J11+K11+L11+M11)/2&gt;=50,3,IF((J11+K11+L11+M11)/2&gt;=40,2,IF((J11+K11+L11+M11)/2&gt;=33,1,0)))))))</f>
        <v/>
      </c>
      <c r="AJ11">
        <f>IF(AB11,0,IF(N11+O11&gt;=80,5,IF(N11+O11&gt;=70,4,IF(N11+O11&gt;=60,3.5,IF(N11+O11&gt;=50,3,IF(N11+O11&gt;=40,2,IF(N11+O11&gt;=33,1,0)))))))</f>
        <v/>
      </c>
      <c r="AK11">
        <f>IF(AC11,0,IF(P11+Q11&gt;=80,5,IF(P11+Q11&gt;=70,4,IF(P11+Q11&gt;=60,3.5,IF(P11+Q11&gt;=50,3,IF(P11+Q11&gt;=40,2,IF(P11+Q11&gt;=33,1,0)))))))</f>
        <v/>
      </c>
      <c r="AL11">
        <f>IF(R11&lt;8.25,0,IF(R11*2&gt;=80,5,IF(R11*2&gt;=70,4,IF(R11*2&gt;=60,3.5,IF(R11*2&gt;=50,3,IF(R11*2&gt;=40,2,IF(R11*2&gt;=33,1,0)))))))</f>
        <v/>
      </c>
      <c r="AM11">
        <f>IF(S11&lt;33,0,IF(S11&gt;=80,5,IF(S11&gt;=70,4,IF(S11&gt;=60,3.5,IF(S11&gt;=50,3,IF(S11&gt;=40,2,IF(S11&gt;=33,1,0)))))))</f>
        <v/>
      </c>
      <c r="AN11">
        <f>(AE11+AF11+AG11+AH11+AI11+AJ11+AK11+AL11)/8</f>
        <v/>
      </c>
      <c r="AO11">
        <f>IF(AM11&gt;=2,(AM11-2)/8,0)</f>
        <v/>
      </c>
    </row>
    <row r="12">
      <c r="A12" t="n">
        <v>11</v>
      </c>
      <c r="B12" t="inlineStr">
        <is>
          <t>Mehedi Hassan</t>
        </is>
      </c>
      <c r="C12" s="2" t="n">
        <v>62</v>
      </c>
      <c r="D12" s="2" t="n">
        <v>70</v>
      </c>
      <c r="E12" s="2" t="n">
        <v>67</v>
      </c>
      <c r="F12" s="3" t="n">
        <v>85</v>
      </c>
      <c r="G12" s="3" t="n">
        <v>80</v>
      </c>
      <c r="H12" s="2" t="n">
        <v>71</v>
      </c>
      <c r="I12" s="2" t="n">
        <v>73</v>
      </c>
      <c r="J12" s="4" t="n">
        <v>22</v>
      </c>
      <c r="K12" s="5" t="n">
        <v>40</v>
      </c>
      <c r="L12" s="4" t="n">
        <v>16</v>
      </c>
      <c r="M12" s="5" t="n">
        <v>57</v>
      </c>
      <c r="N12" s="4" t="n">
        <v>25</v>
      </c>
      <c r="O12" s="2" t="n">
        <v>61</v>
      </c>
      <c r="P12" s="4" t="n">
        <v>11</v>
      </c>
      <c r="Q12" s="4" t="n">
        <v>38</v>
      </c>
      <c r="R12" t="n">
        <v>46</v>
      </c>
      <c r="S12" t="n">
        <v>87</v>
      </c>
      <c r="T12" t="n">
        <v>89</v>
      </c>
      <c r="U12" t="n">
        <v>91</v>
      </c>
      <c r="V12">
        <f>SUM(C12:R12)</f>
        <v/>
      </c>
      <c r="W12" s="6">
        <f>ROUND(V12/11.5,2)</f>
        <v/>
      </c>
      <c r="X12" s="7">
        <f>IF(AD12,0,ROUND(AN12,2))</f>
        <v/>
      </c>
      <c r="Y12" s="7">
        <f>IF(AD12,0,MIN(5,ROUND(AN12+AO12,2)))</f>
        <v/>
      </c>
      <c r="Z12" s="8">
        <f>IF(Y12&gt;=5,"A+",IF(Y12&gt;=4,"A",IF(Y12&gt;=3.5,"A-",IF(Y12&gt;=3,"B",IF(Y12&gt;=2,"C",IF(Y12&gt;=1,"D","F"))))))</f>
        <v/>
      </c>
      <c r="AA12">
        <f>NOT(OR(AND(J12&gt;=10,K12&gt;=23,L12&gt;=10,M12&gt;=23),AND(J12+L12&gt;=20,K12+M12&gt;=46)))</f>
        <v/>
      </c>
      <c r="AB12">
        <f>OR(N12&lt;10,O12&lt;23)</f>
        <v/>
      </c>
      <c r="AC12">
        <f>OR(P12&lt;10,Q12&lt;23)</f>
        <v/>
      </c>
      <c r="AD12">
        <f>OR((C12+D12)&lt;66,(E12+F12)&lt;66,G12&lt;33,(H12+I12)&lt;66,AA12,AB12,AC12,R12&lt;8.25,T12&lt;33,U12&lt;33)</f>
        <v/>
      </c>
      <c r="AE12">
        <f>IF(C12+D12&lt;66,0,IF((C12+D12)/2&gt;=80,5,IF((C12+D12)/2&gt;=70,4,IF((C12+D12)/2&gt;=60,3.5,IF((C12+D12)/2&gt;=50,3,IF((C12+D12)/2&gt;=40,2,IF((C12+D12)/2&gt;=33,1,0)))))))</f>
        <v/>
      </c>
      <c r="AF12">
        <f>IF(E12+F12&lt;66,0,IF((E12+F12)/2&gt;=80,5,IF((E12+F12)/2&gt;=70,4,IF((E12+F12)/2&gt;=60,3.5,IF((E12+F12)/2&gt;=50,3,IF((E12+F12)/2&gt;=40,2,IF((E12+F12)/2&gt;=33,1,0)))))))</f>
        <v/>
      </c>
      <c r="AG12">
        <f>IF(G12&lt;33,0,IF(G12&gt;=80,5,IF(G12&gt;=70,4,IF(G12&gt;=60,3.5,IF(G12&gt;=50,3,IF(G12&gt;=40,2,IF(G12&gt;=33,1,0)))))))</f>
        <v/>
      </c>
      <c r="AH12">
        <f>IF(H12+I12&lt;66,0,IF((H12+I12)/2&gt;=80,5,IF((H12+I12)/2&gt;=70,4,IF((H12+I12)/2&gt;=60,3.5,IF((H12+I12)/2&gt;=50,3,IF((H12+I12)/2&gt;=40,2,IF((H12+I12)/2&gt;=33,1,0)))))))</f>
        <v/>
      </c>
      <c r="AI12">
        <f>IF(AA12,0,IF((J12+K12+L12+M12)/2&gt;=80,5,IF((J12+K12+L12+M12)/2&gt;=70,4,IF((J12+K12+L12+M12)/2&gt;=60,3.5,IF((J12+K12+L12+M12)/2&gt;=50,3,IF((J12+K12+L12+M12)/2&gt;=40,2,IF((J12+K12+L12+M12)/2&gt;=33,1,0)))))))</f>
        <v/>
      </c>
      <c r="AJ12">
        <f>IF(AB12,0,IF(N12+O12&gt;=80,5,IF(N12+O12&gt;=70,4,IF(N12+O12&gt;=60,3.5,IF(N12+O12&gt;=50,3,IF(N12+O12&gt;=40,2,IF(N12+O12&gt;=33,1,0)))))))</f>
        <v/>
      </c>
      <c r="AK12">
        <f>IF(AC12,0,IF(P12+Q12&gt;=80,5,IF(P12+Q12&gt;=70,4,IF(P12+Q12&gt;=60,3.5,IF(P12+Q12&gt;=50,3,IF(P12+Q12&gt;=40,2,IF(P12+Q12&gt;=33,1,0)))))))</f>
        <v/>
      </c>
      <c r="AL12">
        <f>IF(R12&lt;8.25,0,IF(R12*2&gt;=80,5,IF(R12*2&gt;=70,4,IF(R12*2&gt;=60,3.5,IF(R12*2&gt;=50,3,IF(R12*2&gt;=40,2,IF(R12*2&gt;=33,1,0)))))))</f>
        <v/>
      </c>
      <c r="AM12">
        <f>IF(S12&lt;33,0,IF(S12&gt;=80,5,IF(S12&gt;=70,4,IF(S12&gt;=60,3.5,IF(S12&gt;=50,3,IF(S12&gt;=40,2,IF(S12&gt;=33,1,0)))))))</f>
        <v/>
      </c>
      <c r="AN12">
        <f>(AE12+AF12+AG12+AH12+AI12+AJ12+AK12+AL12)/8</f>
        <v/>
      </c>
      <c r="AO12">
        <f>IF(AM12&gt;=2,(AM12-2)/8,0)</f>
        <v/>
      </c>
    </row>
    <row r="13">
      <c r="A13" t="n">
        <v>12</v>
      </c>
      <c r="B13" t="inlineStr">
        <is>
          <t>Lubna Khatun</t>
        </is>
      </c>
      <c r="C13" s="2" t="n">
        <v>61</v>
      </c>
      <c r="D13" s="3" t="n">
        <v>87</v>
      </c>
      <c r="E13" s="3" t="n">
        <v>84</v>
      </c>
      <c r="F13" s="3" t="n">
        <v>91</v>
      </c>
      <c r="G13" s="2" t="n">
        <v>63</v>
      </c>
      <c r="H13" s="3" t="n">
        <v>92</v>
      </c>
      <c r="I13" s="2" t="n">
        <v>79</v>
      </c>
      <c r="J13" s="4" t="n">
        <v>8</v>
      </c>
      <c r="K13" s="5" t="n">
        <v>51</v>
      </c>
      <c r="L13" s="4" t="n">
        <v>24</v>
      </c>
      <c r="M13" s="5" t="n">
        <v>55</v>
      </c>
      <c r="N13" s="4" t="n">
        <v>12</v>
      </c>
      <c r="O13" s="4" t="n">
        <v>26</v>
      </c>
      <c r="P13" s="4" t="n">
        <v>9</v>
      </c>
      <c r="Q13" s="5" t="n">
        <v>47</v>
      </c>
      <c r="R13" t="n">
        <v>46</v>
      </c>
      <c r="S13" t="n">
        <v>86</v>
      </c>
      <c r="T13" t="n">
        <v>88</v>
      </c>
      <c r="U13" t="n">
        <v>75</v>
      </c>
      <c r="V13">
        <f>SUM(C13:R13)</f>
        <v/>
      </c>
      <c r="W13" s="6">
        <f>ROUND(V13/11.5,2)</f>
        <v/>
      </c>
      <c r="X13" s="7">
        <f>IF(AD13,0,ROUND(AN13,2))</f>
        <v/>
      </c>
      <c r="Y13" s="7">
        <f>IF(AD13,0,MIN(5,ROUND(AN13+AO13,2)))</f>
        <v/>
      </c>
      <c r="Z13" s="8">
        <f>IF(Y13&gt;=5,"A+",IF(Y13&gt;=4,"A",IF(Y13&gt;=3.5,"A-",IF(Y13&gt;=3,"B",IF(Y13&gt;=2,"C",IF(Y13&gt;=1,"D","F"))))))</f>
        <v/>
      </c>
      <c r="AA13">
        <f>NOT(OR(AND(J13&gt;=10,K13&gt;=23,L13&gt;=10,M13&gt;=23),AND(J13+L13&gt;=20,K13+M13&gt;=46)))</f>
        <v/>
      </c>
      <c r="AB13">
        <f>OR(N13&lt;10,O13&lt;23)</f>
        <v/>
      </c>
      <c r="AC13">
        <f>OR(P13&lt;10,Q13&lt;23)</f>
        <v/>
      </c>
      <c r="AD13">
        <f>OR((C13+D13)&lt;66,(E13+F13)&lt;66,G13&lt;33,(H13+I13)&lt;66,AA13,AB13,AC13,R13&lt;8.25,T13&lt;33,U13&lt;33)</f>
        <v/>
      </c>
      <c r="AE13">
        <f>IF(C13+D13&lt;66,0,IF((C13+D13)/2&gt;=80,5,IF((C13+D13)/2&gt;=70,4,IF((C13+D13)/2&gt;=60,3.5,IF((C13+D13)/2&gt;=50,3,IF((C13+D13)/2&gt;=40,2,IF((C13+D13)/2&gt;=33,1,0)))))))</f>
        <v/>
      </c>
      <c r="AF13">
        <f>IF(E13+F13&lt;66,0,IF((E13+F13)/2&gt;=80,5,IF((E13+F13)/2&gt;=70,4,IF((E13+F13)/2&gt;=60,3.5,IF((E13+F13)/2&gt;=50,3,IF((E13+F13)/2&gt;=40,2,IF((E13+F13)/2&gt;=33,1,0)))))))</f>
        <v/>
      </c>
      <c r="AG13">
        <f>IF(G13&lt;33,0,IF(G13&gt;=80,5,IF(G13&gt;=70,4,IF(G13&gt;=60,3.5,IF(G13&gt;=50,3,IF(G13&gt;=40,2,IF(G13&gt;=33,1,0)))))))</f>
        <v/>
      </c>
      <c r="AH13">
        <f>IF(H13+I13&lt;66,0,IF((H13+I13)/2&gt;=80,5,IF((H13+I13)/2&gt;=70,4,IF((H13+I13)/2&gt;=60,3.5,IF((H13+I13)/2&gt;=50,3,IF((H13+I13)/2&gt;=40,2,IF((H13+I13)/2&gt;=33,1,0)))))))</f>
        <v/>
      </c>
      <c r="AI13">
        <f>IF(AA13,0,IF((J13+K13+L13+M13)/2&gt;=80,5,IF((J13+K13+L13+M13)/2&gt;=70,4,IF((J13+K13+L13+M13)/2&gt;=60,3.5,IF((J13+K13+L13+M13)/2&gt;=50,3,IF((J13+K13+L13+M13)/2&gt;=40,2,IF((J13+K13+L13+M13)/2&gt;=33,1,0)))))))</f>
        <v/>
      </c>
      <c r="AJ13">
        <f>IF(AB13,0,IF(N13+O13&gt;=80,5,IF(N13+O13&gt;=70,4,IF(N13+O13&gt;=60,3.5,IF(N13+O13&gt;=50,3,IF(N13+O13&gt;=40,2,IF(N13+O13&gt;=33,1,0)))))))</f>
        <v/>
      </c>
      <c r="AK13">
        <f>IF(AC13,0,IF(P13+Q13&gt;=80,5,IF(P13+Q13&gt;=70,4,IF(P13+Q13&gt;=60,3.5,IF(P13+Q13&gt;=50,3,IF(P13+Q13&gt;=40,2,IF(P13+Q13&gt;=33,1,0)))))))</f>
        <v/>
      </c>
      <c r="AL13">
        <f>IF(R13&lt;8.25,0,IF(R13*2&gt;=80,5,IF(R13*2&gt;=70,4,IF(R13*2&gt;=60,3.5,IF(R13*2&gt;=50,3,IF(R13*2&gt;=40,2,IF(R13*2&gt;=33,1,0)))))))</f>
        <v/>
      </c>
      <c r="AM13">
        <f>IF(S13&lt;33,0,IF(S13&gt;=80,5,IF(S13&gt;=70,4,IF(S13&gt;=60,3.5,IF(S13&gt;=50,3,IF(S13&gt;=40,2,IF(S13&gt;=33,1,0)))))))</f>
        <v/>
      </c>
      <c r="AN13">
        <f>(AE13+AF13+AG13+AH13+AI13+AJ13+AK13+AL13)/8</f>
        <v/>
      </c>
      <c r="AO13">
        <f>IF(AM13&gt;=2,(AM13-2)/8,0)</f>
        <v/>
      </c>
    </row>
    <row r="14">
      <c r="A14" t="n">
        <v>13</v>
      </c>
      <c r="B14" t="inlineStr">
        <is>
          <t>Fahim Ahmed</t>
        </is>
      </c>
      <c r="C14" s="2" t="n">
        <v>65</v>
      </c>
      <c r="D14" s="2" t="n">
        <v>78</v>
      </c>
      <c r="E14" s="2" t="n">
        <v>65</v>
      </c>
      <c r="F14" s="2" t="n">
        <v>76</v>
      </c>
      <c r="G14" s="2" t="n">
        <v>74</v>
      </c>
      <c r="H14" s="3" t="n">
        <v>82</v>
      </c>
      <c r="I14" s="2" t="n">
        <v>62</v>
      </c>
      <c r="J14" s="4" t="n">
        <v>16</v>
      </c>
      <c r="K14" s="4" t="n">
        <v>21</v>
      </c>
      <c r="L14" s="4" t="n">
        <v>27</v>
      </c>
      <c r="M14" s="4" t="n">
        <v>34</v>
      </c>
      <c r="N14" s="4" t="n">
        <v>26</v>
      </c>
      <c r="O14" s="4" t="n">
        <v>23</v>
      </c>
      <c r="P14" s="4" t="n">
        <v>28</v>
      </c>
      <c r="Q14" s="2" t="n">
        <v>64</v>
      </c>
      <c r="R14" t="n">
        <v>35</v>
      </c>
      <c r="S14" t="n">
        <v>83</v>
      </c>
      <c r="T14" t="n">
        <v>73</v>
      </c>
      <c r="U14" t="n">
        <v>92</v>
      </c>
      <c r="V14">
        <f>SUM(C14:R14)</f>
        <v/>
      </c>
      <c r="W14" s="6">
        <f>ROUND(V14/11.5,2)</f>
        <v/>
      </c>
      <c r="X14" s="7">
        <f>IF(AD14,0,ROUND(AN14,2))</f>
        <v/>
      </c>
      <c r="Y14" s="7">
        <f>IF(AD14,0,MIN(5,ROUND(AN14+AO14,2)))</f>
        <v/>
      </c>
      <c r="Z14" s="8">
        <f>IF(Y14&gt;=5,"A+",IF(Y14&gt;=4,"A",IF(Y14&gt;=3.5,"A-",IF(Y14&gt;=3,"B",IF(Y14&gt;=2,"C",IF(Y14&gt;=1,"D","F"))))))</f>
        <v/>
      </c>
      <c r="AA14">
        <f>NOT(OR(AND(J14&gt;=10,K14&gt;=23,L14&gt;=10,M14&gt;=23),AND(J14+L14&gt;=20,K14+M14&gt;=46)))</f>
        <v/>
      </c>
      <c r="AB14">
        <f>OR(N14&lt;10,O14&lt;23)</f>
        <v/>
      </c>
      <c r="AC14">
        <f>OR(P14&lt;10,Q14&lt;23)</f>
        <v/>
      </c>
      <c r="AD14">
        <f>OR((C14+D14)&lt;66,(E14+F14)&lt;66,G14&lt;33,(H14+I14)&lt;66,AA14,AB14,AC14,R14&lt;8.25,T14&lt;33,U14&lt;33)</f>
        <v/>
      </c>
      <c r="AE14">
        <f>IF(C14+D14&lt;66,0,IF((C14+D14)/2&gt;=80,5,IF((C14+D14)/2&gt;=70,4,IF((C14+D14)/2&gt;=60,3.5,IF((C14+D14)/2&gt;=50,3,IF((C14+D14)/2&gt;=40,2,IF((C14+D14)/2&gt;=33,1,0)))))))</f>
        <v/>
      </c>
      <c r="AF14">
        <f>IF(E14+F14&lt;66,0,IF((E14+F14)/2&gt;=80,5,IF((E14+F14)/2&gt;=70,4,IF((E14+F14)/2&gt;=60,3.5,IF((E14+F14)/2&gt;=50,3,IF((E14+F14)/2&gt;=40,2,IF((E14+F14)/2&gt;=33,1,0)))))))</f>
        <v/>
      </c>
      <c r="AG14">
        <f>IF(G14&lt;33,0,IF(G14&gt;=80,5,IF(G14&gt;=70,4,IF(G14&gt;=60,3.5,IF(G14&gt;=50,3,IF(G14&gt;=40,2,IF(G14&gt;=33,1,0)))))))</f>
        <v/>
      </c>
      <c r="AH14">
        <f>IF(H14+I14&lt;66,0,IF((H14+I14)/2&gt;=80,5,IF((H14+I14)/2&gt;=70,4,IF((H14+I14)/2&gt;=60,3.5,IF((H14+I14)/2&gt;=50,3,IF((H14+I14)/2&gt;=40,2,IF((H14+I14)/2&gt;=33,1,0)))))))</f>
        <v/>
      </c>
      <c r="AI14">
        <f>IF(AA14,0,IF((J14+K14+L14+M14)/2&gt;=80,5,IF((J14+K14+L14+M14)/2&gt;=70,4,IF((J14+K14+L14+M14)/2&gt;=60,3.5,IF((J14+K14+L14+M14)/2&gt;=50,3,IF((J14+K14+L14+M14)/2&gt;=40,2,IF((J14+K14+L14+M14)/2&gt;=33,1,0)))))))</f>
        <v/>
      </c>
      <c r="AJ14">
        <f>IF(AB14,0,IF(N14+O14&gt;=80,5,IF(N14+O14&gt;=70,4,IF(N14+O14&gt;=60,3.5,IF(N14+O14&gt;=50,3,IF(N14+O14&gt;=40,2,IF(N14+O14&gt;=33,1,0)))))))</f>
        <v/>
      </c>
      <c r="AK14">
        <f>IF(AC14,0,IF(P14+Q14&gt;=80,5,IF(P14+Q14&gt;=70,4,IF(P14+Q14&gt;=60,3.5,IF(P14+Q14&gt;=50,3,IF(P14+Q14&gt;=40,2,IF(P14+Q14&gt;=33,1,0)))))))</f>
        <v/>
      </c>
      <c r="AL14">
        <f>IF(R14&lt;8.25,0,IF(R14*2&gt;=80,5,IF(R14*2&gt;=70,4,IF(R14*2&gt;=60,3.5,IF(R14*2&gt;=50,3,IF(R14*2&gt;=40,2,IF(R14*2&gt;=33,1,0)))))))</f>
        <v/>
      </c>
      <c r="AM14">
        <f>IF(S14&lt;33,0,IF(S14&gt;=80,5,IF(S14&gt;=70,4,IF(S14&gt;=60,3.5,IF(S14&gt;=50,3,IF(S14&gt;=40,2,IF(S14&gt;=33,1,0)))))))</f>
        <v/>
      </c>
      <c r="AN14">
        <f>(AE14+AF14+AG14+AH14+AI14+AJ14+AK14+AL14)/8</f>
        <v/>
      </c>
      <c r="AO14">
        <f>IF(AM14&gt;=2,(AM14-2)/8,0)</f>
        <v/>
      </c>
    </row>
    <row r="15">
      <c r="A15" t="n">
        <v>14</v>
      </c>
      <c r="B15" t="inlineStr">
        <is>
          <t>Samira Begum</t>
        </is>
      </c>
      <c r="C15" s="2" t="n">
        <v>73</v>
      </c>
      <c r="D15" s="2" t="n">
        <v>75</v>
      </c>
      <c r="E15" s="3" t="n">
        <v>95</v>
      </c>
      <c r="F15" s="2" t="n">
        <v>70</v>
      </c>
      <c r="G15" s="2" t="n">
        <v>62</v>
      </c>
      <c r="H15" s="3" t="n">
        <v>92</v>
      </c>
      <c r="I15" s="2" t="n">
        <v>72</v>
      </c>
      <c r="J15" s="4" t="n">
        <v>24</v>
      </c>
      <c r="K15" s="4" t="n">
        <v>27</v>
      </c>
      <c r="L15" s="4" t="n">
        <v>21</v>
      </c>
      <c r="M15" s="5" t="n">
        <v>57</v>
      </c>
      <c r="N15" s="4" t="n">
        <v>26</v>
      </c>
      <c r="O15" s="5" t="n">
        <v>45</v>
      </c>
      <c r="P15" s="4" t="n">
        <v>25</v>
      </c>
      <c r="Q15" s="5" t="n">
        <v>55</v>
      </c>
      <c r="R15" t="n">
        <v>31</v>
      </c>
      <c r="S15" t="n">
        <v>70</v>
      </c>
      <c r="T15" t="n">
        <v>72</v>
      </c>
      <c r="U15" t="n">
        <v>84</v>
      </c>
      <c r="V15">
        <f>SUM(C15:R15)</f>
        <v/>
      </c>
      <c r="W15" s="6">
        <f>ROUND(V15/11.5,2)</f>
        <v/>
      </c>
      <c r="X15" s="7">
        <f>IF(AD15,0,ROUND(AN15,2))</f>
        <v/>
      </c>
      <c r="Y15" s="7">
        <f>IF(AD15,0,MIN(5,ROUND(AN15+AO15,2)))</f>
        <v/>
      </c>
      <c r="Z15" s="8">
        <f>IF(Y15&gt;=5,"A+",IF(Y15&gt;=4,"A",IF(Y15&gt;=3.5,"A-",IF(Y15&gt;=3,"B",IF(Y15&gt;=2,"C",IF(Y15&gt;=1,"D","F"))))))</f>
        <v/>
      </c>
      <c r="AA15">
        <f>NOT(OR(AND(J15&gt;=10,K15&gt;=23,L15&gt;=10,M15&gt;=23),AND(J15+L15&gt;=20,K15+M15&gt;=46)))</f>
        <v/>
      </c>
      <c r="AB15">
        <f>OR(N15&lt;10,O15&lt;23)</f>
        <v/>
      </c>
      <c r="AC15">
        <f>OR(P15&lt;10,Q15&lt;23)</f>
        <v/>
      </c>
      <c r="AD15">
        <f>OR((C15+D15)&lt;66,(E15+F15)&lt;66,G15&lt;33,(H15+I15)&lt;66,AA15,AB15,AC15,R15&lt;8.25,T15&lt;33,U15&lt;33)</f>
        <v/>
      </c>
      <c r="AE15">
        <f>IF(C15+D15&lt;66,0,IF((C15+D15)/2&gt;=80,5,IF((C15+D15)/2&gt;=70,4,IF((C15+D15)/2&gt;=60,3.5,IF((C15+D15)/2&gt;=50,3,IF((C15+D15)/2&gt;=40,2,IF((C15+D15)/2&gt;=33,1,0)))))))</f>
        <v/>
      </c>
      <c r="AF15">
        <f>IF(E15+F15&lt;66,0,IF((E15+F15)/2&gt;=80,5,IF((E15+F15)/2&gt;=70,4,IF((E15+F15)/2&gt;=60,3.5,IF((E15+F15)/2&gt;=50,3,IF((E15+F15)/2&gt;=40,2,IF((E15+F15)/2&gt;=33,1,0)))))))</f>
        <v/>
      </c>
      <c r="AG15">
        <f>IF(G15&lt;33,0,IF(G15&gt;=80,5,IF(G15&gt;=70,4,IF(G15&gt;=60,3.5,IF(G15&gt;=50,3,IF(G15&gt;=40,2,IF(G15&gt;=33,1,0)))))))</f>
        <v/>
      </c>
      <c r="AH15">
        <f>IF(H15+I15&lt;66,0,IF((H15+I15)/2&gt;=80,5,IF((H15+I15)/2&gt;=70,4,IF((H15+I15)/2&gt;=60,3.5,IF((H15+I15)/2&gt;=50,3,IF((H15+I15)/2&gt;=40,2,IF((H15+I15)/2&gt;=33,1,0)))))))</f>
        <v/>
      </c>
      <c r="AI15">
        <f>IF(AA15,0,IF((J15+K15+L15+M15)/2&gt;=80,5,IF((J15+K15+L15+M15)/2&gt;=70,4,IF((J15+K15+L15+M15)/2&gt;=60,3.5,IF((J15+K15+L15+M15)/2&gt;=50,3,IF((J15+K15+L15+M15)/2&gt;=40,2,IF((J15+K15+L15+M15)/2&gt;=33,1,0)))))))</f>
        <v/>
      </c>
      <c r="AJ15">
        <f>IF(AB15,0,IF(N15+O15&gt;=80,5,IF(N15+O15&gt;=70,4,IF(N15+O15&gt;=60,3.5,IF(N15+O15&gt;=50,3,IF(N15+O15&gt;=40,2,IF(N15+O15&gt;=33,1,0)))))))</f>
        <v/>
      </c>
      <c r="AK15">
        <f>IF(AC15,0,IF(P15+Q15&gt;=80,5,IF(P15+Q15&gt;=70,4,IF(P15+Q15&gt;=60,3.5,IF(P15+Q15&gt;=50,3,IF(P15+Q15&gt;=40,2,IF(P15+Q15&gt;=33,1,0)))))))</f>
        <v/>
      </c>
      <c r="AL15">
        <f>IF(R15&lt;8.25,0,IF(R15*2&gt;=80,5,IF(R15*2&gt;=70,4,IF(R15*2&gt;=60,3.5,IF(R15*2&gt;=50,3,IF(R15*2&gt;=40,2,IF(R15*2&gt;=33,1,0)))))))</f>
        <v/>
      </c>
      <c r="AM15">
        <f>IF(S15&lt;33,0,IF(S15&gt;=80,5,IF(S15&gt;=70,4,IF(S15&gt;=60,3.5,IF(S15&gt;=50,3,IF(S15&gt;=40,2,IF(S15&gt;=33,1,0)))))))</f>
        <v/>
      </c>
      <c r="AN15">
        <f>(AE15+AF15+AG15+AH15+AI15+AJ15+AK15+AL15)/8</f>
        <v/>
      </c>
      <c r="AO15">
        <f>IF(AM15&gt;=2,(AM15-2)/8,0)</f>
        <v/>
      </c>
    </row>
    <row r="16">
      <c r="A16" t="n">
        <v>15</v>
      </c>
      <c r="B16" t="inlineStr">
        <is>
          <t>Imran Khan</t>
        </is>
      </c>
      <c r="C16" s="2" t="n">
        <v>74</v>
      </c>
      <c r="D16" s="2" t="n">
        <v>73</v>
      </c>
      <c r="E16" s="2" t="n">
        <v>78</v>
      </c>
      <c r="F16" s="2" t="n">
        <v>76</v>
      </c>
      <c r="G16" s="3" t="n">
        <v>80</v>
      </c>
      <c r="H16" s="3" t="n">
        <v>80</v>
      </c>
      <c r="I16" s="2" t="n">
        <v>72</v>
      </c>
      <c r="J16" s="4" t="n">
        <v>13</v>
      </c>
      <c r="K16" s="5" t="n">
        <v>43</v>
      </c>
      <c r="L16" s="4" t="n">
        <v>14</v>
      </c>
      <c r="M16" s="4" t="n">
        <v>34</v>
      </c>
      <c r="N16" s="4" t="n">
        <v>23</v>
      </c>
      <c r="O16" s="5" t="n">
        <v>41</v>
      </c>
      <c r="P16" s="4" t="n">
        <v>8</v>
      </c>
      <c r="Q16" s="2" t="n">
        <v>62</v>
      </c>
      <c r="R16" t="n">
        <v>46</v>
      </c>
      <c r="S16" t="n">
        <v>66</v>
      </c>
      <c r="T16" t="n">
        <v>87</v>
      </c>
      <c r="U16" t="n">
        <v>78</v>
      </c>
      <c r="V16">
        <f>SUM(C16:R16)</f>
        <v/>
      </c>
      <c r="W16" s="6">
        <f>ROUND(V16/11.5,2)</f>
        <v/>
      </c>
      <c r="X16" s="7">
        <f>IF(AD16,0,ROUND(AN16,2))</f>
        <v/>
      </c>
      <c r="Y16" s="7">
        <f>IF(AD16,0,MIN(5,ROUND(AN16+AO16,2)))</f>
        <v/>
      </c>
      <c r="Z16" s="8">
        <f>IF(Y16&gt;=5,"A+",IF(Y16&gt;=4,"A",IF(Y16&gt;=3.5,"A-",IF(Y16&gt;=3,"B",IF(Y16&gt;=2,"C",IF(Y16&gt;=1,"D","F"))))))</f>
        <v/>
      </c>
      <c r="AA16">
        <f>NOT(OR(AND(J16&gt;=10,K16&gt;=23,L16&gt;=10,M16&gt;=23),AND(J16+L16&gt;=20,K16+M16&gt;=46)))</f>
        <v/>
      </c>
      <c r="AB16">
        <f>OR(N16&lt;10,O16&lt;23)</f>
        <v/>
      </c>
      <c r="AC16">
        <f>OR(P16&lt;10,Q16&lt;23)</f>
        <v/>
      </c>
      <c r="AD16">
        <f>OR((C16+D16)&lt;66,(E16+F16)&lt;66,G16&lt;33,(H16+I16)&lt;66,AA16,AB16,AC16,R16&lt;8.25,T16&lt;33,U16&lt;33)</f>
        <v/>
      </c>
      <c r="AE16">
        <f>IF(C16+D16&lt;66,0,IF((C16+D16)/2&gt;=80,5,IF((C16+D16)/2&gt;=70,4,IF((C16+D16)/2&gt;=60,3.5,IF((C16+D16)/2&gt;=50,3,IF((C16+D16)/2&gt;=40,2,IF((C16+D16)/2&gt;=33,1,0)))))))</f>
        <v/>
      </c>
      <c r="AF16">
        <f>IF(E16+F16&lt;66,0,IF((E16+F16)/2&gt;=80,5,IF((E16+F16)/2&gt;=70,4,IF((E16+F16)/2&gt;=60,3.5,IF((E16+F16)/2&gt;=50,3,IF((E16+F16)/2&gt;=40,2,IF((E16+F16)/2&gt;=33,1,0)))))))</f>
        <v/>
      </c>
      <c r="AG16">
        <f>IF(G16&lt;33,0,IF(G16&gt;=80,5,IF(G16&gt;=70,4,IF(G16&gt;=60,3.5,IF(G16&gt;=50,3,IF(G16&gt;=40,2,IF(G16&gt;=33,1,0)))))))</f>
        <v/>
      </c>
      <c r="AH16">
        <f>IF(H16+I16&lt;66,0,IF((H16+I16)/2&gt;=80,5,IF((H16+I16)/2&gt;=70,4,IF((H16+I16)/2&gt;=60,3.5,IF((H16+I16)/2&gt;=50,3,IF((H16+I16)/2&gt;=40,2,IF((H16+I16)/2&gt;=33,1,0)))))))</f>
        <v/>
      </c>
      <c r="AI16">
        <f>IF(AA16,0,IF((J16+K16+L16+M16)/2&gt;=80,5,IF((J16+K16+L16+M16)/2&gt;=70,4,IF((J16+K16+L16+M16)/2&gt;=60,3.5,IF((J16+K16+L16+M16)/2&gt;=50,3,IF((J16+K16+L16+M16)/2&gt;=40,2,IF((J16+K16+L16+M16)/2&gt;=33,1,0)))))))</f>
        <v/>
      </c>
      <c r="AJ16">
        <f>IF(AB16,0,IF(N16+O16&gt;=80,5,IF(N16+O16&gt;=70,4,IF(N16+O16&gt;=60,3.5,IF(N16+O16&gt;=50,3,IF(N16+O16&gt;=40,2,IF(N16+O16&gt;=33,1,0)))))))</f>
        <v/>
      </c>
      <c r="AK16">
        <f>IF(AC16,0,IF(P16+Q16&gt;=80,5,IF(P16+Q16&gt;=70,4,IF(P16+Q16&gt;=60,3.5,IF(P16+Q16&gt;=50,3,IF(P16+Q16&gt;=40,2,IF(P16+Q16&gt;=33,1,0)))))))</f>
        <v/>
      </c>
      <c r="AL16">
        <f>IF(R16&lt;8.25,0,IF(R16*2&gt;=80,5,IF(R16*2&gt;=70,4,IF(R16*2&gt;=60,3.5,IF(R16*2&gt;=50,3,IF(R16*2&gt;=40,2,IF(R16*2&gt;=33,1,0)))))))</f>
        <v/>
      </c>
      <c r="AM16">
        <f>IF(S16&lt;33,0,IF(S16&gt;=80,5,IF(S16&gt;=70,4,IF(S16&gt;=60,3.5,IF(S16&gt;=50,3,IF(S16&gt;=40,2,IF(S16&gt;=33,1,0)))))))</f>
        <v/>
      </c>
      <c r="AN16">
        <f>(AE16+AF16+AG16+AH16+AI16+AJ16+AK16+AL16)/8</f>
        <v/>
      </c>
      <c r="AO16">
        <f>IF(AM16&gt;=2,(AM16-2)/8,0)</f>
        <v/>
      </c>
    </row>
    <row r="17">
      <c r="A17" t="n">
        <v>16</v>
      </c>
      <c r="B17" t="inlineStr">
        <is>
          <t>Rafia Islam</t>
        </is>
      </c>
      <c r="C17" s="3" t="n">
        <v>92</v>
      </c>
      <c r="D17" s="2" t="n">
        <v>69</v>
      </c>
      <c r="E17" s="3" t="n">
        <v>83</v>
      </c>
      <c r="F17" s="2" t="n">
        <v>76</v>
      </c>
      <c r="G17" s="3" t="n">
        <v>85</v>
      </c>
      <c r="H17" s="2" t="n">
        <v>78</v>
      </c>
      <c r="I17" s="2" t="n">
        <v>79</v>
      </c>
      <c r="J17" s="4" t="n">
        <v>24</v>
      </c>
      <c r="K17" s="4" t="n">
        <v>39</v>
      </c>
      <c r="L17" s="4" t="n">
        <v>25</v>
      </c>
      <c r="M17" s="4" t="n">
        <v>20</v>
      </c>
      <c r="N17" s="4" t="n">
        <v>15</v>
      </c>
      <c r="O17" s="4" t="n">
        <v>26</v>
      </c>
      <c r="P17" s="4" t="n">
        <v>10</v>
      </c>
      <c r="Q17" s="2" t="n">
        <v>65</v>
      </c>
      <c r="R17" t="n">
        <v>32</v>
      </c>
      <c r="S17" t="n">
        <v>63</v>
      </c>
      <c r="T17" t="n">
        <v>76</v>
      </c>
      <c r="U17" t="n">
        <v>79</v>
      </c>
      <c r="V17">
        <f>SUM(C17:R17)</f>
        <v/>
      </c>
      <c r="W17" s="6">
        <f>ROUND(V17/11.5,2)</f>
        <v/>
      </c>
      <c r="X17" s="7">
        <f>IF(AD17,0,ROUND(AN17,2))</f>
        <v/>
      </c>
      <c r="Y17" s="7">
        <f>IF(AD17,0,MIN(5,ROUND(AN17+AO17,2)))</f>
        <v/>
      </c>
      <c r="Z17" s="8">
        <f>IF(Y17&gt;=5,"A+",IF(Y17&gt;=4,"A",IF(Y17&gt;=3.5,"A-",IF(Y17&gt;=3,"B",IF(Y17&gt;=2,"C",IF(Y17&gt;=1,"D","F"))))))</f>
        <v/>
      </c>
      <c r="AA17">
        <f>NOT(OR(AND(J17&gt;=10,K17&gt;=23,L17&gt;=10,M17&gt;=23),AND(J17+L17&gt;=20,K17+M17&gt;=46)))</f>
        <v/>
      </c>
      <c r="AB17">
        <f>OR(N17&lt;10,O17&lt;23)</f>
        <v/>
      </c>
      <c r="AC17">
        <f>OR(P17&lt;10,Q17&lt;23)</f>
        <v/>
      </c>
      <c r="AD17">
        <f>OR((C17+D17)&lt;66,(E17+F17)&lt;66,G17&lt;33,(H17+I17)&lt;66,AA17,AB17,AC17,R17&lt;8.25,T17&lt;33,U17&lt;33)</f>
        <v/>
      </c>
      <c r="AE17">
        <f>IF(C17+D17&lt;66,0,IF((C17+D17)/2&gt;=80,5,IF((C17+D17)/2&gt;=70,4,IF((C17+D17)/2&gt;=60,3.5,IF((C17+D17)/2&gt;=50,3,IF((C17+D17)/2&gt;=40,2,IF((C17+D17)/2&gt;=33,1,0)))))))</f>
        <v/>
      </c>
      <c r="AF17">
        <f>IF(E17+F17&lt;66,0,IF((E17+F17)/2&gt;=80,5,IF((E17+F17)/2&gt;=70,4,IF((E17+F17)/2&gt;=60,3.5,IF((E17+F17)/2&gt;=50,3,IF((E17+F17)/2&gt;=40,2,IF((E17+F17)/2&gt;=33,1,0)))))))</f>
        <v/>
      </c>
      <c r="AG17">
        <f>IF(G17&lt;33,0,IF(G17&gt;=80,5,IF(G17&gt;=70,4,IF(G17&gt;=60,3.5,IF(G17&gt;=50,3,IF(G17&gt;=40,2,IF(G17&gt;=33,1,0)))))))</f>
        <v/>
      </c>
      <c r="AH17">
        <f>IF(H17+I17&lt;66,0,IF((H17+I17)/2&gt;=80,5,IF((H17+I17)/2&gt;=70,4,IF((H17+I17)/2&gt;=60,3.5,IF((H17+I17)/2&gt;=50,3,IF((H17+I17)/2&gt;=40,2,IF((H17+I17)/2&gt;=33,1,0)))))))</f>
        <v/>
      </c>
      <c r="AI17">
        <f>IF(AA17,0,IF((J17+K17+L17+M17)/2&gt;=80,5,IF((J17+K17+L17+M17)/2&gt;=70,4,IF((J17+K17+L17+M17)/2&gt;=60,3.5,IF((J17+K17+L17+M17)/2&gt;=50,3,IF((J17+K17+L17+M17)/2&gt;=40,2,IF((J17+K17+L17+M17)/2&gt;=33,1,0)))))))</f>
        <v/>
      </c>
      <c r="AJ17">
        <f>IF(AB17,0,IF(N17+O17&gt;=80,5,IF(N17+O17&gt;=70,4,IF(N17+O17&gt;=60,3.5,IF(N17+O17&gt;=50,3,IF(N17+O17&gt;=40,2,IF(N17+O17&gt;=33,1,0)))))))</f>
        <v/>
      </c>
      <c r="AK17">
        <f>IF(AC17,0,IF(P17+Q17&gt;=80,5,IF(P17+Q17&gt;=70,4,IF(P17+Q17&gt;=60,3.5,IF(P17+Q17&gt;=50,3,IF(P17+Q17&gt;=40,2,IF(P17+Q17&gt;=33,1,0)))))))</f>
        <v/>
      </c>
      <c r="AL17">
        <f>IF(R17&lt;8.25,0,IF(R17*2&gt;=80,5,IF(R17*2&gt;=70,4,IF(R17*2&gt;=60,3.5,IF(R17*2&gt;=50,3,IF(R17*2&gt;=40,2,IF(R17*2&gt;=33,1,0)))))))</f>
        <v/>
      </c>
      <c r="AM17">
        <f>IF(S17&lt;33,0,IF(S17&gt;=80,5,IF(S17&gt;=70,4,IF(S17&gt;=60,3.5,IF(S17&gt;=50,3,IF(S17&gt;=40,2,IF(S17&gt;=33,1,0)))))))</f>
        <v/>
      </c>
      <c r="AN17">
        <f>(AE17+AF17+AG17+AH17+AI17+AJ17+AK17+AL17)/8</f>
        <v/>
      </c>
      <c r="AO17">
        <f>IF(AM17&gt;=2,(AM17-2)/8,0)</f>
        <v/>
      </c>
    </row>
    <row r="18">
      <c r="A18" t="n">
        <v>17</v>
      </c>
      <c r="B18" t="inlineStr">
        <is>
          <t>Shakib Rahman</t>
        </is>
      </c>
      <c r="C18" s="2" t="n">
        <v>61</v>
      </c>
      <c r="D18" s="2" t="n">
        <v>71</v>
      </c>
      <c r="E18" s="2" t="n">
        <v>72</v>
      </c>
      <c r="F18" s="2" t="n">
        <v>71</v>
      </c>
      <c r="G18" s="2" t="n">
        <v>77</v>
      </c>
      <c r="H18" s="2" t="n">
        <v>69</v>
      </c>
      <c r="I18" s="2" t="n">
        <v>74</v>
      </c>
      <c r="J18" s="4" t="n">
        <v>11</v>
      </c>
      <c r="K18" s="4" t="n">
        <v>35</v>
      </c>
      <c r="L18" s="4" t="n">
        <v>14</v>
      </c>
      <c r="M18" s="4" t="n">
        <v>24</v>
      </c>
      <c r="N18" s="4" t="n">
        <v>23</v>
      </c>
      <c r="O18" s="4" t="n">
        <v>35</v>
      </c>
      <c r="P18" s="4" t="n">
        <v>15</v>
      </c>
      <c r="Q18" s="5" t="n">
        <v>51</v>
      </c>
      <c r="R18" t="n">
        <v>35</v>
      </c>
      <c r="S18" t="n">
        <v>70</v>
      </c>
      <c r="T18" t="n">
        <v>86</v>
      </c>
      <c r="U18" t="n">
        <v>83</v>
      </c>
      <c r="V18">
        <f>SUM(C18:R18)</f>
        <v/>
      </c>
      <c r="W18" s="6">
        <f>ROUND(V18/11.5,2)</f>
        <v/>
      </c>
      <c r="X18" s="7">
        <f>IF(AD18,0,ROUND(AN18,2))</f>
        <v/>
      </c>
      <c r="Y18" s="7">
        <f>IF(AD18,0,MIN(5,ROUND(AN18+AO18,2)))</f>
        <v/>
      </c>
      <c r="Z18" s="8">
        <f>IF(Y18&gt;=5,"A+",IF(Y18&gt;=4,"A",IF(Y18&gt;=3.5,"A-",IF(Y18&gt;=3,"B",IF(Y18&gt;=2,"C",IF(Y18&gt;=1,"D","F"))))))</f>
        <v/>
      </c>
      <c r="AA18">
        <f>NOT(OR(AND(J18&gt;=10,K18&gt;=23,L18&gt;=10,M18&gt;=23),AND(J18+L18&gt;=20,K18+M18&gt;=46)))</f>
        <v/>
      </c>
      <c r="AB18">
        <f>OR(N18&lt;10,O18&lt;23)</f>
        <v/>
      </c>
      <c r="AC18">
        <f>OR(P18&lt;10,Q18&lt;23)</f>
        <v/>
      </c>
      <c r="AD18">
        <f>OR((C18+D18)&lt;66,(E18+F18)&lt;66,G18&lt;33,(H18+I18)&lt;66,AA18,AB18,AC18,R18&lt;8.25,T18&lt;33,U18&lt;33)</f>
        <v/>
      </c>
      <c r="AE18">
        <f>IF(C18+D18&lt;66,0,IF((C18+D18)/2&gt;=80,5,IF((C18+D18)/2&gt;=70,4,IF((C18+D18)/2&gt;=60,3.5,IF((C18+D18)/2&gt;=50,3,IF((C18+D18)/2&gt;=40,2,IF((C18+D18)/2&gt;=33,1,0)))))))</f>
        <v/>
      </c>
      <c r="AF18">
        <f>IF(E18+F18&lt;66,0,IF((E18+F18)/2&gt;=80,5,IF((E18+F18)/2&gt;=70,4,IF((E18+F18)/2&gt;=60,3.5,IF((E18+F18)/2&gt;=50,3,IF((E18+F18)/2&gt;=40,2,IF((E18+F18)/2&gt;=33,1,0)))))))</f>
        <v/>
      </c>
      <c r="AG18">
        <f>IF(G18&lt;33,0,IF(G18&gt;=80,5,IF(G18&gt;=70,4,IF(G18&gt;=60,3.5,IF(G18&gt;=50,3,IF(G18&gt;=40,2,IF(G18&gt;=33,1,0)))))))</f>
        <v/>
      </c>
      <c r="AH18">
        <f>IF(H18+I18&lt;66,0,IF((H18+I18)/2&gt;=80,5,IF((H18+I18)/2&gt;=70,4,IF((H18+I18)/2&gt;=60,3.5,IF((H18+I18)/2&gt;=50,3,IF((H18+I18)/2&gt;=40,2,IF((H18+I18)/2&gt;=33,1,0)))))))</f>
        <v/>
      </c>
      <c r="AI18">
        <f>IF(AA18,0,IF((J18+K18+L18+M18)/2&gt;=80,5,IF((J18+K18+L18+M18)/2&gt;=70,4,IF((J18+K18+L18+M18)/2&gt;=60,3.5,IF((J18+K18+L18+M18)/2&gt;=50,3,IF((J18+K18+L18+M18)/2&gt;=40,2,IF((J18+K18+L18+M18)/2&gt;=33,1,0)))))))</f>
        <v/>
      </c>
      <c r="AJ18">
        <f>IF(AB18,0,IF(N18+O18&gt;=80,5,IF(N18+O18&gt;=70,4,IF(N18+O18&gt;=60,3.5,IF(N18+O18&gt;=50,3,IF(N18+O18&gt;=40,2,IF(N18+O18&gt;=33,1,0)))))))</f>
        <v/>
      </c>
      <c r="AK18">
        <f>IF(AC18,0,IF(P18+Q18&gt;=80,5,IF(P18+Q18&gt;=70,4,IF(P18+Q18&gt;=60,3.5,IF(P18+Q18&gt;=50,3,IF(P18+Q18&gt;=40,2,IF(P18+Q18&gt;=33,1,0)))))))</f>
        <v/>
      </c>
      <c r="AL18">
        <f>IF(R18&lt;8.25,0,IF(R18*2&gt;=80,5,IF(R18*2&gt;=70,4,IF(R18*2&gt;=60,3.5,IF(R18*2&gt;=50,3,IF(R18*2&gt;=40,2,IF(R18*2&gt;=33,1,0)))))))</f>
        <v/>
      </c>
      <c r="AM18">
        <f>IF(S18&lt;33,0,IF(S18&gt;=80,5,IF(S18&gt;=70,4,IF(S18&gt;=60,3.5,IF(S18&gt;=50,3,IF(S18&gt;=40,2,IF(S18&gt;=33,1,0)))))))</f>
        <v/>
      </c>
      <c r="AN18">
        <f>(AE18+AF18+AG18+AH18+AI18+AJ18+AK18+AL18)/8</f>
        <v/>
      </c>
      <c r="AO18">
        <f>IF(AM18&gt;=2,(AM18-2)/8,0)</f>
        <v/>
      </c>
    </row>
    <row r="19">
      <c r="A19" t="n">
        <v>18</v>
      </c>
      <c r="B19" t="inlineStr">
        <is>
          <t>Nusrat Jahan</t>
        </is>
      </c>
      <c r="C19" s="3" t="n">
        <v>95</v>
      </c>
      <c r="D19" s="3" t="n">
        <v>95</v>
      </c>
      <c r="E19" s="2" t="n">
        <v>64</v>
      </c>
      <c r="F19" s="3" t="n">
        <v>86</v>
      </c>
      <c r="G19" s="2" t="n">
        <v>64</v>
      </c>
      <c r="H19" s="2" t="n">
        <v>63</v>
      </c>
      <c r="I19" s="2" t="n">
        <v>76</v>
      </c>
      <c r="J19" s="4" t="n">
        <v>28</v>
      </c>
      <c r="K19" s="4" t="n">
        <v>23</v>
      </c>
      <c r="L19" s="4" t="n">
        <v>17</v>
      </c>
      <c r="M19" s="2" t="n">
        <v>65</v>
      </c>
      <c r="N19" s="4" t="n">
        <v>21</v>
      </c>
      <c r="O19" s="4" t="n">
        <v>32</v>
      </c>
      <c r="P19" s="4" t="n">
        <v>13</v>
      </c>
      <c r="Q19" s="4" t="n">
        <v>29</v>
      </c>
      <c r="R19" t="n">
        <v>32</v>
      </c>
      <c r="S19" t="n">
        <v>65</v>
      </c>
      <c r="T19" t="n">
        <v>78</v>
      </c>
      <c r="U19" t="n">
        <v>78</v>
      </c>
      <c r="V19">
        <f>SUM(C19:R19)</f>
        <v/>
      </c>
      <c r="W19" s="6">
        <f>ROUND(V19/11.5,2)</f>
        <v/>
      </c>
      <c r="X19" s="7">
        <f>IF(AD19,0,ROUND(AN19,2))</f>
        <v/>
      </c>
      <c r="Y19" s="7">
        <f>IF(AD19,0,MIN(5,ROUND(AN19+AO19,2)))</f>
        <v/>
      </c>
      <c r="Z19" s="8">
        <f>IF(Y19&gt;=5,"A+",IF(Y19&gt;=4,"A",IF(Y19&gt;=3.5,"A-",IF(Y19&gt;=3,"B",IF(Y19&gt;=2,"C",IF(Y19&gt;=1,"D","F"))))))</f>
        <v/>
      </c>
      <c r="AA19">
        <f>NOT(OR(AND(J19&gt;=10,K19&gt;=23,L19&gt;=10,M19&gt;=23),AND(J19+L19&gt;=20,K19+M19&gt;=46)))</f>
        <v/>
      </c>
      <c r="AB19">
        <f>OR(N19&lt;10,O19&lt;23)</f>
        <v/>
      </c>
      <c r="AC19">
        <f>OR(P19&lt;10,Q19&lt;23)</f>
        <v/>
      </c>
      <c r="AD19">
        <f>OR((C19+D19)&lt;66,(E19+F19)&lt;66,G19&lt;33,(H19+I19)&lt;66,AA19,AB19,AC19,R19&lt;8.25,T19&lt;33,U19&lt;33)</f>
        <v/>
      </c>
      <c r="AE19">
        <f>IF(C19+D19&lt;66,0,IF((C19+D19)/2&gt;=80,5,IF((C19+D19)/2&gt;=70,4,IF((C19+D19)/2&gt;=60,3.5,IF((C19+D19)/2&gt;=50,3,IF((C19+D19)/2&gt;=40,2,IF((C19+D19)/2&gt;=33,1,0)))))))</f>
        <v/>
      </c>
      <c r="AF19">
        <f>IF(E19+F19&lt;66,0,IF((E19+F19)/2&gt;=80,5,IF((E19+F19)/2&gt;=70,4,IF((E19+F19)/2&gt;=60,3.5,IF((E19+F19)/2&gt;=50,3,IF((E19+F19)/2&gt;=40,2,IF((E19+F19)/2&gt;=33,1,0)))))))</f>
        <v/>
      </c>
      <c r="AG19">
        <f>IF(G19&lt;33,0,IF(G19&gt;=80,5,IF(G19&gt;=70,4,IF(G19&gt;=60,3.5,IF(G19&gt;=50,3,IF(G19&gt;=40,2,IF(G19&gt;=33,1,0)))))))</f>
        <v/>
      </c>
      <c r="AH19">
        <f>IF(H19+I19&lt;66,0,IF((H19+I19)/2&gt;=80,5,IF((H19+I19)/2&gt;=70,4,IF((H19+I19)/2&gt;=60,3.5,IF((H19+I19)/2&gt;=50,3,IF((H19+I19)/2&gt;=40,2,IF((H19+I19)/2&gt;=33,1,0)))))))</f>
        <v/>
      </c>
      <c r="AI19">
        <f>IF(AA19,0,IF((J19+K19+L19+M19)/2&gt;=80,5,IF((J19+K19+L19+M19)/2&gt;=70,4,IF((J19+K19+L19+M19)/2&gt;=60,3.5,IF((J19+K19+L19+M19)/2&gt;=50,3,IF((J19+K19+L19+M19)/2&gt;=40,2,IF((J19+K19+L19+M19)/2&gt;=33,1,0)))))))</f>
        <v/>
      </c>
      <c r="AJ19">
        <f>IF(AB19,0,IF(N19+O19&gt;=80,5,IF(N19+O19&gt;=70,4,IF(N19+O19&gt;=60,3.5,IF(N19+O19&gt;=50,3,IF(N19+O19&gt;=40,2,IF(N19+O19&gt;=33,1,0)))))))</f>
        <v/>
      </c>
      <c r="AK19">
        <f>IF(AC19,0,IF(P19+Q19&gt;=80,5,IF(P19+Q19&gt;=70,4,IF(P19+Q19&gt;=60,3.5,IF(P19+Q19&gt;=50,3,IF(P19+Q19&gt;=40,2,IF(P19+Q19&gt;=33,1,0)))))))</f>
        <v/>
      </c>
      <c r="AL19">
        <f>IF(R19&lt;8.25,0,IF(R19*2&gt;=80,5,IF(R19*2&gt;=70,4,IF(R19*2&gt;=60,3.5,IF(R19*2&gt;=50,3,IF(R19*2&gt;=40,2,IF(R19*2&gt;=33,1,0)))))))</f>
        <v/>
      </c>
      <c r="AM19">
        <f>IF(S19&lt;33,0,IF(S19&gt;=80,5,IF(S19&gt;=70,4,IF(S19&gt;=60,3.5,IF(S19&gt;=50,3,IF(S19&gt;=40,2,IF(S19&gt;=33,1,0)))))))</f>
        <v/>
      </c>
      <c r="AN19">
        <f>(AE19+AF19+AG19+AH19+AI19+AJ19+AK19+AL19)/8</f>
        <v/>
      </c>
      <c r="AO19">
        <f>IF(AM19&gt;=2,(AM19-2)/8,0)</f>
        <v/>
      </c>
    </row>
    <row r="20">
      <c r="A20" t="n">
        <v>19</v>
      </c>
      <c r="B20" t="inlineStr">
        <is>
          <t>Arif Hossain</t>
        </is>
      </c>
      <c r="C20" s="2" t="n">
        <v>72</v>
      </c>
      <c r="D20" s="3" t="n">
        <v>89</v>
      </c>
      <c r="E20" s="2" t="n">
        <v>62</v>
      </c>
      <c r="F20" s="2" t="n">
        <v>73</v>
      </c>
      <c r="G20" s="2" t="n">
        <v>73</v>
      </c>
      <c r="H20" s="3" t="n">
        <v>87</v>
      </c>
      <c r="I20" s="2" t="n">
        <v>68</v>
      </c>
      <c r="J20" s="4" t="n">
        <v>17</v>
      </c>
      <c r="K20" s="4" t="n">
        <v>35</v>
      </c>
      <c r="L20" s="4" t="n">
        <v>20</v>
      </c>
      <c r="M20" s="2" t="n">
        <v>60</v>
      </c>
      <c r="N20" s="4" t="n">
        <v>14</v>
      </c>
      <c r="O20" s="4" t="n">
        <v>32</v>
      </c>
      <c r="P20" s="4" t="n">
        <v>21</v>
      </c>
      <c r="Q20" s="4" t="n">
        <v>32</v>
      </c>
      <c r="R20" t="n">
        <v>32</v>
      </c>
      <c r="S20" t="n">
        <v>66</v>
      </c>
      <c r="T20" t="n">
        <v>74</v>
      </c>
      <c r="U20" t="n">
        <v>78</v>
      </c>
      <c r="V20">
        <f>SUM(C20:R20)</f>
        <v/>
      </c>
      <c r="W20" s="6">
        <f>ROUND(V20/11.5,2)</f>
        <v/>
      </c>
      <c r="X20" s="7">
        <f>IF(AD20,0,ROUND(AN20,2))</f>
        <v/>
      </c>
      <c r="Y20" s="7">
        <f>IF(AD20,0,MIN(5,ROUND(AN20+AO20,2)))</f>
        <v/>
      </c>
      <c r="Z20" s="8">
        <f>IF(Y20&gt;=5,"A+",IF(Y20&gt;=4,"A",IF(Y20&gt;=3.5,"A-",IF(Y20&gt;=3,"B",IF(Y20&gt;=2,"C",IF(Y20&gt;=1,"D","F"))))))</f>
        <v/>
      </c>
      <c r="AA20">
        <f>NOT(OR(AND(J20&gt;=10,K20&gt;=23,L20&gt;=10,M20&gt;=23),AND(J20+L20&gt;=20,K20+M20&gt;=46)))</f>
        <v/>
      </c>
      <c r="AB20">
        <f>OR(N20&lt;10,O20&lt;23)</f>
        <v/>
      </c>
      <c r="AC20">
        <f>OR(P20&lt;10,Q20&lt;23)</f>
        <v/>
      </c>
      <c r="AD20">
        <f>OR((C20+D20)&lt;66,(E20+F20)&lt;66,G20&lt;33,(H20+I20)&lt;66,AA20,AB20,AC20,R20&lt;8.25,T20&lt;33,U20&lt;33)</f>
        <v/>
      </c>
      <c r="AE20">
        <f>IF(C20+D20&lt;66,0,IF((C20+D20)/2&gt;=80,5,IF((C20+D20)/2&gt;=70,4,IF((C20+D20)/2&gt;=60,3.5,IF((C20+D20)/2&gt;=50,3,IF((C20+D20)/2&gt;=40,2,IF((C20+D20)/2&gt;=33,1,0)))))))</f>
        <v/>
      </c>
      <c r="AF20">
        <f>IF(E20+F20&lt;66,0,IF((E20+F20)/2&gt;=80,5,IF((E20+F20)/2&gt;=70,4,IF((E20+F20)/2&gt;=60,3.5,IF((E20+F20)/2&gt;=50,3,IF((E20+F20)/2&gt;=40,2,IF((E20+F20)/2&gt;=33,1,0)))))))</f>
        <v/>
      </c>
      <c r="AG20">
        <f>IF(G20&lt;33,0,IF(G20&gt;=80,5,IF(G20&gt;=70,4,IF(G20&gt;=60,3.5,IF(G20&gt;=50,3,IF(G20&gt;=40,2,IF(G20&gt;=33,1,0)))))))</f>
        <v/>
      </c>
      <c r="AH20">
        <f>IF(H20+I20&lt;66,0,IF((H20+I20)/2&gt;=80,5,IF((H20+I20)/2&gt;=70,4,IF((H20+I20)/2&gt;=60,3.5,IF((H20+I20)/2&gt;=50,3,IF((H20+I20)/2&gt;=40,2,IF((H20+I20)/2&gt;=33,1,0)))))))</f>
        <v/>
      </c>
      <c r="AI20">
        <f>IF(AA20,0,IF((J20+K20+L20+M20)/2&gt;=80,5,IF((J20+K20+L20+M20)/2&gt;=70,4,IF((J20+K20+L20+M20)/2&gt;=60,3.5,IF((J20+K20+L20+M20)/2&gt;=50,3,IF((J20+K20+L20+M20)/2&gt;=40,2,IF((J20+K20+L20+M20)/2&gt;=33,1,0)))))))</f>
        <v/>
      </c>
      <c r="AJ20">
        <f>IF(AB20,0,IF(N20+O20&gt;=80,5,IF(N20+O20&gt;=70,4,IF(N20+O20&gt;=60,3.5,IF(N20+O20&gt;=50,3,IF(N20+O20&gt;=40,2,IF(N20+O20&gt;=33,1,0)))))))</f>
        <v/>
      </c>
      <c r="AK20">
        <f>IF(AC20,0,IF(P20+Q20&gt;=80,5,IF(P20+Q20&gt;=70,4,IF(P20+Q20&gt;=60,3.5,IF(P20+Q20&gt;=50,3,IF(P20+Q20&gt;=40,2,IF(P20+Q20&gt;=33,1,0)))))))</f>
        <v/>
      </c>
      <c r="AL20">
        <f>IF(R20&lt;8.25,0,IF(R20*2&gt;=80,5,IF(R20*2&gt;=70,4,IF(R20*2&gt;=60,3.5,IF(R20*2&gt;=50,3,IF(R20*2&gt;=40,2,IF(R20*2&gt;=33,1,0)))))))</f>
        <v/>
      </c>
      <c r="AM20">
        <f>IF(S20&lt;33,0,IF(S20&gt;=80,5,IF(S20&gt;=70,4,IF(S20&gt;=60,3.5,IF(S20&gt;=50,3,IF(S20&gt;=40,2,IF(S20&gt;=33,1,0)))))))</f>
        <v/>
      </c>
      <c r="AN20">
        <f>(AE20+AF20+AG20+AH20+AI20+AJ20+AK20+AL20)/8</f>
        <v/>
      </c>
      <c r="AO20">
        <f>IF(AM20&gt;=2,(AM20-2)/8,0)</f>
        <v/>
      </c>
    </row>
    <row r="21">
      <c r="A21" t="n">
        <v>20</v>
      </c>
      <c r="B21" t="inlineStr">
        <is>
          <t>Tasnia Akter</t>
        </is>
      </c>
      <c r="C21" s="3" t="n">
        <v>94</v>
      </c>
      <c r="D21" s="2" t="n">
        <v>75</v>
      </c>
      <c r="E21" s="2" t="n">
        <v>74</v>
      </c>
      <c r="F21" s="3" t="n">
        <v>87</v>
      </c>
      <c r="G21" s="3" t="n">
        <v>80</v>
      </c>
      <c r="H21" s="3" t="n">
        <v>86</v>
      </c>
      <c r="I21" s="2" t="n">
        <v>77</v>
      </c>
      <c r="J21" s="4" t="n">
        <v>28</v>
      </c>
      <c r="K21" s="5" t="n">
        <v>56</v>
      </c>
      <c r="L21" s="4" t="n">
        <v>28</v>
      </c>
      <c r="M21" s="4" t="n">
        <v>23</v>
      </c>
      <c r="N21" s="4" t="n">
        <v>11</v>
      </c>
      <c r="O21" s="5" t="n">
        <v>54</v>
      </c>
      <c r="P21" s="4" t="n">
        <v>23</v>
      </c>
      <c r="Q21" s="4" t="n">
        <v>38</v>
      </c>
      <c r="R21" t="n">
        <v>37</v>
      </c>
      <c r="S21" t="n">
        <v>75</v>
      </c>
      <c r="T21" t="n">
        <v>81</v>
      </c>
      <c r="U21" t="n">
        <v>92</v>
      </c>
      <c r="V21">
        <f>SUM(C21:R21)</f>
        <v/>
      </c>
      <c r="W21" s="6">
        <f>ROUND(V21/11.5,2)</f>
        <v/>
      </c>
      <c r="X21" s="7">
        <f>IF(AD21,0,ROUND(AN21,2))</f>
        <v/>
      </c>
      <c r="Y21" s="7">
        <f>IF(AD21,0,MIN(5,ROUND(AN21+AO21,2)))</f>
        <v/>
      </c>
      <c r="Z21" s="8">
        <f>IF(Y21&gt;=5,"A+",IF(Y21&gt;=4,"A",IF(Y21&gt;=3.5,"A-",IF(Y21&gt;=3,"B",IF(Y21&gt;=2,"C",IF(Y21&gt;=1,"D","F"))))))</f>
        <v/>
      </c>
      <c r="AA21">
        <f>NOT(OR(AND(J21&gt;=10,K21&gt;=23,L21&gt;=10,M21&gt;=23),AND(J21+L21&gt;=20,K21+M21&gt;=46)))</f>
        <v/>
      </c>
      <c r="AB21">
        <f>OR(N21&lt;10,O21&lt;23)</f>
        <v/>
      </c>
      <c r="AC21">
        <f>OR(P21&lt;10,Q21&lt;23)</f>
        <v/>
      </c>
      <c r="AD21">
        <f>OR((C21+D21)&lt;66,(E21+F21)&lt;66,G21&lt;33,(H21+I21)&lt;66,AA21,AB21,AC21,R21&lt;8.25,T21&lt;33,U21&lt;33)</f>
        <v/>
      </c>
      <c r="AE21">
        <f>IF(C21+D21&lt;66,0,IF((C21+D21)/2&gt;=80,5,IF((C21+D21)/2&gt;=70,4,IF((C21+D21)/2&gt;=60,3.5,IF((C21+D21)/2&gt;=50,3,IF((C21+D21)/2&gt;=40,2,IF((C21+D21)/2&gt;=33,1,0)))))))</f>
        <v/>
      </c>
      <c r="AF21">
        <f>IF(E21+F21&lt;66,0,IF((E21+F21)/2&gt;=80,5,IF((E21+F21)/2&gt;=70,4,IF((E21+F21)/2&gt;=60,3.5,IF((E21+F21)/2&gt;=50,3,IF((E21+F21)/2&gt;=40,2,IF((E21+F21)/2&gt;=33,1,0)))))))</f>
        <v/>
      </c>
      <c r="AG21">
        <f>IF(G21&lt;33,0,IF(G21&gt;=80,5,IF(G21&gt;=70,4,IF(G21&gt;=60,3.5,IF(G21&gt;=50,3,IF(G21&gt;=40,2,IF(G21&gt;=33,1,0)))))))</f>
        <v/>
      </c>
      <c r="AH21">
        <f>IF(H21+I21&lt;66,0,IF((H21+I21)/2&gt;=80,5,IF((H21+I21)/2&gt;=70,4,IF((H21+I21)/2&gt;=60,3.5,IF((H21+I21)/2&gt;=50,3,IF((H21+I21)/2&gt;=40,2,IF((H21+I21)/2&gt;=33,1,0)))))))</f>
        <v/>
      </c>
      <c r="AI21">
        <f>IF(AA21,0,IF((J21+K21+L21+M21)/2&gt;=80,5,IF((J21+K21+L21+M21)/2&gt;=70,4,IF((J21+K21+L21+M21)/2&gt;=60,3.5,IF((J21+K21+L21+M21)/2&gt;=50,3,IF((J21+K21+L21+M21)/2&gt;=40,2,IF((J21+K21+L21+M21)/2&gt;=33,1,0)))))))</f>
        <v/>
      </c>
      <c r="AJ21">
        <f>IF(AB21,0,IF(N21+O21&gt;=80,5,IF(N21+O21&gt;=70,4,IF(N21+O21&gt;=60,3.5,IF(N21+O21&gt;=50,3,IF(N21+O21&gt;=40,2,IF(N21+O21&gt;=33,1,0)))))))</f>
        <v/>
      </c>
      <c r="AK21">
        <f>IF(AC21,0,IF(P21+Q21&gt;=80,5,IF(P21+Q21&gt;=70,4,IF(P21+Q21&gt;=60,3.5,IF(P21+Q21&gt;=50,3,IF(P21+Q21&gt;=40,2,IF(P21+Q21&gt;=33,1,0)))))))</f>
        <v/>
      </c>
      <c r="AL21">
        <f>IF(R21&lt;8.25,0,IF(R21*2&gt;=80,5,IF(R21*2&gt;=70,4,IF(R21*2&gt;=60,3.5,IF(R21*2&gt;=50,3,IF(R21*2&gt;=40,2,IF(R21*2&gt;=33,1,0)))))))</f>
        <v/>
      </c>
      <c r="AM21">
        <f>IF(S21&lt;33,0,IF(S21&gt;=80,5,IF(S21&gt;=70,4,IF(S21&gt;=60,3.5,IF(S21&gt;=50,3,IF(S21&gt;=40,2,IF(S21&gt;=33,1,0)))))))</f>
        <v/>
      </c>
      <c r="AN21">
        <f>(AE21+AF21+AG21+AH21+AI21+AJ21+AK21+AL21)/8</f>
        <v/>
      </c>
      <c r="AO21">
        <f>IF(AM21&gt;=2,(AM21-2)/8,0)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9" t="inlineStr">
        <is>
          <t>📊 ACADEMIC RESULTS DASHBOARD</t>
        </is>
      </c>
    </row>
    <row r="2"/>
    <row r="4">
      <c r="A4" s="10" t="inlineStr">
        <is>
          <t>SUMMARY STATISTICS</t>
        </is>
      </c>
    </row>
    <row r="5">
      <c r="B5" s="11" t="inlineStr">
        <is>
          <t>Total Students:</t>
        </is>
      </c>
      <c r="C5" s="12">
        <f>COUNTA('Data Source'!B:B)-1</f>
        <v/>
      </c>
      <c r="E5" s="11" t="inlineStr">
        <is>
          <t>Average GPA:</t>
        </is>
      </c>
      <c r="F5" s="13">
        <f>IFERROR(ROUND(AVERAGE('Data Source'!Y:Y),2), 0)</f>
        <v/>
      </c>
      <c r="H5" s="11" t="inlineStr">
        <is>
          <t>Highest Total:</t>
        </is>
      </c>
      <c r="I5" s="12">
        <f>MAX('Data Source'!V:V)</f>
        <v/>
      </c>
      <c r="K5" s="11" t="inlineStr">
        <is>
          <t>Pass Rate:</t>
        </is>
      </c>
      <c r="L5" s="14">
        <f>IF(C5&gt;0,COUNTIF('Data Source'!Y:Y,"&gt;0")/C5,0)</f>
        <v/>
      </c>
    </row>
    <row r="7">
      <c r="A7" s="15" t="inlineStr">
        <is>
          <t>GRADE DISTRIBUTION</t>
        </is>
      </c>
      <c r="D7" s="15" t="inlineStr">
        <is>
          <t>SUBJECT-WISE AVERAGE</t>
        </is>
      </c>
      <c r="G7" s="15" t="inlineStr">
        <is>
          <t>TOP 5 STUDENTS</t>
        </is>
      </c>
    </row>
    <row r="8">
      <c r="A8" s="16" t="inlineStr">
        <is>
          <t>Grade</t>
        </is>
      </c>
      <c r="B8" s="16" t="inlineStr">
        <is>
          <t>Count</t>
        </is>
      </c>
      <c r="D8" s="11" t="inlineStr">
        <is>
          <t>Subject</t>
        </is>
      </c>
      <c r="E8" s="16" t="inlineStr">
        <is>
          <t>Avg</t>
        </is>
      </c>
      <c r="F8" s="16" t="inlineStr">
        <is>
          <t>%</t>
        </is>
      </c>
      <c r="G8" s="16" t="inlineStr">
        <is>
          <t>Rank</t>
        </is>
      </c>
      <c r="H8" s="11" t="inlineStr">
        <is>
          <t>Name</t>
        </is>
      </c>
      <c r="I8" s="16" t="inlineStr">
        <is>
          <t>GPA</t>
        </is>
      </c>
    </row>
    <row r="9">
      <c r="A9" s="8" t="inlineStr">
        <is>
          <t>A+</t>
        </is>
      </c>
      <c r="B9" s="8">
        <f>COUNTIF('Data Source'!Z:Z,"A+")</f>
        <v/>
      </c>
      <c r="D9" t="inlineStr">
        <is>
          <t>Quran Mazid</t>
        </is>
      </c>
      <c r="E9" s="7">
        <f>IFERROR(ROUND(AVERAGE('Data Source'!C:C),2),0)</f>
        <v/>
      </c>
      <c r="F9" s="17">
        <f>IFERROR(ROUND(E9/100*100,1),0)</f>
        <v/>
      </c>
      <c r="G9" s="8" t="n">
        <v>1</v>
      </c>
      <c r="H9">
        <f>'Data Source'!B11</f>
        <v/>
      </c>
      <c r="I9" s="7">
        <f>'Data Source'!Y11</f>
        <v/>
      </c>
    </row>
    <row r="10">
      <c r="A10" s="8" t="inlineStr">
        <is>
          <t>A</t>
        </is>
      </c>
      <c r="B10" s="8">
        <f>COUNTIF('Data Source'!Z:Z,"A")</f>
        <v/>
      </c>
      <c r="D10" t="inlineStr">
        <is>
          <t>Arabic (Comb.)</t>
        </is>
      </c>
      <c r="E10" s="7">
        <f>IFERROR(ROUND(AVERAGE('Data Source'!E3:E22+'Data Source'!F3:F22),2),0)</f>
        <v/>
      </c>
      <c r="F10" s="17">
        <f>IFERROR(ROUND(E10/200*100,1),0)</f>
        <v/>
      </c>
      <c r="G10" s="8" t="n">
        <v>2</v>
      </c>
      <c r="H10">
        <f>'Data Source'!B21</f>
        <v/>
      </c>
      <c r="I10" s="7">
        <f>'Data Source'!Y21</f>
        <v/>
      </c>
    </row>
    <row r="11">
      <c r="A11" s="8" t="inlineStr">
        <is>
          <t>A-</t>
        </is>
      </c>
      <c r="B11" s="8">
        <f>COUNTIF('Data Source'!Z:Z,"A-")</f>
        <v/>
      </c>
      <c r="D11" t="inlineStr">
        <is>
          <t>Aqaid</t>
        </is>
      </c>
      <c r="E11" s="7">
        <f>IFERROR(ROUND(AVERAGE('Data Source'!G:G),2),0)</f>
        <v/>
      </c>
      <c r="F11" s="17">
        <f>IFERROR(ROUND(E11/100*100,1),0)</f>
        <v/>
      </c>
      <c r="G11" s="8" t="n">
        <v>3</v>
      </c>
      <c r="H11">
        <f>'Data Source'!B10</f>
        <v/>
      </c>
      <c r="I11" s="7">
        <f>'Data Source'!Y10</f>
        <v/>
      </c>
    </row>
    <row r="12">
      <c r="A12" s="8" t="inlineStr">
        <is>
          <t>B</t>
        </is>
      </c>
      <c r="B12" s="8">
        <f>COUNTIF('Data Source'!Z:Z,"B")</f>
        <v/>
      </c>
      <c r="D12" t="inlineStr">
        <is>
          <t>English (Comb.)</t>
        </is>
      </c>
      <c r="E12" s="7">
        <f>IFERROR(ROUND(AVERAGE('Data Source'!H3:H22+'Data Source'!I3:I22),2),0)</f>
        <v/>
      </c>
      <c r="F12" s="17">
        <f>IFERROR(ROUND(E12/200*100,1),0)</f>
        <v/>
      </c>
      <c r="G12" s="8" t="n">
        <v>4</v>
      </c>
      <c r="H12">
        <f>'Data Source'!B15</f>
        <v/>
      </c>
      <c r="I12" s="7">
        <f>'Data Source'!Y15</f>
        <v/>
      </c>
    </row>
    <row r="13">
      <c r="A13" s="8" t="inlineStr">
        <is>
          <t>C</t>
        </is>
      </c>
      <c r="B13" s="8">
        <f>COUNTIF('Data Source'!Z:Z,"C")</f>
        <v/>
      </c>
      <c r="D13" t="inlineStr">
        <is>
          <t>Bangla (Comb.)</t>
        </is>
      </c>
      <c r="E13" s="7">
        <f>IFERROR(ROUND(AVERAGE('Data Source'!J3:J22+'Data Source'!K3:K22+'Data Source'!L3:L22+'Data Source'!M3:M22),2),0)</f>
        <v/>
      </c>
      <c r="F13" s="17">
        <f>IFERROR(ROUND(E13/200*100,1),0)</f>
        <v/>
      </c>
      <c r="G13" s="8" t="n">
        <v>5</v>
      </c>
      <c r="H13">
        <f>'Data Source'!B7</f>
        <v/>
      </c>
      <c r="I13" s="7">
        <f>'Data Source'!Y7</f>
        <v/>
      </c>
    </row>
    <row r="14">
      <c r="A14" s="8" t="inlineStr">
        <is>
          <t>D</t>
        </is>
      </c>
      <c r="B14" s="8">
        <f>COUNTIF('Data Source'!Z:Z,"D")</f>
        <v/>
      </c>
      <c r="D14" t="inlineStr">
        <is>
          <t>Mathematics</t>
        </is>
      </c>
      <c r="E14" s="7">
        <f>IFERROR(ROUND(AVERAGE('Data Source'!N3:N22+'Data Source'!O3:O22),2),0)</f>
        <v/>
      </c>
      <c r="F14" s="17">
        <f>IFERROR(ROUND(E14/100*100,1),0)</f>
        <v/>
      </c>
    </row>
    <row r="15">
      <c r="A15" s="8" t="inlineStr">
        <is>
          <t>F</t>
        </is>
      </c>
      <c r="B15" s="8">
        <f>COUNTIF('Data Source'!Z:Z,"F")</f>
        <v/>
      </c>
      <c r="D15" t="inlineStr">
        <is>
          <t>Islamic History</t>
        </is>
      </c>
      <c r="E15" s="7">
        <f>IFERROR(ROUND(AVERAGE('Data Source'!P3:P22+'Data Source'!Q3:Q22),2),0)</f>
        <v/>
      </c>
      <c r="F15" s="17">
        <f>IFERROR(ROUND(E15/100*100,1),0)</f>
        <v/>
      </c>
    </row>
    <row r="16">
      <c r="D16" t="inlineStr">
        <is>
          <t>ICT</t>
        </is>
      </c>
      <c r="E16" s="7">
        <f>IFERROR(ROUND(AVERAGE('Data Source'!R:R),2),0)</f>
        <v/>
      </c>
      <c r="F16" s="17">
        <f>IFERROR(ROUND(E16/50*100,1),0)</f>
        <v/>
      </c>
    </row>
    <row r="17">
      <c r="D17" t="inlineStr">
        <is>
          <t>Mantiq</t>
        </is>
      </c>
      <c r="E17" s="7">
        <f>IFERROR(ROUND(AVERAGE('Data Source'!S:S),2),0)</f>
        <v/>
      </c>
      <c r="F17" s="17">
        <f>IFERROR(ROUND(E17/100*100,1),0)</f>
        <v/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A1" s="18" t="inlineStr">
        <is>
          <t>SUBJECT-WISE GRADES</t>
        </is>
      </c>
    </row>
    <row r="2">
      <c r="A2" s="19" t="inlineStr">
        <is>
          <t>SL</t>
        </is>
      </c>
      <c r="B2" s="19" t="inlineStr">
        <is>
          <t>Name</t>
        </is>
      </c>
      <c r="C2" s="19" t="inlineStr">
        <is>
          <t>Quran+Hadith</t>
        </is>
      </c>
      <c r="D2" s="19" t="inlineStr">
        <is>
          <t>Arabic</t>
        </is>
      </c>
      <c r="E2" s="19" t="inlineStr">
        <is>
          <t>Aqaid</t>
        </is>
      </c>
      <c r="F2" s="19" t="inlineStr">
        <is>
          <t>English</t>
        </is>
      </c>
      <c r="G2" s="19" t="inlineStr">
        <is>
          <t>Bangla</t>
        </is>
      </c>
      <c r="H2" s="19" t="inlineStr">
        <is>
          <t>Math</t>
        </is>
      </c>
      <c r="I2" s="19" t="inlineStr">
        <is>
          <t>History</t>
        </is>
      </c>
      <c r="J2" s="19" t="inlineStr">
        <is>
          <t>ICT</t>
        </is>
      </c>
      <c r="K2" s="19" t="inlineStr">
        <is>
          <t>Mantiq</t>
        </is>
      </c>
      <c r="L2" s="19" t="inlineStr">
        <is>
          <t>Career</t>
        </is>
      </c>
      <c r="M2" s="19" t="inlineStr">
        <is>
          <t>Physical</t>
        </is>
      </c>
      <c r="N2" s="19" t="inlineStr">
        <is>
          <t>Overall GPA</t>
        </is>
      </c>
      <c r="O2" s="19" t="inlineStr">
        <is>
          <t>Overall Grade</t>
        </is>
      </c>
    </row>
    <row r="3">
      <c r="A3" s="8">
        <f>'Data Source'!A2</f>
        <v/>
      </c>
      <c r="B3">
        <f>'Data Source'!B2</f>
        <v/>
      </c>
      <c r="C3" s="8">
        <f>IF('Data Source'!AE2&gt;=5,"A+",IF('Data Source'!AE2&gt;=4,"A",IF('Data Source'!AE2&gt;=3.5,"A-",IF('Data Source'!AE2&gt;=3,"B",IF('Data Source'!AE2&gt;=2,"C",IF('Data Source'!AE2&gt;=1,"D","F"))))))</f>
        <v/>
      </c>
      <c r="D3" s="8">
        <f>IF('Data Source'!AF2&gt;=5,"A+",IF('Data Source'!AF2&gt;=4,"A",IF('Data Source'!AF2&gt;=3.5,"A-",IF('Data Source'!AF2&gt;=3,"B",IF('Data Source'!AF2&gt;=2,"C",IF('Data Source'!AF2&gt;=1,"D","F"))))))</f>
        <v/>
      </c>
      <c r="E3" s="8">
        <f>IF('Data Source'!AG2&gt;=5,"A+",IF('Data Source'!AG2&gt;=4,"A",IF('Data Source'!AG2&gt;=3.5,"A-",IF('Data Source'!AG2&gt;=3,"B",IF('Data Source'!AG2&gt;=2,"C",IF('Data Source'!AG2&gt;=1,"D","F"))))))</f>
        <v/>
      </c>
      <c r="F3" s="8">
        <f>IF('Data Source'!AH2&gt;=5,"A+",IF('Data Source'!AH2&gt;=4,"A",IF('Data Source'!AH2&gt;=3.5,"A-",IF('Data Source'!AH2&gt;=3,"B",IF('Data Source'!AH2&gt;=2,"C",IF('Data Source'!AH2&gt;=1,"D","F"))))))</f>
        <v/>
      </c>
      <c r="G3" s="8">
        <f>IF('Data Source'!AI2&gt;=5,"A+",IF('Data Source'!AI2&gt;=4,"A",IF('Data Source'!AI2&gt;=3.5,"A-",IF('Data Source'!AI2&gt;=3,"B",IF('Data Source'!AI2&gt;=2,"C",IF('Data Source'!AI2&gt;=1,"D","F"))))))</f>
        <v/>
      </c>
      <c r="H3" s="8">
        <f>IF('Data Source'!AJ2&gt;=5,"A+",IF('Data Source'!AJ2&gt;=4,"A",IF('Data Source'!AJ2&gt;=3.5,"A-",IF('Data Source'!AJ2&gt;=3,"B",IF('Data Source'!AJ2&gt;=2,"C",IF('Data Source'!AJ2&gt;=1,"D","F"))))))</f>
        <v/>
      </c>
      <c r="I3" s="8">
        <f>IF('Data Source'!AK2&gt;=5,"A+",IF('Data Source'!AK2&gt;=4,"A",IF('Data Source'!AK2&gt;=3.5,"A-",IF('Data Source'!AK2&gt;=3,"B",IF('Data Source'!AK2&gt;=2,"C",IF('Data Source'!AK2&gt;=1,"D","F"))))))</f>
        <v/>
      </c>
      <c r="J3" s="8">
        <f>IF('Data Source'!AL2&gt;=5,"A+",IF('Data Source'!AL2&gt;=4,"A",IF('Data Source'!AL2&gt;=3.5,"A-",IF('Data Source'!AL2&gt;=3,"B",IF('Data Source'!AL2&gt;=2,"C",IF('Data Source'!AL2&gt;=1,"D","F"))))))</f>
        <v/>
      </c>
      <c r="K3" s="8">
        <f>IF('Data Source'!AM2&gt;=5,"A+",IF('Data Source'!AM2&gt;=4,"A",IF('Data Source'!AM2&gt;=3.5,"A-",IF('Data Source'!AM2&gt;=3,"B",IF('Data Source'!AM2&gt;=2,"C",IF('Data Source'!AM2&gt;=1,"D","F"))))))</f>
        <v/>
      </c>
      <c r="L3" s="8">
        <f>IF('Data Source'!T2&gt;=33,"Pass","Fail")</f>
        <v/>
      </c>
      <c r="M3" s="8">
        <f>IF('Data Source'!U2&gt;=33,"Pass","Fail")</f>
        <v/>
      </c>
      <c r="N3" s="7">
        <f>'Data Source'!Y2</f>
        <v/>
      </c>
      <c r="O3" s="8">
        <f>'Data Source'!Z2</f>
        <v/>
      </c>
    </row>
    <row r="4">
      <c r="A4" s="8">
        <f>'Data Source'!A3</f>
        <v/>
      </c>
      <c r="B4">
        <f>'Data Source'!B3</f>
        <v/>
      </c>
      <c r="C4" s="8">
        <f>IF('Data Source'!AE3&gt;=5,"A+",IF('Data Source'!AE3&gt;=4,"A",IF('Data Source'!AE3&gt;=3.5,"A-",IF('Data Source'!AE3&gt;=3,"B",IF('Data Source'!AE3&gt;=2,"C",IF('Data Source'!AE3&gt;=1,"D","F"))))))</f>
        <v/>
      </c>
      <c r="D4" s="8">
        <f>IF('Data Source'!AF3&gt;=5,"A+",IF('Data Source'!AF3&gt;=4,"A",IF('Data Source'!AF3&gt;=3.5,"A-",IF('Data Source'!AF3&gt;=3,"B",IF('Data Source'!AF3&gt;=2,"C",IF('Data Source'!AF3&gt;=1,"D","F"))))))</f>
        <v/>
      </c>
      <c r="E4" s="8">
        <f>IF('Data Source'!AG3&gt;=5,"A+",IF('Data Source'!AG3&gt;=4,"A",IF('Data Source'!AG3&gt;=3.5,"A-",IF('Data Source'!AG3&gt;=3,"B",IF('Data Source'!AG3&gt;=2,"C",IF('Data Source'!AG3&gt;=1,"D","F"))))))</f>
        <v/>
      </c>
      <c r="F4" s="8">
        <f>IF('Data Source'!AH3&gt;=5,"A+",IF('Data Source'!AH3&gt;=4,"A",IF('Data Source'!AH3&gt;=3.5,"A-",IF('Data Source'!AH3&gt;=3,"B",IF('Data Source'!AH3&gt;=2,"C",IF('Data Source'!AH3&gt;=1,"D","F"))))))</f>
        <v/>
      </c>
      <c r="G4" s="8">
        <f>IF('Data Source'!AI3&gt;=5,"A+",IF('Data Source'!AI3&gt;=4,"A",IF('Data Source'!AI3&gt;=3.5,"A-",IF('Data Source'!AI3&gt;=3,"B",IF('Data Source'!AI3&gt;=2,"C",IF('Data Source'!AI3&gt;=1,"D","F"))))))</f>
        <v/>
      </c>
      <c r="H4" s="8">
        <f>IF('Data Source'!AJ3&gt;=5,"A+",IF('Data Source'!AJ3&gt;=4,"A",IF('Data Source'!AJ3&gt;=3.5,"A-",IF('Data Source'!AJ3&gt;=3,"B",IF('Data Source'!AJ3&gt;=2,"C",IF('Data Source'!AJ3&gt;=1,"D","F"))))))</f>
        <v/>
      </c>
      <c r="I4" s="8">
        <f>IF('Data Source'!AK3&gt;=5,"A+",IF('Data Source'!AK3&gt;=4,"A",IF('Data Source'!AK3&gt;=3.5,"A-",IF('Data Source'!AK3&gt;=3,"B",IF('Data Source'!AK3&gt;=2,"C",IF('Data Source'!AK3&gt;=1,"D","F"))))))</f>
        <v/>
      </c>
      <c r="J4" s="8">
        <f>IF('Data Source'!AL3&gt;=5,"A+",IF('Data Source'!AL3&gt;=4,"A",IF('Data Source'!AL3&gt;=3.5,"A-",IF('Data Source'!AL3&gt;=3,"B",IF('Data Source'!AL3&gt;=2,"C",IF('Data Source'!AL3&gt;=1,"D","F"))))))</f>
        <v/>
      </c>
      <c r="K4" s="8">
        <f>IF('Data Source'!AM3&gt;=5,"A+",IF('Data Source'!AM3&gt;=4,"A",IF('Data Source'!AM3&gt;=3.5,"A-",IF('Data Source'!AM3&gt;=3,"B",IF('Data Source'!AM3&gt;=2,"C",IF('Data Source'!AM3&gt;=1,"D","F"))))))</f>
        <v/>
      </c>
      <c r="L4" s="8">
        <f>IF('Data Source'!T3&gt;=33,"Pass","Fail")</f>
        <v/>
      </c>
      <c r="M4" s="8">
        <f>IF('Data Source'!U3&gt;=33,"Pass","Fail")</f>
        <v/>
      </c>
      <c r="N4" s="7">
        <f>'Data Source'!Y3</f>
        <v/>
      </c>
      <c r="O4" s="8">
        <f>'Data Source'!Z3</f>
        <v/>
      </c>
    </row>
    <row r="5">
      <c r="A5" s="8">
        <f>'Data Source'!A4</f>
        <v/>
      </c>
      <c r="B5">
        <f>'Data Source'!B4</f>
        <v/>
      </c>
      <c r="C5" s="8">
        <f>IF('Data Source'!AE4&gt;=5,"A+",IF('Data Source'!AE4&gt;=4,"A",IF('Data Source'!AE4&gt;=3.5,"A-",IF('Data Source'!AE4&gt;=3,"B",IF('Data Source'!AE4&gt;=2,"C",IF('Data Source'!AE4&gt;=1,"D","F"))))))</f>
        <v/>
      </c>
      <c r="D5" s="8">
        <f>IF('Data Source'!AF4&gt;=5,"A+",IF('Data Source'!AF4&gt;=4,"A",IF('Data Source'!AF4&gt;=3.5,"A-",IF('Data Source'!AF4&gt;=3,"B",IF('Data Source'!AF4&gt;=2,"C",IF('Data Source'!AF4&gt;=1,"D","F"))))))</f>
        <v/>
      </c>
      <c r="E5" s="8">
        <f>IF('Data Source'!AG4&gt;=5,"A+",IF('Data Source'!AG4&gt;=4,"A",IF('Data Source'!AG4&gt;=3.5,"A-",IF('Data Source'!AG4&gt;=3,"B",IF('Data Source'!AG4&gt;=2,"C",IF('Data Source'!AG4&gt;=1,"D","F"))))))</f>
        <v/>
      </c>
      <c r="F5" s="8">
        <f>IF('Data Source'!AH4&gt;=5,"A+",IF('Data Source'!AH4&gt;=4,"A",IF('Data Source'!AH4&gt;=3.5,"A-",IF('Data Source'!AH4&gt;=3,"B",IF('Data Source'!AH4&gt;=2,"C",IF('Data Source'!AH4&gt;=1,"D","F"))))))</f>
        <v/>
      </c>
      <c r="G5" s="8">
        <f>IF('Data Source'!AI4&gt;=5,"A+",IF('Data Source'!AI4&gt;=4,"A",IF('Data Source'!AI4&gt;=3.5,"A-",IF('Data Source'!AI4&gt;=3,"B",IF('Data Source'!AI4&gt;=2,"C",IF('Data Source'!AI4&gt;=1,"D","F"))))))</f>
        <v/>
      </c>
      <c r="H5" s="8">
        <f>IF('Data Source'!AJ4&gt;=5,"A+",IF('Data Source'!AJ4&gt;=4,"A",IF('Data Source'!AJ4&gt;=3.5,"A-",IF('Data Source'!AJ4&gt;=3,"B",IF('Data Source'!AJ4&gt;=2,"C",IF('Data Source'!AJ4&gt;=1,"D","F"))))))</f>
        <v/>
      </c>
      <c r="I5" s="8">
        <f>IF('Data Source'!AK4&gt;=5,"A+",IF('Data Source'!AK4&gt;=4,"A",IF('Data Source'!AK4&gt;=3.5,"A-",IF('Data Source'!AK4&gt;=3,"B",IF('Data Source'!AK4&gt;=2,"C",IF('Data Source'!AK4&gt;=1,"D","F"))))))</f>
        <v/>
      </c>
      <c r="J5" s="8">
        <f>IF('Data Source'!AL4&gt;=5,"A+",IF('Data Source'!AL4&gt;=4,"A",IF('Data Source'!AL4&gt;=3.5,"A-",IF('Data Source'!AL4&gt;=3,"B",IF('Data Source'!AL4&gt;=2,"C",IF('Data Source'!AL4&gt;=1,"D","F"))))))</f>
        <v/>
      </c>
      <c r="K5" s="8">
        <f>IF('Data Source'!AM4&gt;=5,"A+",IF('Data Source'!AM4&gt;=4,"A",IF('Data Source'!AM4&gt;=3.5,"A-",IF('Data Source'!AM4&gt;=3,"B",IF('Data Source'!AM4&gt;=2,"C",IF('Data Source'!AM4&gt;=1,"D","F"))))))</f>
        <v/>
      </c>
      <c r="L5" s="8">
        <f>IF('Data Source'!T4&gt;=33,"Pass","Fail")</f>
        <v/>
      </c>
      <c r="M5" s="8">
        <f>IF('Data Source'!U4&gt;=33,"Pass","Fail")</f>
        <v/>
      </c>
      <c r="N5" s="7">
        <f>'Data Source'!Y4</f>
        <v/>
      </c>
      <c r="O5" s="8">
        <f>'Data Source'!Z4</f>
        <v/>
      </c>
    </row>
    <row r="6">
      <c r="A6" s="8">
        <f>'Data Source'!A5</f>
        <v/>
      </c>
      <c r="B6">
        <f>'Data Source'!B5</f>
        <v/>
      </c>
      <c r="C6" s="8">
        <f>IF('Data Source'!AE5&gt;=5,"A+",IF('Data Source'!AE5&gt;=4,"A",IF('Data Source'!AE5&gt;=3.5,"A-",IF('Data Source'!AE5&gt;=3,"B",IF('Data Source'!AE5&gt;=2,"C",IF('Data Source'!AE5&gt;=1,"D","F"))))))</f>
        <v/>
      </c>
      <c r="D6" s="8">
        <f>IF('Data Source'!AF5&gt;=5,"A+",IF('Data Source'!AF5&gt;=4,"A",IF('Data Source'!AF5&gt;=3.5,"A-",IF('Data Source'!AF5&gt;=3,"B",IF('Data Source'!AF5&gt;=2,"C",IF('Data Source'!AF5&gt;=1,"D","F"))))))</f>
        <v/>
      </c>
      <c r="E6" s="8">
        <f>IF('Data Source'!AG5&gt;=5,"A+",IF('Data Source'!AG5&gt;=4,"A",IF('Data Source'!AG5&gt;=3.5,"A-",IF('Data Source'!AG5&gt;=3,"B",IF('Data Source'!AG5&gt;=2,"C",IF('Data Source'!AG5&gt;=1,"D","F"))))))</f>
        <v/>
      </c>
      <c r="F6" s="8">
        <f>IF('Data Source'!AH5&gt;=5,"A+",IF('Data Source'!AH5&gt;=4,"A",IF('Data Source'!AH5&gt;=3.5,"A-",IF('Data Source'!AH5&gt;=3,"B",IF('Data Source'!AH5&gt;=2,"C",IF('Data Source'!AH5&gt;=1,"D","F"))))))</f>
        <v/>
      </c>
      <c r="G6" s="8">
        <f>IF('Data Source'!AI5&gt;=5,"A+",IF('Data Source'!AI5&gt;=4,"A",IF('Data Source'!AI5&gt;=3.5,"A-",IF('Data Source'!AI5&gt;=3,"B",IF('Data Source'!AI5&gt;=2,"C",IF('Data Source'!AI5&gt;=1,"D","F"))))))</f>
        <v/>
      </c>
      <c r="H6" s="8">
        <f>IF('Data Source'!AJ5&gt;=5,"A+",IF('Data Source'!AJ5&gt;=4,"A",IF('Data Source'!AJ5&gt;=3.5,"A-",IF('Data Source'!AJ5&gt;=3,"B",IF('Data Source'!AJ5&gt;=2,"C",IF('Data Source'!AJ5&gt;=1,"D","F"))))))</f>
        <v/>
      </c>
      <c r="I6" s="8">
        <f>IF('Data Source'!AK5&gt;=5,"A+",IF('Data Source'!AK5&gt;=4,"A",IF('Data Source'!AK5&gt;=3.5,"A-",IF('Data Source'!AK5&gt;=3,"B",IF('Data Source'!AK5&gt;=2,"C",IF('Data Source'!AK5&gt;=1,"D","F"))))))</f>
        <v/>
      </c>
      <c r="J6" s="8">
        <f>IF('Data Source'!AL5&gt;=5,"A+",IF('Data Source'!AL5&gt;=4,"A",IF('Data Source'!AL5&gt;=3.5,"A-",IF('Data Source'!AL5&gt;=3,"B",IF('Data Source'!AL5&gt;=2,"C",IF('Data Source'!AL5&gt;=1,"D","F"))))))</f>
        <v/>
      </c>
      <c r="K6" s="8">
        <f>IF('Data Source'!AM5&gt;=5,"A+",IF('Data Source'!AM5&gt;=4,"A",IF('Data Source'!AM5&gt;=3.5,"A-",IF('Data Source'!AM5&gt;=3,"B",IF('Data Source'!AM5&gt;=2,"C",IF('Data Source'!AM5&gt;=1,"D","F"))))))</f>
        <v/>
      </c>
      <c r="L6" s="8">
        <f>IF('Data Source'!T5&gt;=33,"Pass","Fail")</f>
        <v/>
      </c>
      <c r="M6" s="8">
        <f>IF('Data Source'!U5&gt;=33,"Pass","Fail")</f>
        <v/>
      </c>
      <c r="N6" s="7">
        <f>'Data Source'!Y5</f>
        <v/>
      </c>
      <c r="O6" s="8">
        <f>'Data Source'!Z5</f>
        <v/>
      </c>
    </row>
    <row r="7">
      <c r="A7" s="8">
        <f>'Data Source'!A6</f>
        <v/>
      </c>
      <c r="B7">
        <f>'Data Source'!B6</f>
        <v/>
      </c>
      <c r="C7" s="8">
        <f>IF('Data Source'!AE6&gt;=5,"A+",IF('Data Source'!AE6&gt;=4,"A",IF('Data Source'!AE6&gt;=3.5,"A-",IF('Data Source'!AE6&gt;=3,"B",IF('Data Source'!AE6&gt;=2,"C",IF('Data Source'!AE6&gt;=1,"D","F"))))))</f>
        <v/>
      </c>
      <c r="D7" s="8">
        <f>IF('Data Source'!AF6&gt;=5,"A+",IF('Data Source'!AF6&gt;=4,"A",IF('Data Source'!AF6&gt;=3.5,"A-",IF('Data Source'!AF6&gt;=3,"B",IF('Data Source'!AF6&gt;=2,"C",IF('Data Source'!AF6&gt;=1,"D","F"))))))</f>
        <v/>
      </c>
      <c r="E7" s="8">
        <f>IF('Data Source'!AG6&gt;=5,"A+",IF('Data Source'!AG6&gt;=4,"A",IF('Data Source'!AG6&gt;=3.5,"A-",IF('Data Source'!AG6&gt;=3,"B",IF('Data Source'!AG6&gt;=2,"C",IF('Data Source'!AG6&gt;=1,"D","F"))))))</f>
        <v/>
      </c>
      <c r="F7" s="8">
        <f>IF('Data Source'!AH6&gt;=5,"A+",IF('Data Source'!AH6&gt;=4,"A",IF('Data Source'!AH6&gt;=3.5,"A-",IF('Data Source'!AH6&gt;=3,"B",IF('Data Source'!AH6&gt;=2,"C",IF('Data Source'!AH6&gt;=1,"D","F"))))))</f>
        <v/>
      </c>
      <c r="G7" s="8">
        <f>IF('Data Source'!AI6&gt;=5,"A+",IF('Data Source'!AI6&gt;=4,"A",IF('Data Source'!AI6&gt;=3.5,"A-",IF('Data Source'!AI6&gt;=3,"B",IF('Data Source'!AI6&gt;=2,"C",IF('Data Source'!AI6&gt;=1,"D","F"))))))</f>
        <v/>
      </c>
      <c r="H7" s="8">
        <f>IF('Data Source'!AJ6&gt;=5,"A+",IF('Data Source'!AJ6&gt;=4,"A",IF('Data Source'!AJ6&gt;=3.5,"A-",IF('Data Source'!AJ6&gt;=3,"B",IF('Data Source'!AJ6&gt;=2,"C",IF('Data Source'!AJ6&gt;=1,"D","F"))))))</f>
        <v/>
      </c>
      <c r="I7" s="8">
        <f>IF('Data Source'!AK6&gt;=5,"A+",IF('Data Source'!AK6&gt;=4,"A",IF('Data Source'!AK6&gt;=3.5,"A-",IF('Data Source'!AK6&gt;=3,"B",IF('Data Source'!AK6&gt;=2,"C",IF('Data Source'!AK6&gt;=1,"D","F"))))))</f>
        <v/>
      </c>
      <c r="J7" s="8">
        <f>IF('Data Source'!AL6&gt;=5,"A+",IF('Data Source'!AL6&gt;=4,"A",IF('Data Source'!AL6&gt;=3.5,"A-",IF('Data Source'!AL6&gt;=3,"B",IF('Data Source'!AL6&gt;=2,"C",IF('Data Source'!AL6&gt;=1,"D","F"))))))</f>
        <v/>
      </c>
      <c r="K7" s="8">
        <f>IF('Data Source'!AM6&gt;=5,"A+",IF('Data Source'!AM6&gt;=4,"A",IF('Data Source'!AM6&gt;=3.5,"A-",IF('Data Source'!AM6&gt;=3,"B",IF('Data Source'!AM6&gt;=2,"C",IF('Data Source'!AM6&gt;=1,"D","F"))))))</f>
        <v/>
      </c>
      <c r="L7" s="8">
        <f>IF('Data Source'!T6&gt;=33,"Pass","Fail")</f>
        <v/>
      </c>
      <c r="M7" s="8">
        <f>IF('Data Source'!U6&gt;=33,"Pass","Fail")</f>
        <v/>
      </c>
      <c r="N7" s="7">
        <f>'Data Source'!Y6</f>
        <v/>
      </c>
      <c r="O7" s="8">
        <f>'Data Source'!Z6</f>
        <v/>
      </c>
    </row>
    <row r="8">
      <c r="A8" s="8">
        <f>'Data Source'!A7</f>
        <v/>
      </c>
      <c r="B8">
        <f>'Data Source'!B7</f>
        <v/>
      </c>
      <c r="C8" s="8">
        <f>IF('Data Source'!AE7&gt;=5,"A+",IF('Data Source'!AE7&gt;=4,"A",IF('Data Source'!AE7&gt;=3.5,"A-",IF('Data Source'!AE7&gt;=3,"B",IF('Data Source'!AE7&gt;=2,"C",IF('Data Source'!AE7&gt;=1,"D","F"))))))</f>
        <v/>
      </c>
      <c r="D8" s="8">
        <f>IF('Data Source'!AF7&gt;=5,"A+",IF('Data Source'!AF7&gt;=4,"A",IF('Data Source'!AF7&gt;=3.5,"A-",IF('Data Source'!AF7&gt;=3,"B",IF('Data Source'!AF7&gt;=2,"C",IF('Data Source'!AF7&gt;=1,"D","F"))))))</f>
        <v/>
      </c>
      <c r="E8" s="8">
        <f>IF('Data Source'!AG7&gt;=5,"A+",IF('Data Source'!AG7&gt;=4,"A",IF('Data Source'!AG7&gt;=3.5,"A-",IF('Data Source'!AG7&gt;=3,"B",IF('Data Source'!AG7&gt;=2,"C",IF('Data Source'!AG7&gt;=1,"D","F"))))))</f>
        <v/>
      </c>
      <c r="F8" s="8">
        <f>IF('Data Source'!AH7&gt;=5,"A+",IF('Data Source'!AH7&gt;=4,"A",IF('Data Source'!AH7&gt;=3.5,"A-",IF('Data Source'!AH7&gt;=3,"B",IF('Data Source'!AH7&gt;=2,"C",IF('Data Source'!AH7&gt;=1,"D","F"))))))</f>
        <v/>
      </c>
      <c r="G8" s="8">
        <f>IF('Data Source'!AI7&gt;=5,"A+",IF('Data Source'!AI7&gt;=4,"A",IF('Data Source'!AI7&gt;=3.5,"A-",IF('Data Source'!AI7&gt;=3,"B",IF('Data Source'!AI7&gt;=2,"C",IF('Data Source'!AI7&gt;=1,"D","F"))))))</f>
        <v/>
      </c>
      <c r="H8" s="8">
        <f>IF('Data Source'!AJ7&gt;=5,"A+",IF('Data Source'!AJ7&gt;=4,"A",IF('Data Source'!AJ7&gt;=3.5,"A-",IF('Data Source'!AJ7&gt;=3,"B",IF('Data Source'!AJ7&gt;=2,"C",IF('Data Source'!AJ7&gt;=1,"D","F"))))))</f>
        <v/>
      </c>
      <c r="I8" s="8">
        <f>IF('Data Source'!AK7&gt;=5,"A+",IF('Data Source'!AK7&gt;=4,"A",IF('Data Source'!AK7&gt;=3.5,"A-",IF('Data Source'!AK7&gt;=3,"B",IF('Data Source'!AK7&gt;=2,"C",IF('Data Source'!AK7&gt;=1,"D","F"))))))</f>
        <v/>
      </c>
      <c r="J8" s="8">
        <f>IF('Data Source'!AL7&gt;=5,"A+",IF('Data Source'!AL7&gt;=4,"A",IF('Data Source'!AL7&gt;=3.5,"A-",IF('Data Source'!AL7&gt;=3,"B",IF('Data Source'!AL7&gt;=2,"C",IF('Data Source'!AL7&gt;=1,"D","F"))))))</f>
        <v/>
      </c>
      <c r="K8" s="8">
        <f>IF('Data Source'!AM7&gt;=5,"A+",IF('Data Source'!AM7&gt;=4,"A",IF('Data Source'!AM7&gt;=3.5,"A-",IF('Data Source'!AM7&gt;=3,"B",IF('Data Source'!AM7&gt;=2,"C",IF('Data Source'!AM7&gt;=1,"D","F"))))))</f>
        <v/>
      </c>
      <c r="L8" s="8">
        <f>IF('Data Source'!T7&gt;=33,"Pass","Fail")</f>
        <v/>
      </c>
      <c r="M8" s="8">
        <f>IF('Data Source'!U7&gt;=33,"Pass","Fail")</f>
        <v/>
      </c>
      <c r="N8" s="7">
        <f>'Data Source'!Y7</f>
        <v/>
      </c>
      <c r="O8" s="8">
        <f>'Data Source'!Z7</f>
        <v/>
      </c>
    </row>
    <row r="9">
      <c r="A9" s="8">
        <f>'Data Source'!A8</f>
        <v/>
      </c>
      <c r="B9">
        <f>'Data Source'!B8</f>
        <v/>
      </c>
      <c r="C9" s="8">
        <f>IF('Data Source'!AE8&gt;=5,"A+",IF('Data Source'!AE8&gt;=4,"A",IF('Data Source'!AE8&gt;=3.5,"A-",IF('Data Source'!AE8&gt;=3,"B",IF('Data Source'!AE8&gt;=2,"C",IF('Data Source'!AE8&gt;=1,"D","F"))))))</f>
        <v/>
      </c>
      <c r="D9" s="8">
        <f>IF('Data Source'!AF8&gt;=5,"A+",IF('Data Source'!AF8&gt;=4,"A",IF('Data Source'!AF8&gt;=3.5,"A-",IF('Data Source'!AF8&gt;=3,"B",IF('Data Source'!AF8&gt;=2,"C",IF('Data Source'!AF8&gt;=1,"D","F"))))))</f>
        <v/>
      </c>
      <c r="E9" s="8">
        <f>IF('Data Source'!AG8&gt;=5,"A+",IF('Data Source'!AG8&gt;=4,"A",IF('Data Source'!AG8&gt;=3.5,"A-",IF('Data Source'!AG8&gt;=3,"B",IF('Data Source'!AG8&gt;=2,"C",IF('Data Source'!AG8&gt;=1,"D","F"))))))</f>
        <v/>
      </c>
      <c r="F9" s="8">
        <f>IF('Data Source'!AH8&gt;=5,"A+",IF('Data Source'!AH8&gt;=4,"A",IF('Data Source'!AH8&gt;=3.5,"A-",IF('Data Source'!AH8&gt;=3,"B",IF('Data Source'!AH8&gt;=2,"C",IF('Data Source'!AH8&gt;=1,"D","F"))))))</f>
        <v/>
      </c>
      <c r="G9" s="8">
        <f>IF('Data Source'!AI8&gt;=5,"A+",IF('Data Source'!AI8&gt;=4,"A",IF('Data Source'!AI8&gt;=3.5,"A-",IF('Data Source'!AI8&gt;=3,"B",IF('Data Source'!AI8&gt;=2,"C",IF('Data Source'!AI8&gt;=1,"D","F"))))))</f>
        <v/>
      </c>
      <c r="H9" s="8">
        <f>IF('Data Source'!AJ8&gt;=5,"A+",IF('Data Source'!AJ8&gt;=4,"A",IF('Data Source'!AJ8&gt;=3.5,"A-",IF('Data Source'!AJ8&gt;=3,"B",IF('Data Source'!AJ8&gt;=2,"C",IF('Data Source'!AJ8&gt;=1,"D","F"))))))</f>
        <v/>
      </c>
      <c r="I9" s="8">
        <f>IF('Data Source'!AK8&gt;=5,"A+",IF('Data Source'!AK8&gt;=4,"A",IF('Data Source'!AK8&gt;=3.5,"A-",IF('Data Source'!AK8&gt;=3,"B",IF('Data Source'!AK8&gt;=2,"C",IF('Data Source'!AK8&gt;=1,"D","F"))))))</f>
        <v/>
      </c>
      <c r="J9" s="8">
        <f>IF('Data Source'!AL8&gt;=5,"A+",IF('Data Source'!AL8&gt;=4,"A",IF('Data Source'!AL8&gt;=3.5,"A-",IF('Data Source'!AL8&gt;=3,"B",IF('Data Source'!AL8&gt;=2,"C",IF('Data Source'!AL8&gt;=1,"D","F"))))))</f>
        <v/>
      </c>
      <c r="K9" s="8">
        <f>IF('Data Source'!AM8&gt;=5,"A+",IF('Data Source'!AM8&gt;=4,"A",IF('Data Source'!AM8&gt;=3.5,"A-",IF('Data Source'!AM8&gt;=3,"B",IF('Data Source'!AM8&gt;=2,"C",IF('Data Source'!AM8&gt;=1,"D","F"))))))</f>
        <v/>
      </c>
      <c r="L9" s="8">
        <f>IF('Data Source'!T8&gt;=33,"Pass","Fail")</f>
        <v/>
      </c>
      <c r="M9" s="8">
        <f>IF('Data Source'!U8&gt;=33,"Pass","Fail")</f>
        <v/>
      </c>
      <c r="N9" s="7">
        <f>'Data Source'!Y8</f>
        <v/>
      </c>
      <c r="O9" s="8">
        <f>'Data Source'!Z8</f>
        <v/>
      </c>
    </row>
    <row r="10">
      <c r="A10" s="8">
        <f>'Data Source'!A9</f>
        <v/>
      </c>
      <c r="B10">
        <f>'Data Source'!B9</f>
        <v/>
      </c>
      <c r="C10" s="8">
        <f>IF('Data Source'!AE9&gt;=5,"A+",IF('Data Source'!AE9&gt;=4,"A",IF('Data Source'!AE9&gt;=3.5,"A-",IF('Data Source'!AE9&gt;=3,"B",IF('Data Source'!AE9&gt;=2,"C",IF('Data Source'!AE9&gt;=1,"D","F"))))))</f>
        <v/>
      </c>
      <c r="D10" s="8">
        <f>IF('Data Source'!AF9&gt;=5,"A+",IF('Data Source'!AF9&gt;=4,"A",IF('Data Source'!AF9&gt;=3.5,"A-",IF('Data Source'!AF9&gt;=3,"B",IF('Data Source'!AF9&gt;=2,"C",IF('Data Source'!AF9&gt;=1,"D","F"))))))</f>
        <v/>
      </c>
      <c r="E10" s="8">
        <f>IF('Data Source'!AG9&gt;=5,"A+",IF('Data Source'!AG9&gt;=4,"A",IF('Data Source'!AG9&gt;=3.5,"A-",IF('Data Source'!AG9&gt;=3,"B",IF('Data Source'!AG9&gt;=2,"C",IF('Data Source'!AG9&gt;=1,"D","F"))))))</f>
        <v/>
      </c>
      <c r="F10" s="8">
        <f>IF('Data Source'!AH9&gt;=5,"A+",IF('Data Source'!AH9&gt;=4,"A",IF('Data Source'!AH9&gt;=3.5,"A-",IF('Data Source'!AH9&gt;=3,"B",IF('Data Source'!AH9&gt;=2,"C",IF('Data Source'!AH9&gt;=1,"D","F"))))))</f>
        <v/>
      </c>
      <c r="G10" s="8">
        <f>IF('Data Source'!AI9&gt;=5,"A+",IF('Data Source'!AI9&gt;=4,"A",IF('Data Source'!AI9&gt;=3.5,"A-",IF('Data Source'!AI9&gt;=3,"B",IF('Data Source'!AI9&gt;=2,"C",IF('Data Source'!AI9&gt;=1,"D","F"))))))</f>
        <v/>
      </c>
      <c r="H10" s="8">
        <f>IF('Data Source'!AJ9&gt;=5,"A+",IF('Data Source'!AJ9&gt;=4,"A",IF('Data Source'!AJ9&gt;=3.5,"A-",IF('Data Source'!AJ9&gt;=3,"B",IF('Data Source'!AJ9&gt;=2,"C",IF('Data Source'!AJ9&gt;=1,"D","F"))))))</f>
        <v/>
      </c>
      <c r="I10" s="8">
        <f>IF('Data Source'!AK9&gt;=5,"A+",IF('Data Source'!AK9&gt;=4,"A",IF('Data Source'!AK9&gt;=3.5,"A-",IF('Data Source'!AK9&gt;=3,"B",IF('Data Source'!AK9&gt;=2,"C",IF('Data Source'!AK9&gt;=1,"D","F"))))))</f>
        <v/>
      </c>
      <c r="J10" s="8">
        <f>IF('Data Source'!AL9&gt;=5,"A+",IF('Data Source'!AL9&gt;=4,"A",IF('Data Source'!AL9&gt;=3.5,"A-",IF('Data Source'!AL9&gt;=3,"B",IF('Data Source'!AL9&gt;=2,"C",IF('Data Source'!AL9&gt;=1,"D","F"))))))</f>
        <v/>
      </c>
      <c r="K10" s="8">
        <f>IF('Data Source'!AM9&gt;=5,"A+",IF('Data Source'!AM9&gt;=4,"A",IF('Data Source'!AM9&gt;=3.5,"A-",IF('Data Source'!AM9&gt;=3,"B",IF('Data Source'!AM9&gt;=2,"C",IF('Data Source'!AM9&gt;=1,"D","F"))))))</f>
        <v/>
      </c>
      <c r="L10" s="8">
        <f>IF('Data Source'!T9&gt;=33,"Pass","Fail")</f>
        <v/>
      </c>
      <c r="M10" s="8">
        <f>IF('Data Source'!U9&gt;=33,"Pass","Fail")</f>
        <v/>
      </c>
      <c r="N10" s="7">
        <f>'Data Source'!Y9</f>
        <v/>
      </c>
      <c r="O10" s="8">
        <f>'Data Source'!Z9</f>
        <v/>
      </c>
    </row>
    <row r="11">
      <c r="A11" s="8">
        <f>'Data Source'!A10</f>
        <v/>
      </c>
      <c r="B11">
        <f>'Data Source'!B10</f>
        <v/>
      </c>
      <c r="C11" s="8">
        <f>IF('Data Source'!AE10&gt;=5,"A+",IF('Data Source'!AE10&gt;=4,"A",IF('Data Source'!AE10&gt;=3.5,"A-",IF('Data Source'!AE10&gt;=3,"B",IF('Data Source'!AE10&gt;=2,"C",IF('Data Source'!AE10&gt;=1,"D","F"))))))</f>
        <v/>
      </c>
      <c r="D11" s="8">
        <f>IF('Data Source'!AF10&gt;=5,"A+",IF('Data Source'!AF10&gt;=4,"A",IF('Data Source'!AF10&gt;=3.5,"A-",IF('Data Source'!AF10&gt;=3,"B",IF('Data Source'!AF10&gt;=2,"C",IF('Data Source'!AF10&gt;=1,"D","F"))))))</f>
        <v/>
      </c>
      <c r="E11" s="8">
        <f>IF('Data Source'!AG10&gt;=5,"A+",IF('Data Source'!AG10&gt;=4,"A",IF('Data Source'!AG10&gt;=3.5,"A-",IF('Data Source'!AG10&gt;=3,"B",IF('Data Source'!AG10&gt;=2,"C",IF('Data Source'!AG10&gt;=1,"D","F"))))))</f>
        <v/>
      </c>
      <c r="F11" s="8">
        <f>IF('Data Source'!AH10&gt;=5,"A+",IF('Data Source'!AH10&gt;=4,"A",IF('Data Source'!AH10&gt;=3.5,"A-",IF('Data Source'!AH10&gt;=3,"B",IF('Data Source'!AH10&gt;=2,"C",IF('Data Source'!AH10&gt;=1,"D","F"))))))</f>
        <v/>
      </c>
      <c r="G11" s="8">
        <f>IF('Data Source'!AI10&gt;=5,"A+",IF('Data Source'!AI10&gt;=4,"A",IF('Data Source'!AI10&gt;=3.5,"A-",IF('Data Source'!AI10&gt;=3,"B",IF('Data Source'!AI10&gt;=2,"C",IF('Data Source'!AI10&gt;=1,"D","F"))))))</f>
        <v/>
      </c>
      <c r="H11" s="8">
        <f>IF('Data Source'!AJ10&gt;=5,"A+",IF('Data Source'!AJ10&gt;=4,"A",IF('Data Source'!AJ10&gt;=3.5,"A-",IF('Data Source'!AJ10&gt;=3,"B",IF('Data Source'!AJ10&gt;=2,"C",IF('Data Source'!AJ10&gt;=1,"D","F"))))))</f>
        <v/>
      </c>
      <c r="I11" s="8">
        <f>IF('Data Source'!AK10&gt;=5,"A+",IF('Data Source'!AK10&gt;=4,"A",IF('Data Source'!AK10&gt;=3.5,"A-",IF('Data Source'!AK10&gt;=3,"B",IF('Data Source'!AK10&gt;=2,"C",IF('Data Source'!AK10&gt;=1,"D","F"))))))</f>
        <v/>
      </c>
      <c r="J11" s="8">
        <f>IF('Data Source'!AL10&gt;=5,"A+",IF('Data Source'!AL10&gt;=4,"A",IF('Data Source'!AL10&gt;=3.5,"A-",IF('Data Source'!AL10&gt;=3,"B",IF('Data Source'!AL10&gt;=2,"C",IF('Data Source'!AL10&gt;=1,"D","F"))))))</f>
        <v/>
      </c>
      <c r="K11" s="8">
        <f>IF('Data Source'!AM10&gt;=5,"A+",IF('Data Source'!AM10&gt;=4,"A",IF('Data Source'!AM10&gt;=3.5,"A-",IF('Data Source'!AM10&gt;=3,"B",IF('Data Source'!AM10&gt;=2,"C",IF('Data Source'!AM10&gt;=1,"D","F"))))))</f>
        <v/>
      </c>
      <c r="L11" s="8">
        <f>IF('Data Source'!T10&gt;=33,"Pass","Fail")</f>
        <v/>
      </c>
      <c r="M11" s="8">
        <f>IF('Data Source'!U10&gt;=33,"Pass","Fail")</f>
        <v/>
      </c>
      <c r="N11" s="7">
        <f>'Data Source'!Y10</f>
        <v/>
      </c>
      <c r="O11" s="8">
        <f>'Data Source'!Z10</f>
        <v/>
      </c>
    </row>
    <row r="12">
      <c r="A12" s="8">
        <f>'Data Source'!A11</f>
        <v/>
      </c>
      <c r="B12">
        <f>'Data Source'!B11</f>
        <v/>
      </c>
      <c r="C12" s="8">
        <f>IF('Data Source'!AE11&gt;=5,"A+",IF('Data Source'!AE11&gt;=4,"A",IF('Data Source'!AE11&gt;=3.5,"A-",IF('Data Source'!AE11&gt;=3,"B",IF('Data Source'!AE11&gt;=2,"C",IF('Data Source'!AE11&gt;=1,"D","F"))))))</f>
        <v/>
      </c>
      <c r="D12" s="8">
        <f>IF('Data Source'!AF11&gt;=5,"A+",IF('Data Source'!AF11&gt;=4,"A",IF('Data Source'!AF11&gt;=3.5,"A-",IF('Data Source'!AF11&gt;=3,"B",IF('Data Source'!AF11&gt;=2,"C",IF('Data Source'!AF11&gt;=1,"D","F"))))))</f>
        <v/>
      </c>
      <c r="E12" s="8">
        <f>IF('Data Source'!AG11&gt;=5,"A+",IF('Data Source'!AG11&gt;=4,"A",IF('Data Source'!AG11&gt;=3.5,"A-",IF('Data Source'!AG11&gt;=3,"B",IF('Data Source'!AG11&gt;=2,"C",IF('Data Source'!AG11&gt;=1,"D","F"))))))</f>
        <v/>
      </c>
      <c r="F12" s="8">
        <f>IF('Data Source'!AH11&gt;=5,"A+",IF('Data Source'!AH11&gt;=4,"A",IF('Data Source'!AH11&gt;=3.5,"A-",IF('Data Source'!AH11&gt;=3,"B",IF('Data Source'!AH11&gt;=2,"C",IF('Data Source'!AH11&gt;=1,"D","F"))))))</f>
        <v/>
      </c>
      <c r="G12" s="8">
        <f>IF('Data Source'!AI11&gt;=5,"A+",IF('Data Source'!AI11&gt;=4,"A",IF('Data Source'!AI11&gt;=3.5,"A-",IF('Data Source'!AI11&gt;=3,"B",IF('Data Source'!AI11&gt;=2,"C",IF('Data Source'!AI11&gt;=1,"D","F"))))))</f>
        <v/>
      </c>
      <c r="H12" s="8">
        <f>IF('Data Source'!AJ11&gt;=5,"A+",IF('Data Source'!AJ11&gt;=4,"A",IF('Data Source'!AJ11&gt;=3.5,"A-",IF('Data Source'!AJ11&gt;=3,"B",IF('Data Source'!AJ11&gt;=2,"C",IF('Data Source'!AJ11&gt;=1,"D","F"))))))</f>
        <v/>
      </c>
      <c r="I12" s="8">
        <f>IF('Data Source'!AK11&gt;=5,"A+",IF('Data Source'!AK11&gt;=4,"A",IF('Data Source'!AK11&gt;=3.5,"A-",IF('Data Source'!AK11&gt;=3,"B",IF('Data Source'!AK11&gt;=2,"C",IF('Data Source'!AK11&gt;=1,"D","F"))))))</f>
        <v/>
      </c>
      <c r="J12" s="8">
        <f>IF('Data Source'!AL11&gt;=5,"A+",IF('Data Source'!AL11&gt;=4,"A",IF('Data Source'!AL11&gt;=3.5,"A-",IF('Data Source'!AL11&gt;=3,"B",IF('Data Source'!AL11&gt;=2,"C",IF('Data Source'!AL11&gt;=1,"D","F"))))))</f>
        <v/>
      </c>
      <c r="K12" s="8">
        <f>IF('Data Source'!AM11&gt;=5,"A+",IF('Data Source'!AM11&gt;=4,"A",IF('Data Source'!AM11&gt;=3.5,"A-",IF('Data Source'!AM11&gt;=3,"B",IF('Data Source'!AM11&gt;=2,"C",IF('Data Source'!AM11&gt;=1,"D","F"))))))</f>
        <v/>
      </c>
      <c r="L12" s="8">
        <f>IF('Data Source'!T11&gt;=33,"Pass","Fail")</f>
        <v/>
      </c>
      <c r="M12" s="8">
        <f>IF('Data Source'!U11&gt;=33,"Pass","Fail")</f>
        <v/>
      </c>
      <c r="N12" s="7">
        <f>'Data Source'!Y11</f>
        <v/>
      </c>
      <c r="O12" s="8">
        <f>'Data Source'!Z11</f>
        <v/>
      </c>
    </row>
    <row r="13">
      <c r="A13" s="8">
        <f>'Data Source'!A12</f>
        <v/>
      </c>
      <c r="B13">
        <f>'Data Source'!B12</f>
        <v/>
      </c>
      <c r="C13" s="8">
        <f>IF('Data Source'!AE12&gt;=5,"A+",IF('Data Source'!AE12&gt;=4,"A",IF('Data Source'!AE12&gt;=3.5,"A-",IF('Data Source'!AE12&gt;=3,"B",IF('Data Source'!AE12&gt;=2,"C",IF('Data Source'!AE12&gt;=1,"D","F"))))))</f>
        <v/>
      </c>
      <c r="D13" s="8">
        <f>IF('Data Source'!AF12&gt;=5,"A+",IF('Data Source'!AF12&gt;=4,"A",IF('Data Source'!AF12&gt;=3.5,"A-",IF('Data Source'!AF12&gt;=3,"B",IF('Data Source'!AF12&gt;=2,"C",IF('Data Source'!AF12&gt;=1,"D","F"))))))</f>
        <v/>
      </c>
      <c r="E13" s="8">
        <f>IF('Data Source'!AG12&gt;=5,"A+",IF('Data Source'!AG12&gt;=4,"A",IF('Data Source'!AG12&gt;=3.5,"A-",IF('Data Source'!AG12&gt;=3,"B",IF('Data Source'!AG12&gt;=2,"C",IF('Data Source'!AG12&gt;=1,"D","F"))))))</f>
        <v/>
      </c>
      <c r="F13" s="8">
        <f>IF('Data Source'!AH12&gt;=5,"A+",IF('Data Source'!AH12&gt;=4,"A",IF('Data Source'!AH12&gt;=3.5,"A-",IF('Data Source'!AH12&gt;=3,"B",IF('Data Source'!AH12&gt;=2,"C",IF('Data Source'!AH12&gt;=1,"D","F"))))))</f>
        <v/>
      </c>
      <c r="G13" s="8">
        <f>IF('Data Source'!AI12&gt;=5,"A+",IF('Data Source'!AI12&gt;=4,"A",IF('Data Source'!AI12&gt;=3.5,"A-",IF('Data Source'!AI12&gt;=3,"B",IF('Data Source'!AI12&gt;=2,"C",IF('Data Source'!AI12&gt;=1,"D","F"))))))</f>
        <v/>
      </c>
      <c r="H13" s="8">
        <f>IF('Data Source'!AJ12&gt;=5,"A+",IF('Data Source'!AJ12&gt;=4,"A",IF('Data Source'!AJ12&gt;=3.5,"A-",IF('Data Source'!AJ12&gt;=3,"B",IF('Data Source'!AJ12&gt;=2,"C",IF('Data Source'!AJ12&gt;=1,"D","F"))))))</f>
        <v/>
      </c>
      <c r="I13" s="8">
        <f>IF('Data Source'!AK12&gt;=5,"A+",IF('Data Source'!AK12&gt;=4,"A",IF('Data Source'!AK12&gt;=3.5,"A-",IF('Data Source'!AK12&gt;=3,"B",IF('Data Source'!AK12&gt;=2,"C",IF('Data Source'!AK12&gt;=1,"D","F"))))))</f>
        <v/>
      </c>
      <c r="J13" s="8">
        <f>IF('Data Source'!AL12&gt;=5,"A+",IF('Data Source'!AL12&gt;=4,"A",IF('Data Source'!AL12&gt;=3.5,"A-",IF('Data Source'!AL12&gt;=3,"B",IF('Data Source'!AL12&gt;=2,"C",IF('Data Source'!AL12&gt;=1,"D","F"))))))</f>
        <v/>
      </c>
      <c r="K13" s="8">
        <f>IF('Data Source'!AM12&gt;=5,"A+",IF('Data Source'!AM12&gt;=4,"A",IF('Data Source'!AM12&gt;=3.5,"A-",IF('Data Source'!AM12&gt;=3,"B",IF('Data Source'!AM12&gt;=2,"C",IF('Data Source'!AM12&gt;=1,"D","F"))))))</f>
        <v/>
      </c>
      <c r="L13" s="8">
        <f>IF('Data Source'!T12&gt;=33,"Pass","Fail")</f>
        <v/>
      </c>
      <c r="M13" s="8">
        <f>IF('Data Source'!U12&gt;=33,"Pass","Fail")</f>
        <v/>
      </c>
      <c r="N13" s="7">
        <f>'Data Source'!Y12</f>
        <v/>
      </c>
      <c r="O13" s="8">
        <f>'Data Source'!Z12</f>
        <v/>
      </c>
    </row>
    <row r="14">
      <c r="A14" s="8">
        <f>'Data Source'!A13</f>
        <v/>
      </c>
      <c r="B14">
        <f>'Data Source'!B13</f>
        <v/>
      </c>
      <c r="C14" s="8">
        <f>IF('Data Source'!AE13&gt;=5,"A+",IF('Data Source'!AE13&gt;=4,"A",IF('Data Source'!AE13&gt;=3.5,"A-",IF('Data Source'!AE13&gt;=3,"B",IF('Data Source'!AE13&gt;=2,"C",IF('Data Source'!AE13&gt;=1,"D","F"))))))</f>
        <v/>
      </c>
      <c r="D14" s="8">
        <f>IF('Data Source'!AF13&gt;=5,"A+",IF('Data Source'!AF13&gt;=4,"A",IF('Data Source'!AF13&gt;=3.5,"A-",IF('Data Source'!AF13&gt;=3,"B",IF('Data Source'!AF13&gt;=2,"C",IF('Data Source'!AF13&gt;=1,"D","F"))))))</f>
        <v/>
      </c>
      <c r="E14" s="8">
        <f>IF('Data Source'!AG13&gt;=5,"A+",IF('Data Source'!AG13&gt;=4,"A",IF('Data Source'!AG13&gt;=3.5,"A-",IF('Data Source'!AG13&gt;=3,"B",IF('Data Source'!AG13&gt;=2,"C",IF('Data Source'!AG13&gt;=1,"D","F"))))))</f>
        <v/>
      </c>
      <c r="F14" s="8">
        <f>IF('Data Source'!AH13&gt;=5,"A+",IF('Data Source'!AH13&gt;=4,"A",IF('Data Source'!AH13&gt;=3.5,"A-",IF('Data Source'!AH13&gt;=3,"B",IF('Data Source'!AH13&gt;=2,"C",IF('Data Source'!AH13&gt;=1,"D","F"))))))</f>
        <v/>
      </c>
      <c r="G14" s="8">
        <f>IF('Data Source'!AI13&gt;=5,"A+",IF('Data Source'!AI13&gt;=4,"A",IF('Data Source'!AI13&gt;=3.5,"A-",IF('Data Source'!AI13&gt;=3,"B",IF('Data Source'!AI13&gt;=2,"C",IF('Data Source'!AI13&gt;=1,"D","F"))))))</f>
        <v/>
      </c>
      <c r="H14" s="8">
        <f>IF('Data Source'!AJ13&gt;=5,"A+",IF('Data Source'!AJ13&gt;=4,"A",IF('Data Source'!AJ13&gt;=3.5,"A-",IF('Data Source'!AJ13&gt;=3,"B",IF('Data Source'!AJ13&gt;=2,"C",IF('Data Source'!AJ13&gt;=1,"D","F"))))))</f>
        <v/>
      </c>
      <c r="I14" s="8">
        <f>IF('Data Source'!AK13&gt;=5,"A+",IF('Data Source'!AK13&gt;=4,"A",IF('Data Source'!AK13&gt;=3.5,"A-",IF('Data Source'!AK13&gt;=3,"B",IF('Data Source'!AK13&gt;=2,"C",IF('Data Source'!AK13&gt;=1,"D","F"))))))</f>
        <v/>
      </c>
      <c r="J14" s="8">
        <f>IF('Data Source'!AL13&gt;=5,"A+",IF('Data Source'!AL13&gt;=4,"A",IF('Data Source'!AL13&gt;=3.5,"A-",IF('Data Source'!AL13&gt;=3,"B",IF('Data Source'!AL13&gt;=2,"C",IF('Data Source'!AL13&gt;=1,"D","F"))))))</f>
        <v/>
      </c>
      <c r="K14" s="8">
        <f>IF('Data Source'!AM13&gt;=5,"A+",IF('Data Source'!AM13&gt;=4,"A",IF('Data Source'!AM13&gt;=3.5,"A-",IF('Data Source'!AM13&gt;=3,"B",IF('Data Source'!AM13&gt;=2,"C",IF('Data Source'!AM13&gt;=1,"D","F"))))))</f>
        <v/>
      </c>
      <c r="L14" s="8">
        <f>IF('Data Source'!T13&gt;=33,"Pass","Fail")</f>
        <v/>
      </c>
      <c r="M14" s="8">
        <f>IF('Data Source'!U13&gt;=33,"Pass","Fail")</f>
        <v/>
      </c>
      <c r="N14" s="7">
        <f>'Data Source'!Y13</f>
        <v/>
      </c>
      <c r="O14" s="8">
        <f>'Data Source'!Z13</f>
        <v/>
      </c>
    </row>
    <row r="15">
      <c r="A15" s="8">
        <f>'Data Source'!A14</f>
        <v/>
      </c>
      <c r="B15">
        <f>'Data Source'!B14</f>
        <v/>
      </c>
      <c r="C15" s="8">
        <f>IF('Data Source'!AE14&gt;=5,"A+",IF('Data Source'!AE14&gt;=4,"A",IF('Data Source'!AE14&gt;=3.5,"A-",IF('Data Source'!AE14&gt;=3,"B",IF('Data Source'!AE14&gt;=2,"C",IF('Data Source'!AE14&gt;=1,"D","F"))))))</f>
        <v/>
      </c>
      <c r="D15" s="8">
        <f>IF('Data Source'!AF14&gt;=5,"A+",IF('Data Source'!AF14&gt;=4,"A",IF('Data Source'!AF14&gt;=3.5,"A-",IF('Data Source'!AF14&gt;=3,"B",IF('Data Source'!AF14&gt;=2,"C",IF('Data Source'!AF14&gt;=1,"D","F"))))))</f>
        <v/>
      </c>
      <c r="E15" s="8">
        <f>IF('Data Source'!AG14&gt;=5,"A+",IF('Data Source'!AG14&gt;=4,"A",IF('Data Source'!AG14&gt;=3.5,"A-",IF('Data Source'!AG14&gt;=3,"B",IF('Data Source'!AG14&gt;=2,"C",IF('Data Source'!AG14&gt;=1,"D","F"))))))</f>
        <v/>
      </c>
      <c r="F15" s="8">
        <f>IF('Data Source'!AH14&gt;=5,"A+",IF('Data Source'!AH14&gt;=4,"A",IF('Data Source'!AH14&gt;=3.5,"A-",IF('Data Source'!AH14&gt;=3,"B",IF('Data Source'!AH14&gt;=2,"C",IF('Data Source'!AH14&gt;=1,"D","F"))))))</f>
        <v/>
      </c>
      <c r="G15" s="8">
        <f>IF('Data Source'!AI14&gt;=5,"A+",IF('Data Source'!AI14&gt;=4,"A",IF('Data Source'!AI14&gt;=3.5,"A-",IF('Data Source'!AI14&gt;=3,"B",IF('Data Source'!AI14&gt;=2,"C",IF('Data Source'!AI14&gt;=1,"D","F"))))))</f>
        <v/>
      </c>
      <c r="H15" s="8">
        <f>IF('Data Source'!AJ14&gt;=5,"A+",IF('Data Source'!AJ14&gt;=4,"A",IF('Data Source'!AJ14&gt;=3.5,"A-",IF('Data Source'!AJ14&gt;=3,"B",IF('Data Source'!AJ14&gt;=2,"C",IF('Data Source'!AJ14&gt;=1,"D","F"))))))</f>
        <v/>
      </c>
      <c r="I15" s="8">
        <f>IF('Data Source'!AK14&gt;=5,"A+",IF('Data Source'!AK14&gt;=4,"A",IF('Data Source'!AK14&gt;=3.5,"A-",IF('Data Source'!AK14&gt;=3,"B",IF('Data Source'!AK14&gt;=2,"C",IF('Data Source'!AK14&gt;=1,"D","F"))))))</f>
        <v/>
      </c>
      <c r="J15" s="8">
        <f>IF('Data Source'!AL14&gt;=5,"A+",IF('Data Source'!AL14&gt;=4,"A",IF('Data Source'!AL14&gt;=3.5,"A-",IF('Data Source'!AL14&gt;=3,"B",IF('Data Source'!AL14&gt;=2,"C",IF('Data Source'!AL14&gt;=1,"D","F"))))))</f>
        <v/>
      </c>
      <c r="K15" s="8">
        <f>IF('Data Source'!AM14&gt;=5,"A+",IF('Data Source'!AM14&gt;=4,"A",IF('Data Source'!AM14&gt;=3.5,"A-",IF('Data Source'!AM14&gt;=3,"B",IF('Data Source'!AM14&gt;=2,"C",IF('Data Source'!AM14&gt;=1,"D","F"))))))</f>
        <v/>
      </c>
      <c r="L15" s="8">
        <f>IF('Data Source'!T14&gt;=33,"Pass","Fail")</f>
        <v/>
      </c>
      <c r="M15" s="8">
        <f>IF('Data Source'!U14&gt;=33,"Pass","Fail")</f>
        <v/>
      </c>
      <c r="N15" s="7">
        <f>'Data Source'!Y14</f>
        <v/>
      </c>
      <c r="O15" s="8">
        <f>'Data Source'!Z14</f>
        <v/>
      </c>
    </row>
    <row r="16">
      <c r="A16" s="8">
        <f>'Data Source'!A15</f>
        <v/>
      </c>
      <c r="B16">
        <f>'Data Source'!B15</f>
        <v/>
      </c>
      <c r="C16" s="8">
        <f>IF('Data Source'!AE15&gt;=5,"A+",IF('Data Source'!AE15&gt;=4,"A",IF('Data Source'!AE15&gt;=3.5,"A-",IF('Data Source'!AE15&gt;=3,"B",IF('Data Source'!AE15&gt;=2,"C",IF('Data Source'!AE15&gt;=1,"D","F"))))))</f>
        <v/>
      </c>
      <c r="D16" s="8">
        <f>IF('Data Source'!AF15&gt;=5,"A+",IF('Data Source'!AF15&gt;=4,"A",IF('Data Source'!AF15&gt;=3.5,"A-",IF('Data Source'!AF15&gt;=3,"B",IF('Data Source'!AF15&gt;=2,"C",IF('Data Source'!AF15&gt;=1,"D","F"))))))</f>
        <v/>
      </c>
      <c r="E16" s="8">
        <f>IF('Data Source'!AG15&gt;=5,"A+",IF('Data Source'!AG15&gt;=4,"A",IF('Data Source'!AG15&gt;=3.5,"A-",IF('Data Source'!AG15&gt;=3,"B",IF('Data Source'!AG15&gt;=2,"C",IF('Data Source'!AG15&gt;=1,"D","F"))))))</f>
        <v/>
      </c>
      <c r="F16" s="8">
        <f>IF('Data Source'!AH15&gt;=5,"A+",IF('Data Source'!AH15&gt;=4,"A",IF('Data Source'!AH15&gt;=3.5,"A-",IF('Data Source'!AH15&gt;=3,"B",IF('Data Source'!AH15&gt;=2,"C",IF('Data Source'!AH15&gt;=1,"D","F"))))))</f>
        <v/>
      </c>
      <c r="G16" s="8">
        <f>IF('Data Source'!AI15&gt;=5,"A+",IF('Data Source'!AI15&gt;=4,"A",IF('Data Source'!AI15&gt;=3.5,"A-",IF('Data Source'!AI15&gt;=3,"B",IF('Data Source'!AI15&gt;=2,"C",IF('Data Source'!AI15&gt;=1,"D","F"))))))</f>
        <v/>
      </c>
      <c r="H16" s="8">
        <f>IF('Data Source'!AJ15&gt;=5,"A+",IF('Data Source'!AJ15&gt;=4,"A",IF('Data Source'!AJ15&gt;=3.5,"A-",IF('Data Source'!AJ15&gt;=3,"B",IF('Data Source'!AJ15&gt;=2,"C",IF('Data Source'!AJ15&gt;=1,"D","F"))))))</f>
        <v/>
      </c>
      <c r="I16" s="8">
        <f>IF('Data Source'!AK15&gt;=5,"A+",IF('Data Source'!AK15&gt;=4,"A",IF('Data Source'!AK15&gt;=3.5,"A-",IF('Data Source'!AK15&gt;=3,"B",IF('Data Source'!AK15&gt;=2,"C",IF('Data Source'!AK15&gt;=1,"D","F"))))))</f>
        <v/>
      </c>
      <c r="J16" s="8">
        <f>IF('Data Source'!AL15&gt;=5,"A+",IF('Data Source'!AL15&gt;=4,"A",IF('Data Source'!AL15&gt;=3.5,"A-",IF('Data Source'!AL15&gt;=3,"B",IF('Data Source'!AL15&gt;=2,"C",IF('Data Source'!AL15&gt;=1,"D","F"))))))</f>
        <v/>
      </c>
      <c r="K16" s="8">
        <f>IF('Data Source'!AM15&gt;=5,"A+",IF('Data Source'!AM15&gt;=4,"A",IF('Data Source'!AM15&gt;=3.5,"A-",IF('Data Source'!AM15&gt;=3,"B",IF('Data Source'!AM15&gt;=2,"C",IF('Data Source'!AM15&gt;=1,"D","F"))))))</f>
        <v/>
      </c>
      <c r="L16" s="8">
        <f>IF('Data Source'!T15&gt;=33,"Pass","Fail")</f>
        <v/>
      </c>
      <c r="M16" s="8">
        <f>IF('Data Source'!U15&gt;=33,"Pass","Fail")</f>
        <v/>
      </c>
      <c r="N16" s="7">
        <f>'Data Source'!Y15</f>
        <v/>
      </c>
      <c r="O16" s="8">
        <f>'Data Source'!Z15</f>
        <v/>
      </c>
    </row>
    <row r="17">
      <c r="A17" s="8">
        <f>'Data Source'!A16</f>
        <v/>
      </c>
      <c r="B17">
        <f>'Data Source'!B16</f>
        <v/>
      </c>
      <c r="C17" s="8">
        <f>IF('Data Source'!AE16&gt;=5,"A+",IF('Data Source'!AE16&gt;=4,"A",IF('Data Source'!AE16&gt;=3.5,"A-",IF('Data Source'!AE16&gt;=3,"B",IF('Data Source'!AE16&gt;=2,"C",IF('Data Source'!AE16&gt;=1,"D","F"))))))</f>
        <v/>
      </c>
      <c r="D17" s="8">
        <f>IF('Data Source'!AF16&gt;=5,"A+",IF('Data Source'!AF16&gt;=4,"A",IF('Data Source'!AF16&gt;=3.5,"A-",IF('Data Source'!AF16&gt;=3,"B",IF('Data Source'!AF16&gt;=2,"C",IF('Data Source'!AF16&gt;=1,"D","F"))))))</f>
        <v/>
      </c>
      <c r="E17" s="8">
        <f>IF('Data Source'!AG16&gt;=5,"A+",IF('Data Source'!AG16&gt;=4,"A",IF('Data Source'!AG16&gt;=3.5,"A-",IF('Data Source'!AG16&gt;=3,"B",IF('Data Source'!AG16&gt;=2,"C",IF('Data Source'!AG16&gt;=1,"D","F"))))))</f>
        <v/>
      </c>
      <c r="F17" s="8">
        <f>IF('Data Source'!AH16&gt;=5,"A+",IF('Data Source'!AH16&gt;=4,"A",IF('Data Source'!AH16&gt;=3.5,"A-",IF('Data Source'!AH16&gt;=3,"B",IF('Data Source'!AH16&gt;=2,"C",IF('Data Source'!AH16&gt;=1,"D","F"))))))</f>
        <v/>
      </c>
      <c r="G17" s="8">
        <f>IF('Data Source'!AI16&gt;=5,"A+",IF('Data Source'!AI16&gt;=4,"A",IF('Data Source'!AI16&gt;=3.5,"A-",IF('Data Source'!AI16&gt;=3,"B",IF('Data Source'!AI16&gt;=2,"C",IF('Data Source'!AI16&gt;=1,"D","F"))))))</f>
        <v/>
      </c>
      <c r="H17" s="8">
        <f>IF('Data Source'!AJ16&gt;=5,"A+",IF('Data Source'!AJ16&gt;=4,"A",IF('Data Source'!AJ16&gt;=3.5,"A-",IF('Data Source'!AJ16&gt;=3,"B",IF('Data Source'!AJ16&gt;=2,"C",IF('Data Source'!AJ16&gt;=1,"D","F"))))))</f>
        <v/>
      </c>
      <c r="I17" s="8">
        <f>IF('Data Source'!AK16&gt;=5,"A+",IF('Data Source'!AK16&gt;=4,"A",IF('Data Source'!AK16&gt;=3.5,"A-",IF('Data Source'!AK16&gt;=3,"B",IF('Data Source'!AK16&gt;=2,"C",IF('Data Source'!AK16&gt;=1,"D","F"))))))</f>
        <v/>
      </c>
      <c r="J17" s="8">
        <f>IF('Data Source'!AL16&gt;=5,"A+",IF('Data Source'!AL16&gt;=4,"A",IF('Data Source'!AL16&gt;=3.5,"A-",IF('Data Source'!AL16&gt;=3,"B",IF('Data Source'!AL16&gt;=2,"C",IF('Data Source'!AL16&gt;=1,"D","F"))))))</f>
        <v/>
      </c>
      <c r="K17" s="8">
        <f>IF('Data Source'!AM16&gt;=5,"A+",IF('Data Source'!AM16&gt;=4,"A",IF('Data Source'!AM16&gt;=3.5,"A-",IF('Data Source'!AM16&gt;=3,"B",IF('Data Source'!AM16&gt;=2,"C",IF('Data Source'!AM16&gt;=1,"D","F"))))))</f>
        <v/>
      </c>
      <c r="L17" s="8">
        <f>IF('Data Source'!T16&gt;=33,"Pass","Fail")</f>
        <v/>
      </c>
      <c r="M17" s="8">
        <f>IF('Data Source'!U16&gt;=33,"Pass","Fail")</f>
        <v/>
      </c>
      <c r="N17" s="7">
        <f>'Data Source'!Y16</f>
        <v/>
      </c>
      <c r="O17" s="8">
        <f>'Data Source'!Z16</f>
        <v/>
      </c>
    </row>
    <row r="18">
      <c r="A18" s="8">
        <f>'Data Source'!A17</f>
        <v/>
      </c>
      <c r="B18">
        <f>'Data Source'!B17</f>
        <v/>
      </c>
      <c r="C18" s="8">
        <f>IF('Data Source'!AE17&gt;=5,"A+",IF('Data Source'!AE17&gt;=4,"A",IF('Data Source'!AE17&gt;=3.5,"A-",IF('Data Source'!AE17&gt;=3,"B",IF('Data Source'!AE17&gt;=2,"C",IF('Data Source'!AE17&gt;=1,"D","F"))))))</f>
        <v/>
      </c>
      <c r="D18" s="8">
        <f>IF('Data Source'!AF17&gt;=5,"A+",IF('Data Source'!AF17&gt;=4,"A",IF('Data Source'!AF17&gt;=3.5,"A-",IF('Data Source'!AF17&gt;=3,"B",IF('Data Source'!AF17&gt;=2,"C",IF('Data Source'!AF17&gt;=1,"D","F"))))))</f>
        <v/>
      </c>
      <c r="E18" s="8">
        <f>IF('Data Source'!AG17&gt;=5,"A+",IF('Data Source'!AG17&gt;=4,"A",IF('Data Source'!AG17&gt;=3.5,"A-",IF('Data Source'!AG17&gt;=3,"B",IF('Data Source'!AG17&gt;=2,"C",IF('Data Source'!AG17&gt;=1,"D","F"))))))</f>
        <v/>
      </c>
      <c r="F18" s="8">
        <f>IF('Data Source'!AH17&gt;=5,"A+",IF('Data Source'!AH17&gt;=4,"A",IF('Data Source'!AH17&gt;=3.5,"A-",IF('Data Source'!AH17&gt;=3,"B",IF('Data Source'!AH17&gt;=2,"C",IF('Data Source'!AH17&gt;=1,"D","F"))))))</f>
        <v/>
      </c>
      <c r="G18" s="8">
        <f>IF('Data Source'!AI17&gt;=5,"A+",IF('Data Source'!AI17&gt;=4,"A",IF('Data Source'!AI17&gt;=3.5,"A-",IF('Data Source'!AI17&gt;=3,"B",IF('Data Source'!AI17&gt;=2,"C",IF('Data Source'!AI17&gt;=1,"D","F"))))))</f>
        <v/>
      </c>
      <c r="H18" s="8">
        <f>IF('Data Source'!AJ17&gt;=5,"A+",IF('Data Source'!AJ17&gt;=4,"A",IF('Data Source'!AJ17&gt;=3.5,"A-",IF('Data Source'!AJ17&gt;=3,"B",IF('Data Source'!AJ17&gt;=2,"C",IF('Data Source'!AJ17&gt;=1,"D","F"))))))</f>
        <v/>
      </c>
      <c r="I18" s="8">
        <f>IF('Data Source'!AK17&gt;=5,"A+",IF('Data Source'!AK17&gt;=4,"A",IF('Data Source'!AK17&gt;=3.5,"A-",IF('Data Source'!AK17&gt;=3,"B",IF('Data Source'!AK17&gt;=2,"C",IF('Data Source'!AK17&gt;=1,"D","F"))))))</f>
        <v/>
      </c>
      <c r="J18" s="8">
        <f>IF('Data Source'!AL17&gt;=5,"A+",IF('Data Source'!AL17&gt;=4,"A",IF('Data Source'!AL17&gt;=3.5,"A-",IF('Data Source'!AL17&gt;=3,"B",IF('Data Source'!AL17&gt;=2,"C",IF('Data Source'!AL17&gt;=1,"D","F"))))))</f>
        <v/>
      </c>
      <c r="K18" s="8">
        <f>IF('Data Source'!AM17&gt;=5,"A+",IF('Data Source'!AM17&gt;=4,"A",IF('Data Source'!AM17&gt;=3.5,"A-",IF('Data Source'!AM17&gt;=3,"B",IF('Data Source'!AM17&gt;=2,"C",IF('Data Source'!AM17&gt;=1,"D","F"))))))</f>
        <v/>
      </c>
      <c r="L18" s="8">
        <f>IF('Data Source'!T17&gt;=33,"Pass","Fail")</f>
        <v/>
      </c>
      <c r="M18" s="8">
        <f>IF('Data Source'!U17&gt;=33,"Pass","Fail")</f>
        <v/>
      </c>
      <c r="N18" s="7">
        <f>'Data Source'!Y17</f>
        <v/>
      </c>
      <c r="O18" s="8">
        <f>'Data Source'!Z17</f>
        <v/>
      </c>
    </row>
    <row r="19">
      <c r="A19" s="8">
        <f>'Data Source'!A18</f>
        <v/>
      </c>
      <c r="B19">
        <f>'Data Source'!B18</f>
        <v/>
      </c>
      <c r="C19" s="8">
        <f>IF('Data Source'!AE18&gt;=5,"A+",IF('Data Source'!AE18&gt;=4,"A",IF('Data Source'!AE18&gt;=3.5,"A-",IF('Data Source'!AE18&gt;=3,"B",IF('Data Source'!AE18&gt;=2,"C",IF('Data Source'!AE18&gt;=1,"D","F"))))))</f>
        <v/>
      </c>
      <c r="D19" s="8">
        <f>IF('Data Source'!AF18&gt;=5,"A+",IF('Data Source'!AF18&gt;=4,"A",IF('Data Source'!AF18&gt;=3.5,"A-",IF('Data Source'!AF18&gt;=3,"B",IF('Data Source'!AF18&gt;=2,"C",IF('Data Source'!AF18&gt;=1,"D","F"))))))</f>
        <v/>
      </c>
      <c r="E19" s="8">
        <f>IF('Data Source'!AG18&gt;=5,"A+",IF('Data Source'!AG18&gt;=4,"A",IF('Data Source'!AG18&gt;=3.5,"A-",IF('Data Source'!AG18&gt;=3,"B",IF('Data Source'!AG18&gt;=2,"C",IF('Data Source'!AG18&gt;=1,"D","F"))))))</f>
        <v/>
      </c>
      <c r="F19" s="8">
        <f>IF('Data Source'!AH18&gt;=5,"A+",IF('Data Source'!AH18&gt;=4,"A",IF('Data Source'!AH18&gt;=3.5,"A-",IF('Data Source'!AH18&gt;=3,"B",IF('Data Source'!AH18&gt;=2,"C",IF('Data Source'!AH18&gt;=1,"D","F"))))))</f>
        <v/>
      </c>
      <c r="G19" s="8">
        <f>IF('Data Source'!AI18&gt;=5,"A+",IF('Data Source'!AI18&gt;=4,"A",IF('Data Source'!AI18&gt;=3.5,"A-",IF('Data Source'!AI18&gt;=3,"B",IF('Data Source'!AI18&gt;=2,"C",IF('Data Source'!AI18&gt;=1,"D","F"))))))</f>
        <v/>
      </c>
      <c r="H19" s="8">
        <f>IF('Data Source'!AJ18&gt;=5,"A+",IF('Data Source'!AJ18&gt;=4,"A",IF('Data Source'!AJ18&gt;=3.5,"A-",IF('Data Source'!AJ18&gt;=3,"B",IF('Data Source'!AJ18&gt;=2,"C",IF('Data Source'!AJ18&gt;=1,"D","F"))))))</f>
        <v/>
      </c>
      <c r="I19" s="8">
        <f>IF('Data Source'!AK18&gt;=5,"A+",IF('Data Source'!AK18&gt;=4,"A",IF('Data Source'!AK18&gt;=3.5,"A-",IF('Data Source'!AK18&gt;=3,"B",IF('Data Source'!AK18&gt;=2,"C",IF('Data Source'!AK18&gt;=1,"D","F"))))))</f>
        <v/>
      </c>
      <c r="J19" s="8">
        <f>IF('Data Source'!AL18&gt;=5,"A+",IF('Data Source'!AL18&gt;=4,"A",IF('Data Source'!AL18&gt;=3.5,"A-",IF('Data Source'!AL18&gt;=3,"B",IF('Data Source'!AL18&gt;=2,"C",IF('Data Source'!AL18&gt;=1,"D","F"))))))</f>
        <v/>
      </c>
      <c r="K19" s="8">
        <f>IF('Data Source'!AM18&gt;=5,"A+",IF('Data Source'!AM18&gt;=4,"A",IF('Data Source'!AM18&gt;=3.5,"A-",IF('Data Source'!AM18&gt;=3,"B",IF('Data Source'!AM18&gt;=2,"C",IF('Data Source'!AM18&gt;=1,"D","F"))))))</f>
        <v/>
      </c>
      <c r="L19" s="8">
        <f>IF('Data Source'!T18&gt;=33,"Pass","Fail")</f>
        <v/>
      </c>
      <c r="M19" s="8">
        <f>IF('Data Source'!U18&gt;=33,"Pass","Fail")</f>
        <v/>
      </c>
      <c r="N19" s="7">
        <f>'Data Source'!Y18</f>
        <v/>
      </c>
      <c r="O19" s="8">
        <f>'Data Source'!Z18</f>
        <v/>
      </c>
    </row>
    <row r="20">
      <c r="A20" s="8">
        <f>'Data Source'!A19</f>
        <v/>
      </c>
      <c r="B20">
        <f>'Data Source'!B19</f>
        <v/>
      </c>
      <c r="C20" s="8">
        <f>IF('Data Source'!AE19&gt;=5,"A+",IF('Data Source'!AE19&gt;=4,"A",IF('Data Source'!AE19&gt;=3.5,"A-",IF('Data Source'!AE19&gt;=3,"B",IF('Data Source'!AE19&gt;=2,"C",IF('Data Source'!AE19&gt;=1,"D","F"))))))</f>
        <v/>
      </c>
      <c r="D20" s="8">
        <f>IF('Data Source'!AF19&gt;=5,"A+",IF('Data Source'!AF19&gt;=4,"A",IF('Data Source'!AF19&gt;=3.5,"A-",IF('Data Source'!AF19&gt;=3,"B",IF('Data Source'!AF19&gt;=2,"C",IF('Data Source'!AF19&gt;=1,"D","F"))))))</f>
        <v/>
      </c>
      <c r="E20" s="8">
        <f>IF('Data Source'!AG19&gt;=5,"A+",IF('Data Source'!AG19&gt;=4,"A",IF('Data Source'!AG19&gt;=3.5,"A-",IF('Data Source'!AG19&gt;=3,"B",IF('Data Source'!AG19&gt;=2,"C",IF('Data Source'!AG19&gt;=1,"D","F"))))))</f>
        <v/>
      </c>
      <c r="F20" s="8">
        <f>IF('Data Source'!AH19&gt;=5,"A+",IF('Data Source'!AH19&gt;=4,"A",IF('Data Source'!AH19&gt;=3.5,"A-",IF('Data Source'!AH19&gt;=3,"B",IF('Data Source'!AH19&gt;=2,"C",IF('Data Source'!AH19&gt;=1,"D","F"))))))</f>
        <v/>
      </c>
      <c r="G20" s="8">
        <f>IF('Data Source'!AI19&gt;=5,"A+",IF('Data Source'!AI19&gt;=4,"A",IF('Data Source'!AI19&gt;=3.5,"A-",IF('Data Source'!AI19&gt;=3,"B",IF('Data Source'!AI19&gt;=2,"C",IF('Data Source'!AI19&gt;=1,"D","F"))))))</f>
        <v/>
      </c>
      <c r="H20" s="8">
        <f>IF('Data Source'!AJ19&gt;=5,"A+",IF('Data Source'!AJ19&gt;=4,"A",IF('Data Source'!AJ19&gt;=3.5,"A-",IF('Data Source'!AJ19&gt;=3,"B",IF('Data Source'!AJ19&gt;=2,"C",IF('Data Source'!AJ19&gt;=1,"D","F"))))))</f>
        <v/>
      </c>
      <c r="I20" s="8">
        <f>IF('Data Source'!AK19&gt;=5,"A+",IF('Data Source'!AK19&gt;=4,"A",IF('Data Source'!AK19&gt;=3.5,"A-",IF('Data Source'!AK19&gt;=3,"B",IF('Data Source'!AK19&gt;=2,"C",IF('Data Source'!AK19&gt;=1,"D","F"))))))</f>
        <v/>
      </c>
      <c r="J20" s="8">
        <f>IF('Data Source'!AL19&gt;=5,"A+",IF('Data Source'!AL19&gt;=4,"A",IF('Data Source'!AL19&gt;=3.5,"A-",IF('Data Source'!AL19&gt;=3,"B",IF('Data Source'!AL19&gt;=2,"C",IF('Data Source'!AL19&gt;=1,"D","F"))))))</f>
        <v/>
      </c>
      <c r="K20" s="8">
        <f>IF('Data Source'!AM19&gt;=5,"A+",IF('Data Source'!AM19&gt;=4,"A",IF('Data Source'!AM19&gt;=3.5,"A-",IF('Data Source'!AM19&gt;=3,"B",IF('Data Source'!AM19&gt;=2,"C",IF('Data Source'!AM19&gt;=1,"D","F"))))))</f>
        <v/>
      </c>
      <c r="L20" s="8">
        <f>IF('Data Source'!T19&gt;=33,"Pass","Fail")</f>
        <v/>
      </c>
      <c r="M20" s="8">
        <f>IF('Data Source'!U19&gt;=33,"Pass","Fail")</f>
        <v/>
      </c>
      <c r="N20" s="7">
        <f>'Data Source'!Y19</f>
        <v/>
      </c>
      <c r="O20" s="8">
        <f>'Data Source'!Z19</f>
        <v/>
      </c>
    </row>
    <row r="21">
      <c r="A21" s="8">
        <f>'Data Source'!A20</f>
        <v/>
      </c>
      <c r="B21">
        <f>'Data Source'!B20</f>
        <v/>
      </c>
      <c r="C21" s="8">
        <f>IF('Data Source'!AE20&gt;=5,"A+",IF('Data Source'!AE20&gt;=4,"A",IF('Data Source'!AE20&gt;=3.5,"A-",IF('Data Source'!AE20&gt;=3,"B",IF('Data Source'!AE20&gt;=2,"C",IF('Data Source'!AE20&gt;=1,"D","F"))))))</f>
        <v/>
      </c>
      <c r="D21" s="8">
        <f>IF('Data Source'!AF20&gt;=5,"A+",IF('Data Source'!AF20&gt;=4,"A",IF('Data Source'!AF20&gt;=3.5,"A-",IF('Data Source'!AF20&gt;=3,"B",IF('Data Source'!AF20&gt;=2,"C",IF('Data Source'!AF20&gt;=1,"D","F"))))))</f>
        <v/>
      </c>
      <c r="E21" s="8">
        <f>IF('Data Source'!AG20&gt;=5,"A+",IF('Data Source'!AG20&gt;=4,"A",IF('Data Source'!AG20&gt;=3.5,"A-",IF('Data Source'!AG20&gt;=3,"B",IF('Data Source'!AG20&gt;=2,"C",IF('Data Source'!AG20&gt;=1,"D","F"))))))</f>
        <v/>
      </c>
      <c r="F21" s="8">
        <f>IF('Data Source'!AH20&gt;=5,"A+",IF('Data Source'!AH20&gt;=4,"A",IF('Data Source'!AH20&gt;=3.5,"A-",IF('Data Source'!AH20&gt;=3,"B",IF('Data Source'!AH20&gt;=2,"C",IF('Data Source'!AH20&gt;=1,"D","F"))))))</f>
        <v/>
      </c>
      <c r="G21" s="8">
        <f>IF('Data Source'!AI20&gt;=5,"A+",IF('Data Source'!AI20&gt;=4,"A",IF('Data Source'!AI20&gt;=3.5,"A-",IF('Data Source'!AI20&gt;=3,"B",IF('Data Source'!AI20&gt;=2,"C",IF('Data Source'!AI20&gt;=1,"D","F"))))))</f>
        <v/>
      </c>
      <c r="H21" s="8">
        <f>IF('Data Source'!AJ20&gt;=5,"A+",IF('Data Source'!AJ20&gt;=4,"A",IF('Data Source'!AJ20&gt;=3.5,"A-",IF('Data Source'!AJ20&gt;=3,"B",IF('Data Source'!AJ20&gt;=2,"C",IF('Data Source'!AJ20&gt;=1,"D","F"))))))</f>
        <v/>
      </c>
      <c r="I21" s="8">
        <f>IF('Data Source'!AK20&gt;=5,"A+",IF('Data Source'!AK20&gt;=4,"A",IF('Data Source'!AK20&gt;=3.5,"A-",IF('Data Source'!AK20&gt;=3,"B",IF('Data Source'!AK20&gt;=2,"C",IF('Data Source'!AK20&gt;=1,"D","F"))))))</f>
        <v/>
      </c>
      <c r="J21" s="8">
        <f>IF('Data Source'!AL20&gt;=5,"A+",IF('Data Source'!AL20&gt;=4,"A",IF('Data Source'!AL20&gt;=3.5,"A-",IF('Data Source'!AL20&gt;=3,"B",IF('Data Source'!AL20&gt;=2,"C",IF('Data Source'!AL20&gt;=1,"D","F"))))))</f>
        <v/>
      </c>
      <c r="K21" s="8">
        <f>IF('Data Source'!AM20&gt;=5,"A+",IF('Data Source'!AM20&gt;=4,"A",IF('Data Source'!AM20&gt;=3.5,"A-",IF('Data Source'!AM20&gt;=3,"B",IF('Data Source'!AM20&gt;=2,"C",IF('Data Source'!AM20&gt;=1,"D","F"))))))</f>
        <v/>
      </c>
      <c r="L21" s="8">
        <f>IF('Data Source'!T20&gt;=33,"Pass","Fail")</f>
        <v/>
      </c>
      <c r="M21" s="8">
        <f>IF('Data Source'!U20&gt;=33,"Pass","Fail")</f>
        <v/>
      </c>
      <c r="N21" s="7">
        <f>'Data Source'!Y20</f>
        <v/>
      </c>
      <c r="O21" s="8">
        <f>'Data Source'!Z20</f>
        <v/>
      </c>
    </row>
    <row r="22">
      <c r="A22" s="8">
        <f>'Data Source'!A21</f>
        <v/>
      </c>
      <c r="B22">
        <f>'Data Source'!B21</f>
        <v/>
      </c>
      <c r="C22" s="8">
        <f>IF('Data Source'!AE21&gt;=5,"A+",IF('Data Source'!AE21&gt;=4,"A",IF('Data Source'!AE21&gt;=3.5,"A-",IF('Data Source'!AE21&gt;=3,"B",IF('Data Source'!AE21&gt;=2,"C",IF('Data Source'!AE21&gt;=1,"D","F"))))))</f>
        <v/>
      </c>
      <c r="D22" s="8">
        <f>IF('Data Source'!AF21&gt;=5,"A+",IF('Data Source'!AF21&gt;=4,"A",IF('Data Source'!AF21&gt;=3.5,"A-",IF('Data Source'!AF21&gt;=3,"B",IF('Data Source'!AF21&gt;=2,"C",IF('Data Source'!AF21&gt;=1,"D","F"))))))</f>
        <v/>
      </c>
      <c r="E22" s="8">
        <f>IF('Data Source'!AG21&gt;=5,"A+",IF('Data Source'!AG21&gt;=4,"A",IF('Data Source'!AG21&gt;=3.5,"A-",IF('Data Source'!AG21&gt;=3,"B",IF('Data Source'!AG21&gt;=2,"C",IF('Data Source'!AG21&gt;=1,"D","F"))))))</f>
        <v/>
      </c>
      <c r="F22" s="8">
        <f>IF('Data Source'!AH21&gt;=5,"A+",IF('Data Source'!AH21&gt;=4,"A",IF('Data Source'!AH21&gt;=3.5,"A-",IF('Data Source'!AH21&gt;=3,"B",IF('Data Source'!AH21&gt;=2,"C",IF('Data Source'!AH21&gt;=1,"D","F"))))))</f>
        <v/>
      </c>
      <c r="G22" s="8">
        <f>IF('Data Source'!AI21&gt;=5,"A+",IF('Data Source'!AI21&gt;=4,"A",IF('Data Source'!AI21&gt;=3.5,"A-",IF('Data Source'!AI21&gt;=3,"B",IF('Data Source'!AI21&gt;=2,"C",IF('Data Source'!AI21&gt;=1,"D","F"))))))</f>
        <v/>
      </c>
      <c r="H22" s="8">
        <f>IF('Data Source'!AJ21&gt;=5,"A+",IF('Data Source'!AJ21&gt;=4,"A",IF('Data Source'!AJ21&gt;=3.5,"A-",IF('Data Source'!AJ21&gt;=3,"B",IF('Data Source'!AJ21&gt;=2,"C",IF('Data Source'!AJ21&gt;=1,"D","F"))))))</f>
        <v/>
      </c>
      <c r="I22" s="8">
        <f>IF('Data Source'!AK21&gt;=5,"A+",IF('Data Source'!AK21&gt;=4,"A",IF('Data Source'!AK21&gt;=3.5,"A-",IF('Data Source'!AK21&gt;=3,"B",IF('Data Source'!AK21&gt;=2,"C",IF('Data Source'!AK21&gt;=1,"D","F"))))))</f>
        <v/>
      </c>
      <c r="J22" s="8">
        <f>IF('Data Source'!AL21&gt;=5,"A+",IF('Data Source'!AL21&gt;=4,"A",IF('Data Source'!AL21&gt;=3.5,"A-",IF('Data Source'!AL21&gt;=3,"B",IF('Data Source'!AL21&gt;=2,"C",IF('Data Source'!AL21&gt;=1,"D","F"))))))</f>
        <v/>
      </c>
      <c r="K22" s="8">
        <f>IF('Data Source'!AM21&gt;=5,"A+",IF('Data Source'!AM21&gt;=4,"A",IF('Data Source'!AM21&gt;=3.5,"A-",IF('Data Source'!AM21&gt;=3,"B",IF('Data Source'!AM21&gt;=2,"C",IF('Data Source'!AM21&gt;=1,"D","F"))))))</f>
        <v/>
      </c>
      <c r="L22" s="8">
        <f>IF('Data Source'!T21&gt;=33,"Pass","Fail")</f>
        <v/>
      </c>
      <c r="M22" s="8">
        <f>IF('Data Source'!U21&gt;=33,"Pass","Fail")</f>
        <v/>
      </c>
      <c r="N22" s="7">
        <f>'Data Source'!Y21</f>
        <v/>
      </c>
      <c r="O22" s="8">
        <f>'Data Source'!Z21</f>
        <v/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  <col width="12" customWidth="1" min="13" max="13"/>
    <col width="10" customWidth="1" min="14" max="14"/>
  </cols>
  <sheetData>
    <row r="1" ht="30" customHeight="1">
      <c r="A1" s="18" t="inlineStr">
        <is>
          <t>SUBJECT-WISE GPA (GRADE POINTS)</t>
        </is>
      </c>
    </row>
    <row r="2">
      <c r="A2" s="19" t="inlineStr">
        <is>
          <t>SL</t>
        </is>
      </c>
      <c r="B2" s="19" t="inlineStr">
        <is>
          <t>Name</t>
        </is>
      </c>
      <c r="C2" s="19" t="inlineStr">
        <is>
          <t>Quran+Hadith GP</t>
        </is>
      </c>
      <c r="D2" s="19" t="inlineStr">
        <is>
          <t>Arabic GP</t>
        </is>
      </c>
      <c r="E2" s="19" t="inlineStr">
        <is>
          <t>Aqaid GP</t>
        </is>
      </c>
      <c r="F2" s="19" t="inlineStr">
        <is>
          <t>English GP</t>
        </is>
      </c>
      <c r="G2" s="19" t="inlineStr">
        <is>
          <t>Bangla GP</t>
        </is>
      </c>
      <c r="H2" s="19" t="inlineStr">
        <is>
          <t>Math GP</t>
        </is>
      </c>
      <c r="I2" s="19" t="inlineStr">
        <is>
          <t>History GP</t>
        </is>
      </c>
      <c r="J2" s="19" t="inlineStr">
        <is>
          <t>ICT GP</t>
        </is>
      </c>
      <c r="K2" s="19" t="inlineStr">
        <is>
          <t>Mantiq GP</t>
        </is>
      </c>
      <c r="L2" s="19" t="inlineStr">
        <is>
          <t>Base GPA</t>
        </is>
      </c>
      <c r="M2" s="19" t="inlineStr">
        <is>
          <t>Final GPA</t>
        </is>
      </c>
      <c r="N2" s="19" t="inlineStr">
        <is>
          <t>Grade</t>
        </is>
      </c>
    </row>
    <row r="3">
      <c r="A3" s="8">
        <f>'Data Source'!A2</f>
        <v/>
      </c>
      <c r="B3">
        <f>'Data Source'!B2</f>
        <v/>
      </c>
      <c r="C3" s="7">
        <f>'Data Source'!AE2</f>
        <v/>
      </c>
      <c r="D3" s="7">
        <f>'Data Source'!AF2</f>
        <v/>
      </c>
      <c r="E3" s="7">
        <f>'Data Source'!AG2</f>
        <v/>
      </c>
      <c r="F3" s="7">
        <f>'Data Source'!AH2</f>
        <v/>
      </c>
      <c r="G3" s="7">
        <f>'Data Source'!AI2</f>
        <v/>
      </c>
      <c r="H3" s="7">
        <f>'Data Source'!AJ2</f>
        <v/>
      </c>
      <c r="I3" s="7">
        <f>'Data Source'!AK2</f>
        <v/>
      </c>
      <c r="J3" s="7">
        <f>'Data Source'!AL2</f>
        <v/>
      </c>
      <c r="K3" s="7">
        <f>'Data Source'!AM2</f>
        <v/>
      </c>
      <c r="L3" s="7">
        <f>'Data Source'!AN2</f>
        <v/>
      </c>
      <c r="M3" s="7">
        <f>'Data Source'!Y2</f>
        <v/>
      </c>
      <c r="N3" s="8">
        <f>'Data Source'!Z2</f>
        <v/>
      </c>
    </row>
    <row r="4">
      <c r="A4" s="8">
        <f>'Data Source'!A3</f>
        <v/>
      </c>
      <c r="B4">
        <f>'Data Source'!B3</f>
        <v/>
      </c>
      <c r="C4" s="7">
        <f>'Data Source'!AE3</f>
        <v/>
      </c>
      <c r="D4" s="7">
        <f>'Data Source'!AF3</f>
        <v/>
      </c>
      <c r="E4" s="7">
        <f>'Data Source'!AG3</f>
        <v/>
      </c>
      <c r="F4" s="7">
        <f>'Data Source'!AH3</f>
        <v/>
      </c>
      <c r="G4" s="7">
        <f>'Data Source'!AI3</f>
        <v/>
      </c>
      <c r="H4" s="7">
        <f>'Data Source'!AJ3</f>
        <v/>
      </c>
      <c r="I4" s="7">
        <f>'Data Source'!AK3</f>
        <v/>
      </c>
      <c r="J4" s="7">
        <f>'Data Source'!AL3</f>
        <v/>
      </c>
      <c r="K4" s="7">
        <f>'Data Source'!AM3</f>
        <v/>
      </c>
      <c r="L4" s="7">
        <f>'Data Source'!AN3</f>
        <v/>
      </c>
      <c r="M4" s="7">
        <f>'Data Source'!Y3</f>
        <v/>
      </c>
      <c r="N4" s="8">
        <f>'Data Source'!Z3</f>
        <v/>
      </c>
    </row>
    <row r="5">
      <c r="A5" s="8">
        <f>'Data Source'!A4</f>
        <v/>
      </c>
      <c r="B5">
        <f>'Data Source'!B4</f>
        <v/>
      </c>
      <c r="C5" s="7">
        <f>'Data Source'!AE4</f>
        <v/>
      </c>
      <c r="D5" s="7">
        <f>'Data Source'!AF4</f>
        <v/>
      </c>
      <c r="E5" s="7">
        <f>'Data Source'!AG4</f>
        <v/>
      </c>
      <c r="F5" s="7">
        <f>'Data Source'!AH4</f>
        <v/>
      </c>
      <c r="G5" s="7">
        <f>'Data Source'!AI4</f>
        <v/>
      </c>
      <c r="H5" s="7">
        <f>'Data Source'!AJ4</f>
        <v/>
      </c>
      <c r="I5" s="7">
        <f>'Data Source'!AK4</f>
        <v/>
      </c>
      <c r="J5" s="7">
        <f>'Data Source'!AL4</f>
        <v/>
      </c>
      <c r="K5" s="7">
        <f>'Data Source'!AM4</f>
        <v/>
      </c>
      <c r="L5" s="7">
        <f>'Data Source'!AN4</f>
        <v/>
      </c>
      <c r="M5" s="7">
        <f>'Data Source'!Y4</f>
        <v/>
      </c>
      <c r="N5" s="8">
        <f>'Data Source'!Z4</f>
        <v/>
      </c>
    </row>
    <row r="6">
      <c r="A6" s="8">
        <f>'Data Source'!A5</f>
        <v/>
      </c>
      <c r="B6">
        <f>'Data Source'!B5</f>
        <v/>
      </c>
      <c r="C6" s="7">
        <f>'Data Source'!AE5</f>
        <v/>
      </c>
      <c r="D6" s="7">
        <f>'Data Source'!AF5</f>
        <v/>
      </c>
      <c r="E6" s="7">
        <f>'Data Source'!AG5</f>
        <v/>
      </c>
      <c r="F6" s="7">
        <f>'Data Source'!AH5</f>
        <v/>
      </c>
      <c r="G6" s="7">
        <f>'Data Source'!AI5</f>
        <v/>
      </c>
      <c r="H6" s="7">
        <f>'Data Source'!AJ5</f>
        <v/>
      </c>
      <c r="I6" s="7">
        <f>'Data Source'!AK5</f>
        <v/>
      </c>
      <c r="J6" s="7">
        <f>'Data Source'!AL5</f>
        <v/>
      </c>
      <c r="K6" s="7">
        <f>'Data Source'!AM5</f>
        <v/>
      </c>
      <c r="L6" s="7">
        <f>'Data Source'!AN5</f>
        <v/>
      </c>
      <c r="M6" s="7">
        <f>'Data Source'!Y5</f>
        <v/>
      </c>
      <c r="N6" s="8">
        <f>'Data Source'!Z5</f>
        <v/>
      </c>
    </row>
    <row r="7">
      <c r="A7" s="8">
        <f>'Data Source'!A6</f>
        <v/>
      </c>
      <c r="B7">
        <f>'Data Source'!B6</f>
        <v/>
      </c>
      <c r="C7" s="7">
        <f>'Data Source'!AE6</f>
        <v/>
      </c>
      <c r="D7" s="7">
        <f>'Data Source'!AF6</f>
        <v/>
      </c>
      <c r="E7" s="7">
        <f>'Data Source'!AG6</f>
        <v/>
      </c>
      <c r="F7" s="7">
        <f>'Data Source'!AH6</f>
        <v/>
      </c>
      <c r="G7" s="7">
        <f>'Data Source'!AI6</f>
        <v/>
      </c>
      <c r="H7" s="7">
        <f>'Data Source'!AJ6</f>
        <v/>
      </c>
      <c r="I7" s="7">
        <f>'Data Source'!AK6</f>
        <v/>
      </c>
      <c r="J7" s="7">
        <f>'Data Source'!AL6</f>
        <v/>
      </c>
      <c r="K7" s="7">
        <f>'Data Source'!AM6</f>
        <v/>
      </c>
      <c r="L7" s="7">
        <f>'Data Source'!AN6</f>
        <v/>
      </c>
      <c r="M7" s="7">
        <f>'Data Source'!Y6</f>
        <v/>
      </c>
      <c r="N7" s="8">
        <f>'Data Source'!Z6</f>
        <v/>
      </c>
    </row>
    <row r="8">
      <c r="A8" s="8">
        <f>'Data Source'!A7</f>
        <v/>
      </c>
      <c r="B8">
        <f>'Data Source'!B7</f>
        <v/>
      </c>
      <c r="C8" s="7">
        <f>'Data Source'!AE7</f>
        <v/>
      </c>
      <c r="D8" s="7">
        <f>'Data Source'!AF7</f>
        <v/>
      </c>
      <c r="E8" s="7">
        <f>'Data Source'!AG7</f>
        <v/>
      </c>
      <c r="F8" s="7">
        <f>'Data Source'!AH7</f>
        <v/>
      </c>
      <c r="G8" s="7">
        <f>'Data Source'!AI7</f>
        <v/>
      </c>
      <c r="H8" s="7">
        <f>'Data Source'!AJ7</f>
        <v/>
      </c>
      <c r="I8" s="7">
        <f>'Data Source'!AK7</f>
        <v/>
      </c>
      <c r="J8" s="7">
        <f>'Data Source'!AL7</f>
        <v/>
      </c>
      <c r="K8" s="7">
        <f>'Data Source'!AM7</f>
        <v/>
      </c>
      <c r="L8" s="7">
        <f>'Data Source'!AN7</f>
        <v/>
      </c>
      <c r="M8" s="7">
        <f>'Data Source'!Y7</f>
        <v/>
      </c>
      <c r="N8" s="8">
        <f>'Data Source'!Z7</f>
        <v/>
      </c>
    </row>
    <row r="9">
      <c r="A9" s="8">
        <f>'Data Source'!A8</f>
        <v/>
      </c>
      <c r="B9">
        <f>'Data Source'!B8</f>
        <v/>
      </c>
      <c r="C9" s="7">
        <f>'Data Source'!AE8</f>
        <v/>
      </c>
      <c r="D9" s="7">
        <f>'Data Source'!AF8</f>
        <v/>
      </c>
      <c r="E9" s="7">
        <f>'Data Source'!AG8</f>
        <v/>
      </c>
      <c r="F9" s="7">
        <f>'Data Source'!AH8</f>
        <v/>
      </c>
      <c r="G9" s="7">
        <f>'Data Source'!AI8</f>
        <v/>
      </c>
      <c r="H9" s="7">
        <f>'Data Source'!AJ8</f>
        <v/>
      </c>
      <c r="I9" s="7">
        <f>'Data Source'!AK8</f>
        <v/>
      </c>
      <c r="J9" s="7">
        <f>'Data Source'!AL8</f>
        <v/>
      </c>
      <c r="K9" s="7">
        <f>'Data Source'!AM8</f>
        <v/>
      </c>
      <c r="L9" s="7">
        <f>'Data Source'!AN8</f>
        <v/>
      </c>
      <c r="M9" s="7">
        <f>'Data Source'!Y8</f>
        <v/>
      </c>
      <c r="N9" s="8">
        <f>'Data Source'!Z8</f>
        <v/>
      </c>
    </row>
    <row r="10">
      <c r="A10" s="8">
        <f>'Data Source'!A9</f>
        <v/>
      </c>
      <c r="B10">
        <f>'Data Source'!B9</f>
        <v/>
      </c>
      <c r="C10" s="7">
        <f>'Data Source'!AE9</f>
        <v/>
      </c>
      <c r="D10" s="7">
        <f>'Data Source'!AF9</f>
        <v/>
      </c>
      <c r="E10" s="7">
        <f>'Data Source'!AG9</f>
        <v/>
      </c>
      <c r="F10" s="7">
        <f>'Data Source'!AH9</f>
        <v/>
      </c>
      <c r="G10" s="7">
        <f>'Data Source'!AI9</f>
        <v/>
      </c>
      <c r="H10" s="7">
        <f>'Data Source'!AJ9</f>
        <v/>
      </c>
      <c r="I10" s="7">
        <f>'Data Source'!AK9</f>
        <v/>
      </c>
      <c r="J10" s="7">
        <f>'Data Source'!AL9</f>
        <v/>
      </c>
      <c r="K10" s="7">
        <f>'Data Source'!AM9</f>
        <v/>
      </c>
      <c r="L10" s="7">
        <f>'Data Source'!AN9</f>
        <v/>
      </c>
      <c r="M10" s="7">
        <f>'Data Source'!Y9</f>
        <v/>
      </c>
      <c r="N10" s="8">
        <f>'Data Source'!Z9</f>
        <v/>
      </c>
    </row>
    <row r="11">
      <c r="A11" s="8">
        <f>'Data Source'!A10</f>
        <v/>
      </c>
      <c r="B11">
        <f>'Data Source'!B10</f>
        <v/>
      </c>
      <c r="C11" s="7">
        <f>'Data Source'!AE10</f>
        <v/>
      </c>
      <c r="D11" s="7">
        <f>'Data Source'!AF10</f>
        <v/>
      </c>
      <c r="E11" s="7">
        <f>'Data Source'!AG10</f>
        <v/>
      </c>
      <c r="F11" s="7">
        <f>'Data Source'!AH10</f>
        <v/>
      </c>
      <c r="G11" s="7">
        <f>'Data Source'!AI10</f>
        <v/>
      </c>
      <c r="H11" s="7">
        <f>'Data Source'!AJ10</f>
        <v/>
      </c>
      <c r="I11" s="7">
        <f>'Data Source'!AK10</f>
        <v/>
      </c>
      <c r="J11" s="7">
        <f>'Data Source'!AL10</f>
        <v/>
      </c>
      <c r="K11" s="7">
        <f>'Data Source'!AM10</f>
        <v/>
      </c>
      <c r="L11" s="7">
        <f>'Data Source'!AN10</f>
        <v/>
      </c>
      <c r="M11" s="7">
        <f>'Data Source'!Y10</f>
        <v/>
      </c>
      <c r="N11" s="8">
        <f>'Data Source'!Z10</f>
        <v/>
      </c>
    </row>
    <row r="12">
      <c r="A12" s="8">
        <f>'Data Source'!A11</f>
        <v/>
      </c>
      <c r="B12">
        <f>'Data Source'!B11</f>
        <v/>
      </c>
      <c r="C12" s="7">
        <f>'Data Source'!AE11</f>
        <v/>
      </c>
      <c r="D12" s="7">
        <f>'Data Source'!AF11</f>
        <v/>
      </c>
      <c r="E12" s="7">
        <f>'Data Source'!AG11</f>
        <v/>
      </c>
      <c r="F12" s="7">
        <f>'Data Source'!AH11</f>
        <v/>
      </c>
      <c r="G12" s="7">
        <f>'Data Source'!AI11</f>
        <v/>
      </c>
      <c r="H12" s="7">
        <f>'Data Source'!AJ11</f>
        <v/>
      </c>
      <c r="I12" s="7">
        <f>'Data Source'!AK11</f>
        <v/>
      </c>
      <c r="J12" s="7">
        <f>'Data Source'!AL11</f>
        <v/>
      </c>
      <c r="K12" s="7">
        <f>'Data Source'!AM11</f>
        <v/>
      </c>
      <c r="L12" s="7">
        <f>'Data Source'!AN11</f>
        <v/>
      </c>
      <c r="M12" s="7">
        <f>'Data Source'!Y11</f>
        <v/>
      </c>
      <c r="N12" s="8">
        <f>'Data Source'!Z11</f>
        <v/>
      </c>
    </row>
    <row r="13">
      <c r="A13" s="8">
        <f>'Data Source'!A12</f>
        <v/>
      </c>
      <c r="B13">
        <f>'Data Source'!B12</f>
        <v/>
      </c>
      <c r="C13" s="7">
        <f>'Data Source'!AE12</f>
        <v/>
      </c>
      <c r="D13" s="7">
        <f>'Data Source'!AF12</f>
        <v/>
      </c>
      <c r="E13" s="7">
        <f>'Data Source'!AG12</f>
        <v/>
      </c>
      <c r="F13" s="7">
        <f>'Data Source'!AH12</f>
        <v/>
      </c>
      <c r="G13" s="7">
        <f>'Data Source'!AI12</f>
        <v/>
      </c>
      <c r="H13" s="7">
        <f>'Data Source'!AJ12</f>
        <v/>
      </c>
      <c r="I13" s="7">
        <f>'Data Source'!AK12</f>
        <v/>
      </c>
      <c r="J13" s="7">
        <f>'Data Source'!AL12</f>
        <v/>
      </c>
      <c r="K13" s="7">
        <f>'Data Source'!AM12</f>
        <v/>
      </c>
      <c r="L13" s="7">
        <f>'Data Source'!AN12</f>
        <v/>
      </c>
      <c r="M13" s="7">
        <f>'Data Source'!Y12</f>
        <v/>
      </c>
      <c r="N13" s="8">
        <f>'Data Source'!Z12</f>
        <v/>
      </c>
    </row>
    <row r="14">
      <c r="A14" s="8">
        <f>'Data Source'!A13</f>
        <v/>
      </c>
      <c r="B14">
        <f>'Data Source'!B13</f>
        <v/>
      </c>
      <c r="C14" s="7">
        <f>'Data Source'!AE13</f>
        <v/>
      </c>
      <c r="D14" s="7">
        <f>'Data Source'!AF13</f>
        <v/>
      </c>
      <c r="E14" s="7">
        <f>'Data Source'!AG13</f>
        <v/>
      </c>
      <c r="F14" s="7">
        <f>'Data Source'!AH13</f>
        <v/>
      </c>
      <c r="G14" s="7">
        <f>'Data Source'!AI13</f>
        <v/>
      </c>
      <c r="H14" s="7">
        <f>'Data Source'!AJ13</f>
        <v/>
      </c>
      <c r="I14" s="7">
        <f>'Data Source'!AK13</f>
        <v/>
      </c>
      <c r="J14" s="7">
        <f>'Data Source'!AL13</f>
        <v/>
      </c>
      <c r="K14" s="7">
        <f>'Data Source'!AM13</f>
        <v/>
      </c>
      <c r="L14" s="7">
        <f>'Data Source'!AN13</f>
        <v/>
      </c>
      <c r="M14" s="7">
        <f>'Data Source'!Y13</f>
        <v/>
      </c>
      <c r="N14" s="8">
        <f>'Data Source'!Z13</f>
        <v/>
      </c>
    </row>
    <row r="15">
      <c r="A15" s="8">
        <f>'Data Source'!A14</f>
        <v/>
      </c>
      <c r="B15">
        <f>'Data Source'!B14</f>
        <v/>
      </c>
      <c r="C15" s="7">
        <f>'Data Source'!AE14</f>
        <v/>
      </c>
      <c r="D15" s="7">
        <f>'Data Source'!AF14</f>
        <v/>
      </c>
      <c r="E15" s="7">
        <f>'Data Source'!AG14</f>
        <v/>
      </c>
      <c r="F15" s="7">
        <f>'Data Source'!AH14</f>
        <v/>
      </c>
      <c r="G15" s="7">
        <f>'Data Source'!AI14</f>
        <v/>
      </c>
      <c r="H15" s="7">
        <f>'Data Source'!AJ14</f>
        <v/>
      </c>
      <c r="I15" s="7">
        <f>'Data Source'!AK14</f>
        <v/>
      </c>
      <c r="J15" s="7">
        <f>'Data Source'!AL14</f>
        <v/>
      </c>
      <c r="K15" s="7">
        <f>'Data Source'!AM14</f>
        <v/>
      </c>
      <c r="L15" s="7">
        <f>'Data Source'!AN14</f>
        <v/>
      </c>
      <c r="M15" s="7">
        <f>'Data Source'!Y14</f>
        <v/>
      </c>
      <c r="N15" s="8">
        <f>'Data Source'!Z14</f>
        <v/>
      </c>
    </row>
    <row r="16">
      <c r="A16" s="8">
        <f>'Data Source'!A15</f>
        <v/>
      </c>
      <c r="B16">
        <f>'Data Source'!B15</f>
        <v/>
      </c>
      <c r="C16" s="7">
        <f>'Data Source'!AE15</f>
        <v/>
      </c>
      <c r="D16" s="7">
        <f>'Data Source'!AF15</f>
        <v/>
      </c>
      <c r="E16" s="7">
        <f>'Data Source'!AG15</f>
        <v/>
      </c>
      <c r="F16" s="7">
        <f>'Data Source'!AH15</f>
        <v/>
      </c>
      <c r="G16" s="7">
        <f>'Data Source'!AI15</f>
        <v/>
      </c>
      <c r="H16" s="7">
        <f>'Data Source'!AJ15</f>
        <v/>
      </c>
      <c r="I16" s="7">
        <f>'Data Source'!AK15</f>
        <v/>
      </c>
      <c r="J16" s="7">
        <f>'Data Source'!AL15</f>
        <v/>
      </c>
      <c r="K16" s="7">
        <f>'Data Source'!AM15</f>
        <v/>
      </c>
      <c r="L16" s="7">
        <f>'Data Source'!AN15</f>
        <v/>
      </c>
      <c r="M16" s="7">
        <f>'Data Source'!Y15</f>
        <v/>
      </c>
      <c r="N16" s="8">
        <f>'Data Source'!Z15</f>
        <v/>
      </c>
    </row>
    <row r="17">
      <c r="A17" s="8">
        <f>'Data Source'!A16</f>
        <v/>
      </c>
      <c r="B17">
        <f>'Data Source'!B16</f>
        <v/>
      </c>
      <c r="C17" s="7">
        <f>'Data Source'!AE16</f>
        <v/>
      </c>
      <c r="D17" s="7">
        <f>'Data Source'!AF16</f>
        <v/>
      </c>
      <c r="E17" s="7">
        <f>'Data Source'!AG16</f>
        <v/>
      </c>
      <c r="F17" s="7">
        <f>'Data Source'!AH16</f>
        <v/>
      </c>
      <c r="G17" s="7">
        <f>'Data Source'!AI16</f>
        <v/>
      </c>
      <c r="H17" s="7">
        <f>'Data Source'!AJ16</f>
        <v/>
      </c>
      <c r="I17" s="7">
        <f>'Data Source'!AK16</f>
        <v/>
      </c>
      <c r="J17" s="7">
        <f>'Data Source'!AL16</f>
        <v/>
      </c>
      <c r="K17" s="7">
        <f>'Data Source'!AM16</f>
        <v/>
      </c>
      <c r="L17" s="7">
        <f>'Data Source'!AN16</f>
        <v/>
      </c>
      <c r="M17" s="7">
        <f>'Data Source'!Y16</f>
        <v/>
      </c>
      <c r="N17" s="8">
        <f>'Data Source'!Z16</f>
        <v/>
      </c>
    </row>
    <row r="18">
      <c r="A18" s="8">
        <f>'Data Source'!A17</f>
        <v/>
      </c>
      <c r="B18">
        <f>'Data Source'!B17</f>
        <v/>
      </c>
      <c r="C18" s="7">
        <f>'Data Source'!AE17</f>
        <v/>
      </c>
      <c r="D18" s="7">
        <f>'Data Source'!AF17</f>
        <v/>
      </c>
      <c r="E18" s="7">
        <f>'Data Source'!AG17</f>
        <v/>
      </c>
      <c r="F18" s="7">
        <f>'Data Source'!AH17</f>
        <v/>
      </c>
      <c r="G18" s="7">
        <f>'Data Source'!AI17</f>
        <v/>
      </c>
      <c r="H18" s="7">
        <f>'Data Source'!AJ17</f>
        <v/>
      </c>
      <c r="I18" s="7">
        <f>'Data Source'!AK17</f>
        <v/>
      </c>
      <c r="J18" s="7">
        <f>'Data Source'!AL17</f>
        <v/>
      </c>
      <c r="K18" s="7">
        <f>'Data Source'!AM17</f>
        <v/>
      </c>
      <c r="L18" s="7">
        <f>'Data Source'!AN17</f>
        <v/>
      </c>
      <c r="M18" s="7">
        <f>'Data Source'!Y17</f>
        <v/>
      </c>
      <c r="N18" s="8">
        <f>'Data Source'!Z17</f>
        <v/>
      </c>
    </row>
    <row r="19">
      <c r="A19" s="8">
        <f>'Data Source'!A18</f>
        <v/>
      </c>
      <c r="B19">
        <f>'Data Source'!B18</f>
        <v/>
      </c>
      <c r="C19" s="7">
        <f>'Data Source'!AE18</f>
        <v/>
      </c>
      <c r="D19" s="7">
        <f>'Data Source'!AF18</f>
        <v/>
      </c>
      <c r="E19" s="7">
        <f>'Data Source'!AG18</f>
        <v/>
      </c>
      <c r="F19" s="7">
        <f>'Data Source'!AH18</f>
        <v/>
      </c>
      <c r="G19" s="7">
        <f>'Data Source'!AI18</f>
        <v/>
      </c>
      <c r="H19" s="7">
        <f>'Data Source'!AJ18</f>
        <v/>
      </c>
      <c r="I19" s="7">
        <f>'Data Source'!AK18</f>
        <v/>
      </c>
      <c r="J19" s="7">
        <f>'Data Source'!AL18</f>
        <v/>
      </c>
      <c r="K19" s="7">
        <f>'Data Source'!AM18</f>
        <v/>
      </c>
      <c r="L19" s="7">
        <f>'Data Source'!AN18</f>
        <v/>
      </c>
      <c r="M19" s="7">
        <f>'Data Source'!Y18</f>
        <v/>
      </c>
      <c r="N19" s="8">
        <f>'Data Source'!Z18</f>
        <v/>
      </c>
    </row>
    <row r="20">
      <c r="A20" s="8">
        <f>'Data Source'!A19</f>
        <v/>
      </c>
      <c r="B20">
        <f>'Data Source'!B19</f>
        <v/>
      </c>
      <c r="C20" s="7">
        <f>'Data Source'!AE19</f>
        <v/>
      </c>
      <c r="D20" s="7">
        <f>'Data Source'!AF19</f>
        <v/>
      </c>
      <c r="E20" s="7">
        <f>'Data Source'!AG19</f>
        <v/>
      </c>
      <c r="F20" s="7">
        <f>'Data Source'!AH19</f>
        <v/>
      </c>
      <c r="G20" s="7">
        <f>'Data Source'!AI19</f>
        <v/>
      </c>
      <c r="H20" s="7">
        <f>'Data Source'!AJ19</f>
        <v/>
      </c>
      <c r="I20" s="7">
        <f>'Data Source'!AK19</f>
        <v/>
      </c>
      <c r="J20" s="7">
        <f>'Data Source'!AL19</f>
        <v/>
      </c>
      <c r="K20" s="7">
        <f>'Data Source'!AM19</f>
        <v/>
      </c>
      <c r="L20" s="7">
        <f>'Data Source'!AN19</f>
        <v/>
      </c>
      <c r="M20" s="7">
        <f>'Data Source'!Y19</f>
        <v/>
      </c>
      <c r="N20" s="8">
        <f>'Data Source'!Z19</f>
        <v/>
      </c>
    </row>
    <row r="21">
      <c r="A21" s="8">
        <f>'Data Source'!A20</f>
        <v/>
      </c>
      <c r="B21">
        <f>'Data Source'!B20</f>
        <v/>
      </c>
      <c r="C21" s="7">
        <f>'Data Source'!AE20</f>
        <v/>
      </c>
      <c r="D21" s="7">
        <f>'Data Source'!AF20</f>
        <v/>
      </c>
      <c r="E21" s="7">
        <f>'Data Source'!AG20</f>
        <v/>
      </c>
      <c r="F21" s="7">
        <f>'Data Source'!AH20</f>
        <v/>
      </c>
      <c r="G21" s="7">
        <f>'Data Source'!AI20</f>
        <v/>
      </c>
      <c r="H21" s="7">
        <f>'Data Source'!AJ20</f>
        <v/>
      </c>
      <c r="I21" s="7">
        <f>'Data Source'!AK20</f>
        <v/>
      </c>
      <c r="J21" s="7">
        <f>'Data Source'!AL20</f>
        <v/>
      </c>
      <c r="K21" s="7">
        <f>'Data Source'!AM20</f>
        <v/>
      </c>
      <c r="L21" s="7">
        <f>'Data Source'!AN20</f>
        <v/>
      </c>
      <c r="M21" s="7">
        <f>'Data Source'!Y20</f>
        <v/>
      </c>
      <c r="N21" s="8">
        <f>'Data Source'!Z20</f>
        <v/>
      </c>
    </row>
    <row r="22">
      <c r="A22" s="8">
        <f>'Data Source'!A21</f>
        <v/>
      </c>
      <c r="B22">
        <f>'Data Source'!B21</f>
        <v/>
      </c>
      <c r="C22" s="7">
        <f>'Data Source'!AE21</f>
        <v/>
      </c>
      <c r="D22" s="7">
        <f>'Data Source'!AF21</f>
        <v/>
      </c>
      <c r="E22" s="7">
        <f>'Data Source'!AG21</f>
        <v/>
      </c>
      <c r="F22" s="7">
        <f>'Data Source'!AH21</f>
        <v/>
      </c>
      <c r="G22" s="7">
        <f>'Data Source'!AI21</f>
        <v/>
      </c>
      <c r="H22" s="7">
        <f>'Data Source'!AJ21</f>
        <v/>
      </c>
      <c r="I22" s="7">
        <f>'Data Source'!AK21</f>
        <v/>
      </c>
      <c r="J22" s="7">
        <f>'Data Source'!AL21</f>
        <v/>
      </c>
      <c r="K22" s="7">
        <f>'Data Source'!AM21</f>
        <v/>
      </c>
      <c r="L22" s="7">
        <f>'Data Source'!AN21</f>
        <v/>
      </c>
      <c r="M22" s="7">
        <f>'Data Source'!Y21</f>
        <v/>
      </c>
      <c r="N22" s="8">
        <f>'Data Source'!Z21</f>
        <v/>
      </c>
    </row>
  </sheetData>
  <mergeCells count="1"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2025-11-21T09:50:15Z</dcterms:created>
  <dcterms:modified xsi:type="dcterms:W3CDTF">2025-11-21T09:50:15Z</dcterms:modified>
</cp:coreProperties>
</file>