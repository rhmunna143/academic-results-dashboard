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ource" sheetId="1" state="visible" r:id="rId1"/>
    <sheet name="Dashboard" sheetId="2" state="visible" r:id="rId2"/>
    <sheet name="Subject Grades" sheetId="3" state="visible" r:id="rId3"/>
    <sheet name="Subject-wise GPA" sheetId="4" state="visible" r:id="rId4"/>
    <sheet name="Pivot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%&quot;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24"/>
    </font>
    <font>
      <b val="1"/>
      <sz val="14"/>
    </font>
    <font>
      <b val="1"/>
    </font>
    <font>
      <b val="1"/>
      <color rgb="001F4E78"/>
      <sz val="12"/>
    </font>
    <font>
      <b val="1"/>
      <sz val="12"/>
    </font>
    <font>
      <b val="1"/>
      <color rgb="00FFFFFF"/>
      <sz val="1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70AD47"/>
        <bgColor rgb="0070AD47"/>
      </patternFill>
    </fill>
    <fill>
      <patternFill patternType="solid">
        <fgColor rgb="00FC9999"/>
        <bgColor rgb="00FC9999"/>
      </patternFill>
    </fill>
    <fill>
      <patternFill patternType="solid">
        <fgColor rgb="00FFE699"/>
        <bgColor rgb="00FFE699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Grade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'Dashboard'!B8</f>
            </strRef>
          </tx>
          <spPr>
            <a:ln>
              <a:prstDash val="solid"/>
            </a:ln>
          </spPr>
          <cat>
            <numRef>
              <f>'Dashboard'!$A$9:$A$15</f>
            </numRef>
          </cat>
          <val>
            <numRef>
              <f>'Dashboard'!$B$9:$B$15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Subject-wise Average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'Dashboard'!E8</f>
            </strRef>
          </tx>
          <spPr>
            <a:ln>
              <a:prstDash val="solid"/>
            </a:ln>
          </spPr>
          <cat>
            <numRef>
              <f>'Dashboard'!$D$9:$D$17</f>
            </numRef>
          </cat>
          <val>
            <numRef>
              <f>'Dashboard'!$E$9:$E$17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Subjects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16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3" customWidth="1" min="11" max="11"/>
    <col width="11" customWidth="1" min="12" max="12"/>
    <col width="13" customWidth="1" min="13" max="13"/>
    <col width="10" customWidth="1" min="14" max="14"/>
    <col width="12" customWidth="1" min="15" max="15"/>
    <col width="11" customWidth="1" min="16" max="16"/>
    <col width="13" customWidth="1" min="17" max="17"/>
    <col width="10" customWidth="1" min="18" max="18"/>
    <col width="12" customWidth="1" min="19" max="19"/>
    <col width="10" customWidth="1" min="20" max="20"/>
    <col width="10" customWidth="1" min="21" max="21"/>
    <col width="14" customWidth="1" min="22" max="22"/>
    <col width="12" customWidth="1" min="23" max="23"/>
    <col width="12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</cols>
  <sheetData>
    <row r="1">
      <c r="A1" s="1" t="inlineStr">
        <is>
          <t>SL</t>
        </is>
      </c>
      <c r="B1" s="1" t="inlineStr">
        <is>
          <t>Name</t>
        </is>
      </c>
      <c r="C1" s="1" t="inlineStr">
        <is>
          <t>Quran</t>
        </is>
      </c>
      <c r="D1" s="1" t="inlineStr">
        <is>
          <t>Hadith</t>
        </is>
      </c>
      <c r="E1" s="1" t="inlineStr">
        <is>
          <t>Arabic_I</t>
        </is>
      </c>
      <c r="F1" s="1" t="inlineStr">
        <is>
          <t>Arabic_II</t>
        </is>
      </c>
      <c r="G1" s="1" t="inlineStr">
        <is>
          <t>Aqaid</t>
        </is>
      </c>
      <c r="H1" s="1" t="inlineStr">
        <is>
          <t>English_I</t>
        </is>
      </c>
      <c r="I1" s="1" t="inlineStr">
        <is>
          <t>English_II</t>
        </is>
      </c>
      <c r="J1" s="1" t="inlineStr">
        <is>
          <t>Bangla_I_MCQ</t>
        </is>
      </c>
      <c r="K1" s="1" t="inlineStr">
        <is>
          <t>Bangla_I_Written</t>
        </is>
      </c>
      <c r="L1" s="1" t="inlineStr">
        <is>
          <t>Bangla_II_MCQ</t>
        </is>
      </c>
      <c r="M1" s="1" t="inlineStr">
        <is>
          <t>Bangla_II_Written</t>
        </is>
      </c>
      <c r="N1" s="1" t="inlineStr">
        <is>
          <t>Mathematics_MCQ</t>
        </is>
      </c>
      <c r="O1" s="1" t="inlineStr">
        <is>
          <t>Mathematics_Written</t>
        </is>
      </c>
      <c r="P1" s="1" t="inlineStr">
        <is>
          <t>Islamic_History_MCQ</t>
        </is>
      </c>
      <c r="Q1" s="1" t="inlineStr">
        <is>
          <t>Islamic_History_Written</t>
        </is>
      </c>
      <c r="R1" s="1" t="inlineStr">
        <is>
          <t>ICT</t>
        </is>
      </c>
      <c r="S1" s="1" t="inlineStr">
        <is>
          <t>Agriculture</t>
        </is>
      </c>
      <c r="T1" s="1" t="inlineStr">
        <is>
          <t>Total</t>
        </is>
      </c>
      <c r="U1" s="1" t="inlineStr">
        <is>
          <t>Average</t>
        </is>
      </c>
      <c r="V1" s="1" t="inlineStr">
        <is>
          <t>GPA (Compulsory)</t>
        </is>
      </c>
      <c r="W1" s="1" t="inlineStr">
        <is>
          <t>GPA (Final)</t>
        </is>
      </c>
      <c r="X1" s="1" t="inlineStr">
        <is>
          <t>Overall Grade</t>
        </is>
      </c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</row>
    <row r="2">
      <c r="A2" t="n">
        <v>1</v>
      </c>
      <c r="B2" t="inlineStr">
        <is>
          <t>Ahmed Rahman</t>
        </is>
      </c>
      <c r="C2" s="2" t="n">
        <v>67</v>
      </c>
      <c r="D2" s="2" t="n">
        <v>78</v>
      </c>
      <c r="E2" s="2" t="n">
        <v>66</v>
      </c>
      <c r="F2" s="3" t="n">
        <v>89</v>
      </c>
      <c r="G2" s="2" t="n">
        <v>64</v>
      </c>
      <c r="H2" s="2" t="n">
        <v>68</v>
      </c>
      <c r="I2" s="2" t="n">
        <v>62</v>
      </c>
      <c r="J2" s="4" t="n">
        <v>8</v>
      </c>
      <c r="K2" s="5" t="n">
        <v>52</v>
      </c>
      <c r="L2" s="4" t="n">
        <v>10</v>
      </c>
      <c r="M2" s="5" t="n">
        <v>43</v>
      </c>
      <c r="N2" s="4" t="n">
        <v>15</v>
      </c>
      <c r="O2" s="4" t="n">
        <v>26</v>
      </c>
      <c r="P2" s="4" t="n">
        <v>22</v>
      </c>
      <c r="Q2" s="5" t="n">
        <v>50</v>
      </c>
      <c r="R2" t="n">
        <v>36</v>
      </c>
      <c r="S2" t="n">
        <v>75</v>
      </c>
      <c r="T2">
        <f>SUM(C2:R2)</f>
        <v/>
      </c>
      <c r="U2" s="6">
        <f>ROUND(T2/11.5,2)</f>
        <v/>
      </c>
      <c r="V2" s="7">
        <f>IF(B2="","",IF(AB2,0,ROUND(AL2,2)))</f>
        <v/>
      </c>
      <c r="W2" s="7">
        <f>IF(B2="","",IF(AB2,0,MIN(5,ROUND(AL2+AM2,2))))</f>
        <v/>
      </c>
      <c r="X2" s="8">
        <f>IF(B2="","",IF(W2&gt;=5,"A+",IF(W2&gt;=4,"A",IF(W2&gt;=3.5,"A-",IF(W2&gt;=3,"B",IF(W2&gt;=2,"C",IF(W2&gt;=1,"D","F")))))))</f>
        <v/>
      </c>
      <c r="Y2">
        <f>NOT(OR(AND(J2&gt;=10,K2&gt;=23,L2&gt;=10,M2&gt;=23),AND(J2+L2&gt;=20,K2+M2&gt;=46)))</f>
        <v/>
      </c>
      <c r="Z2">
        <f>OR(N2&lt;10,O2&lt;23)</f>
        <v/>
      </c>
      <c r="AA2">
        <f>OR(P2&lt;10,Q2&lt;23)</f>
        <v/>
      </c>
      <c r="AB2">
        <f>OR((C2+D2)&lt;66,(E2+F2)&lt;66,G2&lt;33,(H2+I2)&lt;66,Y2,Z2,AA2,R2&lt;8.25)</f>
        <v/>
      </c>
      <c r="AC2">
        <f>IF(C2+D2&lt;66,0,IF((C2+D2)/2&gt;=80,5,IF((C2+D2)/2&gt;=70,4,IF((C2+D2)/2&gt;=60,3.5,IF((C2+D2)/2&gt;=50,3,IF((C2+D2)/2&gt;=40,2,IF((C2+D2)/2&gt;=33,1,0)))))))</f>
        <v/>
      </c>
      <c r="AD2">
        <f>IF(E2+F2&lt;66,0,IF((E2+F2)/2&gt;=80,5,IF((E2+F2)/2&gt;=70,4,IF((E2+F2)/2&gt;=60,3.5,IF((E2+F2)/2&gt;=50,3,IF((E2+F2)/2&gt;=40,2,IF((E2+F2)/2&gt;=33,1,0)))))))</f>
        <v/>
      </c>
      <c r="AE2">
        <f>IF(G2&lt;33,0,IF(G2&gt;=80,5,IF(G2&gt;=70,4,IF(G2&gt;=60,3.5,IF(G2&gt;=50,3,IF(G2&gt;=40,2,IF(G2&gt;=33,1,0)))))))</f>
        <v/>
      </c>
      <c r="AF2">
        <f>IF(H2+I2&lt;66,0,IF((H2+I2)/2&gt;=80,5,IF((H2+I2)/2&gt;=70,4,IF((H2+I2)/2&gt;=60,3.5,IF((H2+I2)/2&gt;=50,3,IF((H2+I2)/2&gt;=40,2,IF((H2+I2)/2&gt;=33,1,0)))))))</f>
        <v/>
      </c>
      <c r="AG2">
        <f>IF(Y2,0,IF((J2+K2+L2+M2)/2&gt;=80,5,IF((J2+K2+L2+M2)/2&gt;=70,4,IF((J2+K2+L2+M2)/2&gt;=60,3.5,IF((J2+K2+L2+M2)/2&gt;=50,3,IF((J2+K2+L2+M2)/2&gt;=40,2,IF((J2+K2+L2+M2)/2&gt;=33,1,0)))))))</f>
        <v/>
      </c>
      <c r="AH2">
        <f>IF(Z2,0,IF(N2+O2&gt;=80,5,IF(N2+O2&gt;=70,4,IF(N2+O2&gt;=60,3.5,IF(N2+O2&gt;=50,3,IF(N2+O2&gt;=40,2,IF(N2+O2&gt;=33,1,0)))))))</f>
        <v/>
      </c>
      <c r="AI2">
        <f>IF(AA2,0,IF(P2+Q2&gt;=80,5,IF(P2+Q2&gt;=70,4,IF(P2+Q2&gt;=60,3.5,IF(P2+Q2&gt;=50,3,IF(P2+Q2&gt;=40,2,IF(P2+Q2&gt;=33,1,0)))))))</f>
        <v/>
      </c>
      <c r="AJ2">
        <f>IF(R2&lt;8.25,0,IF(R2*2&gt;=80,5,IF(R2*2&gt;=70,4,IF(R2*2&gt;=60,3.5,IF(R2*2&gt;=50,3,IF(R2*2&gt;=40,2,IF(R2*2&gt;=33,1,0)))))))</f>
        <v/>
      </c>
      <c r="AK2">
        <f>IF(S2&lt;33,0,IF(S2&gt;=80,5,IF(S2&gt;=70,4,IF(S2&gt;=60,3.5,IF(S2&gt;=50,3,IF(S2&gt;=40,2,IF(S2&gt;=33,1,0)))))))</f>
        <v/>
      </c>
      <c r="AL2">
        <f>(AC2+AD2+AE2+AF2+AG2+AH2+AI2+AJ2)/8</f>
        <v/>
      </c>
      <c r="AM2">
        <f>IF(AK2&gt;=2,(AK2-2)/8,0)</f>
        <v/>
      </c>
    </row>
    <row r="3">
      <c r="A3" t="n">
        <v>2</v>
      </c>
      <c r="B3" t="inlineStr">
        <is>
          <t>Fatima Khan</t>
        </is>
      </c>
      <c r="C3" s="2" t="n">
        <v>61</v>
      </c>
      <c r="D3" s="2" t="n">
        <v>72</v>
      </c>
      <c r="E3" s="2" t="n">
        <v>65</v>
      </c>
      <c r="F3" s="2" t="n">
        <v>74</v>
      </c>
      <c r="G3" s="2" t="n">
        <v>70</v>
      </c>
      <c r="H3" s="3" t="n">
        <v>86</v>
      </c>
      <c r="I3" s="3" t="n">
        <v>84</v>
      </c>
      <c r="J3" s="4" t="n">
        <v>11</v>
      </c>
      <c r="K3" s="5" t="n">
        <v>58</v>
      </c>
      <c r="L3" s="4" t="n">
        <v>10</v>
      </c>
      <c r="M3" s="5" t="n">
        <v>48</v>
      </c>
      <c r="N3" s="4" t="n">
        <v>10</v>
      </c>
      <c r="O3" s="2" t="n">
        <v>62</v>
      </c>
      <c r="P3" s="4" t="n">
        <v>12</v>
      </c>
      <c r="Q3" s="4" t="n">
        <v>33</v>
      </c>
      <c r="R3" t="n">
        <v>31</v>
      </c>
      <c r="S3" t="n">
        <v>57</v>
      </c>
      <c r="T3">
        <f>SUM(C3:R3)</f>
        <v/>
      </c>
      <c r="U3" s="6">
        <f>ROUND(T3/11.5,2)</f>
        <v/>
      </c>
      <c r="V3" s="7">
        <f>IF(B3="","",IF(AB3,0,ROUND(AL3,2)))</f>
        <v/>
      </c>
      <c r="W3" s="7">
        <f>IF(B3="","",IF(AB3,0,MIN(5,ROUND(AL3+AM3,2))))</f>
        <v/>
      </c>
      <c r="X3" s="8">
        <f>IF(B3="","",IF(W3&gt;=5,"A+",IF(W3&gt;=4,"A",IF(W3&gt;=3.5,"A-",IF(W3&gt;=3,"B",IF(W3&gt;=2,"C",IF(W3&gt;=1,"D","F")))))))</f>
        <v/>
      </c>
      <c r="Y3">
        <f>NOT(OR(AND(J3&gt;=10,K3&gt;=23,L3&gt;=10,M3&gt;=23),AND(J3+L3&gt;=20,K3+M3&gt;=46)))</f>
        <v/>
      </c>
      <c r="Z3">
        <f>OR(N3&lt;10,O3&lt;23)</f>
        <v/>
      </c>
      <c r="AA3">
        <f>OR(P3&lt;10,Q3&lt;23)</f>
        <v/>
      </c>
      <c r="AB3">
        <f>OR((C3+D3)&lt;66,(E3+F3)&lt;66,G3&lt;33,(H3+I3)&lt;66,Y3,Z3,AA3,R3&lt;8.25)</f>
        <v/>
      </c>
      <c r="AC3">
        <f>IF(C3+D3&lt;66,0,IF((C3+D3)/2&gt;=80,5,IF((C3+D3)/2&gt;=70,4,IF((C3+D3)/2&gt;=60,3.5,IF((C3+D3)/2&gt;=50,3,IF((C3+D3)/2&gt;=40,2,IF((C3+D3)/2&gt;=33,1,0)))))))</f>
        <v/>
      </c>
      <c r="AD3">
        <f>IF(E3+F3&lt;66,0,IF((E3+F3)/2&gt;=80,5,IF((E3+F3)/2&gt;=70,4,IF((E3+F3)/2&gt;=60,3.5,IF((E3+F3)/2&gt;=50,3,IF((E3+F3)/2&gt;=40,2,IF((E3+F3)/2&gt;=33,1,0)))))))</f>
        <v/>
      </c>
      <c r="AE3">
        <f>IF(G3&lt;33,0,IF(G3&gt;=80,5,IF(G3&gt;=70,4,IF(G3&gt;=60,3.5,IF(G3&gt;=50,3,IF(G3&gt;=40,2,IF(G3&gt;=33,1,0)))))))</f>
        <v/>
      </c>
      <c r="AF3">
        <f>IF(H3+I3&lt;66,0,IF((H3+I3)/2&gt;=80,5,IF((H3+I3)/2&gt;=70,4,IF((H3+I3)/2&gt;=60,3.5,IF((H3+I3)/2&gt;=50,3,IF((H3+I3)/2&gt;=40,2,IF((H3+I3)/2&gt;=33,1,0)))))))</f>
        <v/>
      </c>
      <c r="AG3">
        <f>IF(Y3,0,IF((J3+K3+L3+M3)/2&gt;=80,5,IF((J3+K3+L3+M3)/2&gt;=70,4,IF((J3+K3+L3+M3)/2&gt;=60,3.5,IF((J3+K3+L3+M3)/2&gt;=50,3,IF((J3+K3+L3+M3)/2&gt;=40,2,IF((J3+K3+L3+M3)/2&gt;=33,1,0)))))))</f>
        <v/>
      </c>
      <c r="AH3">
        <f>IF(Z3,0,IF(N3+O3&gt;=80,5,IF(N3+O3&gt;=70,4,IF(N3+O3&gt;=60,3.5,IF(N3+O3&gt;=50,3,IF(N3+O3&gt;=40,2,IF(N3+O3&gt;=33,1,0)))))))</f>
        <v/>
      </c>
      <c r="AI3">
        <f>IF(AA3,0,IF(P3+Q3&gt;=80,5,IF(P3+Q3&gt;=70,4,IF(P3+Q3&gt;=60,3.5,IF(P3+Q3&gt;=50,3,IF(P3+Q3&gt;=40,2,IF(P3+Q3&gt;=33,1,0)))))))</f>
        <v/>
      </c>
      <c r="AJ3">
        <f>IF(R3&lt;8.25,0,IF(R3*2&gt;=80,5,IF(R3*2&gt;=70,4,IF(R3*2&gt;=60,3.5,IF(R3*2&gt;=50,3,IF(R3*2&gt;=40,2,IF(R3*2&gt;=33,1,0)))))))</f>
        <v/>
      </c>
      <c r="AK3">
        <f>IF(S3&lt;33,0,IF(S3&gt;=80,5,IF(S3&gt;=70,4,IF(S3&gt;=60,3.5,IF(S3&gt;=50,3,IF(S3&gt;=40,2,IF(S3&gt;=33,1,0)))))))</f>
        <v/>
      </c>
      <c r="AL3">
        <f>(AC3+AD3+AE3+AF3+AG3+AH3+AI3+AJ3)/8</f>
        <v/>
      </c>
      <c r="AM3">
        <f>IF(AK3&gt;=2,(AK3-2)/8,0)</f>
        <v/>
      </c>
    </row>
    <row r="4">
      <c r="A4" t="n">
        <v>3</v>
      </c>
      <c r="B4" t="inlineStr">
        <is>
          <t>Karim Hassan</t>
        </is>
      </c>
      <c r="C4" s="2" t="n">
        <v>77</v>
      </c>
      <c r="D4" s="2" t="n">
        <v>79</v>
      </c>
      <c r="E4" s="3" t="n">
        <v>84</v>
      </c>
      <c r="F4" s="2" t="n">
        <v>67</v>
      </c>
      <c r="G4" s="3" t="n">
        <v>94</v>
      </c>
      <c r="H4" s="3" t="n">
        <v>80</v>
      </c>
      <c r="I4" s="2" t="n">
        <v>61</v>
      </c>
      <c r="J4" s="4" t="n">
        <v>25</v>
      </c>
      <c r="K4" s="4" t="n">
        <v>32</v>
      </c>
      <c r="L4" s="4" t="n">
        <v>23</v>
      </c>
      <c r="M4" s="5" t="n">
        <v>53</v>
      </c>
      <c r="N4" s="4" t="n">
        <v>9</v>
      </c>
      <c r="O4" s="5" t="n">
        <v>47</v>
      </c>
      <c r="P4" s="4" t="n">
        <v>21</v>
      </c>
      <c r="Q4" s="5" t="n">
        <v>45</v>
      </c>
      <c r="R4" t="n">
        <v>48</v>
      </c>
      <c r="S4" t="n">
        <v>86</v>
      </c>
      <c r="T4">
        <f>SUM(C4:R4)</f>
        <v/>
      </c>
      <c r="U4" s="6">
        <f>ROUND(T4/11.5,2)</f>
        <v/>
      </c>
      <c r="V4" s="7">
        <f>IF(B4="","",IF(AB4,0,ROUND(AL4,2)))</f>
        <v/>
      </c>
      <c r="W4" s="7">
        <f>IF(B4="","",IF(AB4,0,MIN(5,ROUND(AL4+AM4,2))))</f>
        <v/>
      </c>
      <c r="X4" s="8">
        <f>IF(B4="","",IF(W4&gt;=5,"A+",IF(W4&gt;=4,"A",IF(W4&gt;=3.5,"A-",IF(W4&gt;=3,"B",IF(W4&gt;=2,"C",IF(W4&gt;=1,"D","F")))))))</f>
        <v/>
      </c>
      <c r="Y4">
        <f>NOT(OR(AND(J4&gt;=10,K4&gt;=23,L4&gt;=10,M4&gt;=23),AND(J4+L4&gt;=20,K4+M4&gt;=46)))</f>
        <v/>
      </c>
      <c r="Z4">
        <f>OR(N4&lt;10,O4&lt;23)</f>
        <v/>
      </c>
      <c r="AA4">
        <f>OR(P4&lt;10,Q4&lt;23)</f>
        <v/>
      </c>
      <c r="AB4">
        <f>OR((C4+D4)&lt;66,(E4+F4)&lt;66,G4&lt;33,(H4+I4)&lt;66,Y4,Z4,AA4,R4&lt;8.25)</f>
        <v/>
      </c>
      <c r="AC4">
        <f>IF(C4+D4&lt;66,0,IF((C4+D4)/2&gt;=80,5,IF((C4+D4)/2&gt;=70,4,IF((C4+D4)/2&gt;=60,3.5,IF((C4+D4)/2&gt;=50,3,IF((C4+D4)/2&gt;=40,2,IF((C4+D4)/2&gt;=33,1,0)))))))</f>
        <v/>
      </c>
      <c r="AD4">
        <f>IF(E4+F4&lt;66,0,IF((E4+F4)/2&gt;=80,5,IF((E4+F4)/2&gt;=70,4,IF((E4+F4)/2&gt;=60,3.5,IF((E4+F4)/2&gt;=50,3,IF((E4+F4)/2&gt;=40,2,IF((E4+F4)/2&gt;=33,1,0)))))))</f>
        <v/>
      </c>
      <c r="AE4">
        <f>IF(G4&lt;33,0,IF(G4&gt;=80,5,IF(G4&gt;=70,4,IF(G4&gt;=60,3.5,IF(G4&gt;=50,3,IF(G4&gt;=40,2,IF(G4&gt;=33,1,0)))))))</f>
        <v/>
      </c>
      <c r="AF4">
        <f>IF(H4+I4&lt;66,0,IF((H4+I4)/2&gt;=80,5,IF((H4+I4)/2&gt;=70,4,IF((H4+I4)/2&gt;=60,3.5,IF((H4+I4)/2&gt;=50,3,IF((H4+I4)/2&gt;=40,2,IF((H4+I4)/2&gt;=33,1,0)))))))</f>
        <v/>
      </c>
      <c r="AG4">
        <f>IF(Y4,0,IF((J4+K4+L4+M4)/2&gt;=80,5,IF((J4+K4+L4+M4)/2&gt;=70,4,IF((J4+K4+L4+M4)/2&gt;=60,3.5,IF((J4+K4+L4+M4)/2&gt;=50,3,IF((J4+K4+L4+M4)/2&gt;=40,2,IF((J4+K4+L4+M4)/2&gt;=33,1,0)))))))</f>
        <v/>
      </c>
      <c r="AH4">
        <f>IF(Z4,0,IF(N4+O4&gt;=80,5,IF(N4+O4&gt;=70,4,IF(N4+O4&gt;=60,3.5,IF(N4+O4&gt;=50,3,IF(N4+O4&gt;=40,2,IF(N4+O4&gt;=33,1,0)))))))</f>
        <v/>
      </c>
      <c r="AI4">
        <f>IF(AA4,0,IF(P4+Q4&gt;=80,5,IF(P4+Q4&gt;=70,4,IF(P4+Q4&gt;=60,3.5,IF(P4+Q4&gt;=50,3,IF(P4+Q4&gt;=40,2,IF(P4+Q4&gt;=33,1,0)))))))</f>
        <v/>
      </c>
      <c r="AJ4">
        <f>IF(R4&lt;8.25,0,IF(R4*2&gt;=80,5,IF(R4*2&gt;=70,4,IF(R4*2&gt;=60,3.5,IF(R4*2&gt;=50,3,IF(R4*2&gt;=40,2,IF(R4*2&gt;=33,1,0)))))))</f>
        <v/>
      </c>
      <c r="AK4">
        <f>IF(S4&lt;33,0,IF(S4&gt;=80,5,IF(S4&gt;=70,4,IF(S4&gt;=60,3.5,IF(S4&gt;=50,3,IF(S4&gt;=40,2,IF(S4&gt;=33,1,0)))))))</f>
        <v/>
      </c>
      <c r="AL4">
        <f>(AC4+AD4+AE4+AF4+AG4+AH4+AI4+AJ4)/8</f>
        <v/>
      </c>
      <c r="AM4">
        <f>IF(AK4&gt;=2,(AK4-2)/8,0)</f>
        <v/>
      </c>
    </row>
    <row r="5">
      <c r="A5" t="n">
        <v>4</v>
      </c>
      <c r="B5" t="inlineStr">
        <is>
          <t>Ayesha Begum</t>
        </is>
      </c>
      <c r="C5" s="2" t="n">
        <v>75</v>
      </c>
      <c r="D5" s="3" t="n">
        <v>83</v>
      </c>
      <c r="E5" s="2" t="n">
        <v>66</v>
      </c>
      <c r="F5" s="3" t="n">
        <v>92</v>
      </c>
      <c r="G5" s="2" t="n">
        <v>75</v>
      </c>
      <c r="H5" s="3" t="n">
        <v>84</v>
      </c>
      <c r="I5" s="3" t="n">
        <v>87</v>
      </c>
      <c r="J5" s="4" t="n">
        <v>16</v>
      </c>
      <c r="K5" s="4" t="n">
        <v>29</v>
      </c>
      <c r="L5" s="4" t="n">
        <v>10</v>
      </c>
      <c r="M5" s="5" t="n">
        <v>48</v>
      </c>
      <c r="N5" s="4" t="n">
        <v>18</v>
      </c>
      <c r="O5" s="5" t="n">
        <v>42</v>
      </c>
      <c r="P5" s="4" t="n">
        <v>13</v>
      </c>
      <c r="Q5" s="4" t="n">
        <v>23</v>
      </c>
      <c r="R5" t="n">
        <v>47</v>
      </c>
      <c r="S5" t="n">
        <v>65</v>
      </c>
      <c r="T5">
        <f>SUM(C5:R5)</f>
        <v/>
      </c>
      <c r="U5" s="6">
        <f>ROUND(T5/11.5,2)</f>
        <v/>
      </c>
      <c r="V5" s="7">
        <f>IF(B5="","",IF(AB5,0,ROUND(AL5,2)))</f>
        <v/>
      </c>
      <c r="W5" s="7">
        <f>IF(B5="","",IF(AB5,0,MIN(5,ROUND(AL5+AM5,2))))</f>
        <v/>
      </c>
      <c r="X5" s="8">
        <f>IF(B5="","",IF(W5&gt;=5,"A+",IF(W5&gt;=4,"A",IF(W5&gt;=3.5,"A-",IF(W5&gt;=3,"B",IF(W5&gt;=2,"C",IF(W5&gt;=1,"D","F")))))))</f>
        <v/>
      </c>
      <c r="Y5">
        <f>NOT(OR(AND(J5&gt;=10,K5&gt;=23,L5&gt;=10,M5&gt;=23),AND(J5+L5&gt;=20,K5+M5&gt;=46)))</f>
        <v/>
      </c>
      <c r="Z5">
        <f>OR(N5&lt;10,O5&lt;23)</f>
        <v/>
      </c>
      <c r="AA5">
        <f>OR(P5&lt;10,Q5&lt;23)</f>
        <v/>
      </c>
      <c r="AB5">
        <f>OR((C5+D5)&lt;66,(E5+F5)&lt;66,G5&lt;33,(H5+I5)&lt;66,Y5,Z5,AA5,R5&lt;8.25)</f>
        <v/>
      </c>
      <c r="AC5">
        <f>IF(C5+D5&lt;66,0,IF((C5+D5)/2&gt;=80,5,IF((C5+D5)/2&gt;=70,4,IF((C5+D5)/2&gt;=60,3.5,IF((C5+D5)/2&gt;=50,3,IF((C5+D5)/2&gt;=40,2,IF((C5+D5)/2&gt;=33,1,0)))))))</f>
        <v/>
      </c>
      <c r="AD5">
        <f>IF(E5+F5&lt;66,0,IF((E5+F5)/2&gt;=80,5,IF((E5+F5)/2&gt;=70,4,IF((E5+F5)/2&gt;=60,3.5,IF((E5+F5)/2&gt;=50,3,IF((E5+F5)/2&gt;=40,2,IF((E5+F5)/2&gt;=33,1,0)))))))</f>
        <v/>
      </c>
      <c r="AE5">
        <f>IF(G5&lt;33,0,IF(G5&gt;=80,5,IF(G5&gt;=70,4,IF(G5&gt;=60,3.5,IF(G5&gt;=50,3,IF(G5&gt;=40,2,IF(G5&gt;=33,1,0)))))))</f>
        <v/>
      </c>
      <c r="AF5">
        <f>IF(H5+I5&lt;66,0,IF((H5+I5)/2&gt;=80,5,IF((H5+I5)/2&gt;=70,4,IF((H5+I5)/2&gt;=60,3.5,IF((H5+I5)/2&gt;=50,3,IF((H5+I5)/2&gt;=40,2,IF((H5+I5)/2&gt;=33,1,0)))))))</f>
        <v/>
      </c>
      <c r="AG5">
        <f>IF(Y5,0,IF((J5+K5+L5+M5)/2&gt;=80,5,IF((J5+K5+L5+M5)/2&gt;=70,4,IF((J5+K5+L5+M5)/2&gt;=60,3.5,IF((J5+K5+L5+M5)/2&gt;=50,3,IF((J5+K5+L5+M5)/2&gt;=40,2,IF((J5+K5+L5+M5)/2&gt;=33,1,0)))))))</f>
        <v/>
      </c>
      <c r="AH5">
        <f>IF(Z5,0,IF(N5+O5&gt;=80,5,IF(N5+O5&gt;=70,4,IF(N5+O5&gt;=60,3.5,IF(N5+O5&gt;=50,3,IF(N5+O5&gt;=40,2,IF(N5+O5&gt;=33,1,0)))))))</f>
        <v/>
      </c>
      <c r="AI5">
        <f>IF(AA5,0,IF(P5+Q5&gt;=80,5,IF(P5+Q5&gt;=70,4,IF(P5+Q5&gt;=60,3.5,IF(P5+Q5&gt;=50,3,IF(P5+Q5&gt;=40,2,IF(P5+Q5&gt;=33,1,0)))))))</f>
        <v/>
      </c>
      <c r="AJ5">
        <f>IF(R5&lt;8.25,0,IF(R5*2&gt;=80,5,IF(R5*2&gt;=70,4,IF(R5*2&gt;=60,3.5,IF(R5*2&gt;=50,3,IF(R5*2&gt;=40,2,IF(R5*2&gt;=33,1,0)))))))</f>
        <v/>
      </c>
      <c r="AK5">
        <f>IF(S5&lt;33,0,IF(S5&gt;=80,5,IF(S5&gt;=70,4,IF(S5&gt;=60,3.5,IF(S5&gt;=50,3,IF(S5&gt;=40,2,IF(S5&gt;=33,1,0)))))))</f>
        <v/>
      </c>
      <c r="AL5">
        <f>(AC5+AD5+AE5+AF5+AG5+AH5+AI5+AJ5)/8</f>
        <v/>
      </c>
      <c r="AM5">
        <f>IF(AK5&gt;=2,(AK5-2)/8,0)</f>
        <v/>
      </c>
    </row>
    <row r="6">
      <c r="A6" t="n">
        <v>5</v>
      </c>
      <c r="B6" t="inlineStr">
        <is>
          <t>Rahim Uddin</t>
        </is>
      </c>
      <c r="C6" s="2" t="n">
        <v>74</v>
      </c>
      <c r="D6" s="2" t="n">
        <v>73</v>
      </c>
      <c r="E6" s="3" t="n">
        <v>82</v>
      </c>
      <c r="F6" s="2" t="n">
        <v>72</v>
      </c>
      <c r="G6" s="2" t="n">
        <v>70</v>
      </c>
      <c r="H6" s="2" t="n">
        <v>64</v>
      </c>
      <c r="I6" s="2" t="n">
        <v>63</v>
      </c>
      <c r="J6" s="4" t="n">
        <v>28</v>
      </c>
      <c r="K6" s="5" t="n">
        <v>43</v>
      </c>
      <c r="L6" s="4" t="n">
        <v>25</v>
      </c>
      <c r="M6" s="4" t="n">
        <v>27</v>
      </c>
      <c r="N6" s="4" t="n">
        <v>10</v>
      </c>
      <c r="O6" s="5" t="n">
        <v>47</v>
      </c>
      <c r="P6" s="4" t="n">
        <v>16</v>
      </c>
      <c r="Q6" s="4" t="n">
        <v>30</v>
      </c>
      <c r="R6" t="n">
        <v>31</v>
      </c>
      <c r="S6" t="n">
        <v>87</v>
      </c>
      <c r="T6">
        <f>SUM(C6:R6)</f>
        <v/>
      </c>
      <c r="U6" s="6">
        <f>ROUND(T6/11.5,2)</f>
        <v/>
      </c>
      <c r="V6" s="7">
        <f>IF(B6="","",IF(AB6,0,ROUND(AL6,2)))</f>
        <v/>
      </c>
      <c r="W6" s="7">
        <f>IF(B6="","",IF(AB6,0,MIN(5,ROUND(AL6+AM6,2))))</f>
        <v/>
      </c>
      <c r="X6" s="8">
        <f>IF(B6="","",IF(W6&gt;=5,"A+",IF(W6&gt;=4,"A",IF(W6&gt;=3.5,"A-",IF(W6&gt;=3,"B",IF(W6&gt;=2,"C",IF(W6&gt;=1,"D","F")))))))</f>
        <v/>
      </c>
      <c r="Y6">
        <f>NOT(OR(AND(J6&gt;=10,K6&gt;=23,L6&gt;=10,M6&gt;=23),AND(J6+L6&gt;=20,K6+M6&gt;=46)))</f>
        <v/>
      </c>
      <c r="Z6">
        <f>OR(N6&lt;10,O6&lt;23)</f>
        <v/>
      </c>
      <c r="AA6">
        <f>OR(P6&lt;10,Q6&lt;23)</f>
        <v/>
      </c>
      <c r="AB6">
        <f>OR((C6+D6)&lt;66,(E6+F6)&lt;66,G6&lt;33,(H6+I6)&lt;66,Y6,Z6,AA6,R6&lt;8.25)</f>
        <v/>
      </c>
      <c r="AC6">
        <f>IF(C6+D6&lt;66,0,IF((C6+D6)/2&gt;=80,5,IF((C6+D6)/2&gt;=70,4,IF((C6+D6)/2&gt;=60,3.5,IF((C6+D6)/2&gt;=50,3,IF((C6+D6)/2&gt;=40,2,IF((C6+D6)/2&gt;=33,1,0)))))))</f>
        <v/>
      </c>
      <c r="AD6">
        <f>IF(E6+F6&lt;66,0,IF((E6+F6)/2&gt;=80,5,IF((E6+F6)/2&gt;=70,4,IF((E6+F6)/2&gt;=60,3.5,IF((E6+F6)/2&gt;=50,3,IF((E6+F6)/2&gt;=40,2,IF((E6+F6)/2&gt;=33,1,0)))))))</f>
        <v/>
      </c>
      <c r="AE6">
        <f>IF(G6&lt;33,0,IF(G6&gt;=80,5,IF(G6&gt;=70,4,IF(G6&gt;=60,3.5,IF(G6&gt;=50,3,IF(G6&gt;=40,2,IF(G6&gt;=33,1,0)))))))</f>
        <v/>
      </c>
      <c r="AF6">
        <f>IF(H6+I6&lt;66,0,IF((H6+I6)/2&gt;=80,5,IF((H6+I6)/2&gt;=70,4,IF((H6+I6)/2&gt;=60,3.5,IF((H6+I6)/2&gt;=50,3,IF((H6+I6)/2&gt;=40,2,IF((H6+I6)/2&gt;=33,1,0)))))))</f>
        <v/>
      </c>
      <c r="AG6">
        <f>IF(Y6,0,IF((J6+K6+L6+M6)/2&gt;=80,5,IF((J6+K6+L6+M6)/2&gt;=70,4,IF((J6+K6+L6+M6)/2&gt;=60,3.5,IF((J6+K6+L6+M6)/2&gt;=50,3,IF((J6+K6+L6+M6)/2&gt;=40,2,IF((J6+K6+L6+M6)/2&gt;=33,1,0)))))))</f>
        <v/>
      </c>
      <c r="AH6">
        <f>IF(Z6,0,IF(N6+O6&gt;=80,5,IF(N6+O6&gt;=70,4,IF(N6+O6&gt;=60,3.5,IF(N6+O6&gt;=50,3,IF(N6+O6&gt;=40,2,IF(N6+O6&gt;=33,1,0)))))))</f>
        <v/>
      </c>
      <c r="AI6">
        <f>IF(AA6,0,IF(P6+Q6&gt;=80,5,IF(P6+Q6&gt;=70,4,IF(P6+Q6&gt;=60,3.5,IF(P6+Q6&gt;=50,3,IF(P6+Q6&gt;=40,2,IF(P6+Q6&gt;=33,1,0)))))))</f>
        <v/>
      </c>
      <c r="AJ6">
        <f>IF(R6&lt;8.25,0,IF(R6*2&gt;=80,5,IF(R6*2&gt;=70,4,IF(R6*2&gt;=60,3.5,IF(R6*2&gt;=50,3,IF(R6*2&gt;=40,2,IF(R6*2&gt;=33,1,0)))))))</f>
        <v/>
      </c>
      <c r="AK6">
        <f>IF(S6&lt;33,0,IF(S6&gt;=80,5,IF(S6&gt;=70,4,IF(S6&gt;=60,3.5,IF(S6&gt;=50,3,IF(S6&gt;=40,2,IF(S6&gt;=33,1,0)))))))</f>
        <v/>
      </c>
      <c r="AL6">
        <f>(AC6+AD6+AE6+AF6+AG6+AH6+AI6+AJ6)/8</f>
        <v/>
      </c>
      <c r="AM6">
        <f>IF(AK6&gt;=2,(AK6-2)/8,0)</f>
        <v/>
      </c>
    </row>
    <row r="7">
      <c r="A7" t="n">
        <v>6</v>
      </c>
      <c r="B7" t="inlineStr">
        <is>
          <t>Nadia Islam</t>
        </is>
      </c>
      <c r="C7" s="2" t="n">
        <v>68</v>
      </c>
      <c r="D7" s="3" t="n">
        <v>90</v>
      </c>
      <c r="E7" s="3" t="n">
        <v>82</v>
      </c>
      <c r="F7" s="3" t="n">
        <v>92</v>
      </c>
      <c r="G7" s="3" t="n">
        <v>89</v>
      </c>
      <c r="H7" s="2" t="n">
        <v>71</v>
      </c>
      <c r="I7" s="2" t="n">
        <v>64</v>
      </c>
      <c r="J7" s="4" t="n">
        <v>18</v>
      </c>
      <c r="K7" s="4" t="n">
        <v>30</v>
      </c>
      <c r="L7" s="4" t="n">
        <v>12</v>
      </c>
      <c r="M7" s="4" t="n">
        <v>35</v>
      </c>
      <c r="N7" s="4" t="n">
        <v>24</v>
      </c>
      <c r="O7" s="5" t="n">
        <v>46</v>
      </c>
      <c r="P7" s="4" t="n">
        <v>22</v>
      </c>
      <c r="Q7" s="5" t="n">
        <v>44</v>
      </c>
      <c r="R7" t="n">
        <v>40</v>
      </c>
      <c r="S7" t="n">
        <v>88</v>
      </c>
      <c r="T7">
        <f>SUM(C7:R7)</f>
        <v/>
      </c>
      <c r="U7" s="6">
        <f>ROUND(T7/11.5,2)</f>
        <v/>
      </c>
      <c r="V7" s="7">
        <f>IF(B7="","",IF(AB7,0,ROUND(AL7,2)))</f>
        <v/>
      </c>
      <c r="W7" s="7">
        <f>IF(B7="","",IF(AB7,0,MIN(5,ROUND(AL7+AM7,2))))</f>
        <v/>
      </c>
      <c r="X7" s="8">
        <f>IF(B7="","",IF(W7&gt;=5,"A+",IF(W7&gt;=4,"A",IF(W7&gt;=3.5,"A-",IF(W7&gt;=3,"B",IF(W7&gt;=2,"C",IF(W7&gt;=1,"D","F")))))))</f>
        <v/>
      </c>
      <c r="Y7">
        <f>NOT(OR(AND(J7&gt;=10,K7&gt;=23,L7&gt;=10,M7&gt;=23),AND(J7+L7&gt;=20,K7+M7&gt;=46)))</f>
        <v/>
      </c>
      <c r="Z7">
        <f>OR(N7&lt;10,O7&lt;23)</f>
        <v/>
      </c>
      <c r="AA7">
        <f>OR(P7&lt;10,Q7&lt;23)</f>
        <v/>
      </c>
      <c r="AB7">
        <f>OR((C7+D7)&lt;66,(E7+F7)&lt;66,G7&lt;33,(H7+I7)&lt;66,Y7,Z7,AA7,R7&lt;8.25)</f>
        <v/>
      </c>
      <c r="AC7">
        <f>IF(C7+D7&lt;66,0,IF((C7+D7)/2&gt;=80,5,IF((C7+D7)/2&gt;=70,4,IF((C7+D7)/2&gt;=60,3.5,IF((C7+D7)/2&gt;=50,3,IF((C7+D7)/2&gt;=40,2,IF((C7+D7)/2&gt;=33,1,0)))))))</f>
        <v/>
      </c>
      <c r="AD7">
        <f>IF(E7+F7&lt;66,0,IF((E7+F7)/2&gt;=80,5,IF((E7+F7)/2&gt;=70,4,IF((E7+F7)/2&gt;=60,3.5,IF((E7+F7)/2&gt;=50,3,IF((E7+F7)/2&gt;=40,2,IF((E7+F7)/2&gt;=33,1,0)))))))</f>
        <v/>
      </c>
      <c r="AE7">
        <f>IF(G7&lt;33,0,IF(G7&gt;=80,5,IF(G7&gt;=70,4,IF(G7&gt;=60,3.5,IF(G7&gt;=50,3,IF(G7&gt;=40,2,IF(G7&gt;=33,1,0)))))))</f>
        <v/>
      </c>
      <c r="AF7">
        <f>IF(H7+I7&lt;66,0,IF((H7+I7)/2&gt;=80,5,IF((H7+I7)/2&gt;=70,4,IF((H7+I7)/2&gt;=60,3.5,IF((H7+I7)/2&gt;=50,3,IF((H7+I7)/2&gt;=40,2,IF((H7+I7)/2&gt;=33,1,0)))))))</f>
        <v/>
      </c>
      <c r="AG7">
        <f>IF(Y7,0,IF((J7+K7+L7+M7)/2&gt;=80,5,IF((J7+K7+L7+M7)/2&gt;=70,4,IF((J7+K7+L7+M7)/2&gt;=60,3.5,IF((J7+K7+L7+M7)/2&gt;=50,3,IF((J7+K7+L7+M7)/2&gt;=40,2,IF((J7+K7+L7+M7)/2&gt;=33,1,0)))))))</f>
        <v/>
      </c>
      <c r="AH7">
        <f>IF(Z7,0,IF(N7+O7&gt;=80,5,IF(N7+O7&gt;=70,4,IF(N7+O7&gt;=60,3.5,IF(N7+O7&gt;=50,3,IF(N7+O7&gt;=40,2,IF(N7+O7&gt;=33,1,0)))))))</f>
        <v/>
      </c>
      <c r="AI7">
        <f>IF(AA7,0,IF(P7+Q7&gt;=80,5,IF(P7+Q7&gt;=70,4,IF(P7+Q7&gt;=60,3.5,IF(P7+Q7&gt;=50,3,IF(P7+Q7&gt;=40,2,IF(P7+Q7&gt;=33,1,0)))))))</f>
        <v/>
      </c>
      <c r="AJ7">
        <f>IF(R7&lt;8.25,0,IF(R7*2&gt;=80,5,IF(R7*2&gt;=70,4,IF(R7*2&gt;=60,3.5,IF(R7*2&gt;=50,3,IF(R7*2&gt;=40,2,IF(R7*2&gt;=33,1,0)))))))</f>
        <v/>
      </c>
      <c r="AK7">
        <f>IF(S7&lt;33,0,IF(S7&gt;=80,5,IF(S7&gt;=70,4,IF(S7&gt;=60,3.5,IF(S7&gt;=50,3,IF(S7&gt;=40,2,IF(S7&gt;=33,1,0)))))))</f>
        <v/>
      </c>
      <c r="AL7">
        <f>(AC7+AD7+AE7+AF7+AG7+AH7+AI7+AJ7)/8</f>
        <v/>
      </c>
      <c r="AM7">
        <f>IF(AK7&gt;=2,(AK7-2)/8,0)</f>
        <v/>
      </c>
    </row>
    <row r="8">
      <c r="A8" t="n">
        <v>7</v>
      </c>
      <c r="B8" t="inlineStr">
        <is>
          <t>Jahir Ahmed</t>
        </is>
      </c>
      <c r="C8" s="2" t="n">
        <v>66</v>
      </c>
      <c r="D8" s="3" t="n">
        <v>92</v>
      </c>
      <c r="E8" s="2" t="n">
        <v>76</v>
      </c>
      <c r="F8" s="2" t="n">
        <v>68</v>
      </c>
      <c r="G8" s="3" t="n">
        <v>84</v>
      </c>
      <c r="H8" s="2" t="n">
        <v>63</v>
      </c>
      <c r="I8" s="3" t="n">
        <v>80</v>
      </c>
      <c r="J8" s="4" t="n">
        <v>11</v>
      </c>
      <c r="K8" s="5" t="n">
        <v>54</v>
      </c>
      <c r="L8" s="4" t="n">
        <v>12</v>
      </c>
      <c r="M8" s="4" t="n">
        <v>34</v>
      </c>
      <c r="N8" s="4" t="n">
        <v>15</v>
      </c>
      <c r="O8" s="5" t="n">
        <v>49</v>
      </c>
      <c r="P8" s="4" t="n">
        <v>15</v>
      </c>
      <c r="Q8" s="4" t="n">
        <v>20</v>
      </c>
      <c r="R8" t="n">
        <v>31</v>
      </c>
      <c r="S8" t="n">
        <v>52</v>
      </c>
      <c r="T8">
        <f>SUM(C8:R8)</f>
        <v/>
      </c>
      <c r="U8" s="6">
        <f>ROUND(T8/11.5,2)</f>
        <v/>
      </c>
      <c r="V8" s="7">
        <f>IF(B8="","",IF(AB8,0,ROUND(AL8,2)))</f>
        <v/>
      </c>
      <c r="W8" s="7">
        <f>IF(B8="","",IF(AB8,0,MIN(5,ROUND(AL8+AM8,2))))</f>
        <v/>
      </c>
      <c r="X8" s="8">
        <f>IF(B8="","",IF(W8&gt;=5,"A+",IF(W8&gt;=4,"A",IF(W8&gt;=3.5,"A-",IF(W8&gt;=3,"B",IF(W8&gt;=2,"C",IF(W8&gt;=1,"D","F")))))))</f>
        <v/>
      </c>
      <c r="Y8">
        <f>NOT(OR(AND(J8&gt;=10,K8&gt;=23,L8&gt;=10,M8&gt;=23),AND(J8+L8&gt;=20,K8+M8&gt;=46)))</f>
        <v/>
      </c>
      <c r="Z8">
        <f>OR(N8&lt;10,O8&lt;23)</f>
        <v/>
      </c>
      <c r="AA8">
        <f>OR(P8&lt;10,Q8&lt;23)</f>
        <v/>
      </c>
      <c r="AB8">
        <f>OR((C8+D8)&lt;66,(E8+F8)&lt;66,G8&lt;33,(H8+I8)&lt;66,Y8,Z8,AA8,R8&lt;8.25)</f>
        <v/>
      </c>
      <c r="AC8">
        <f>IF(C8+D8&lt;66,0,IF((C8+D8)/2&gt;=80,5,IF((C8+D8)/2&gt;=70,4,IF((C8+D8)/2&gt;=60,3.5,IF((C8+D8)/2&gt;=50,3,IF((C8+D8)/2&gt;=40,2,IF((C8+D8)/2&gt;=33,1,0)))))))</f>
        <v/>
      </c>
      <c r="AD8">
        <f>IF(E8+F8&lt;66,0,IF((E8+F8)/2&gt;=80,5,IF((E8+F8)/2&gt;=70,4,IF((E8+F8)/2&gt;=60,3.5,IF((E8+F8)/2&gt;=50,3,IF((E8+F8)/2&gt;=40,2,IF((E8+F8)/2&gt;=33,1,0)))))))</f>
        <v/>
      </c>
      <c r="AE8">
        <f>IF(G8&lt;33,0,IF(G8&gt;=80,5,IF(G8&gt;=70,4,IF(G8&gt;=60,3.5,IF(G8&gt;=50,3,IF(G8&gt;=40,2,IF(G8&gt;=33,1,0)))))))</f>
        <v/>
      </c>
      <c r="AF8">
        <f>IF(H8+I8&lt;66,0,IF((H8+I8)/2&gt;=80,5,IF((H8+I8)/2&gt;=70,4,IF((H8+I8)/2&gt;=60,3.5,IF((H8+I8)/2&gt;=50,3,IF((H8+I8)/2&gt;=40,2,IF((H8+I8)/2&gt;=33,1,0)))))))</f>
        <v/>
      </c>
      <c r="AG8">
        <f>IF(Y8,0,IF((J8+K8+L8+M8)/2&gt;=80,5,IF((J8+K8+L8+M8)/2&gt;=70,4,IF((J8+K8+L8+M8)/2&gt;=60,3.5,IF((J8+K8+L8+M8)/2&gt;=50,3,IF((J8+K8+L8+M8)/2&gt;=40,2,IF((J8+K8+L8+M8)/2&gt;=33,1,0)))))))</f>
        <v/>
      </c>
      <c r="AH8">
        <f>IF(Z8,0,IF(N8+O8&gt;=80,5,IF(N8+O8&gt;=70,4,IF(N8+O8&gt;=60,3.5,IF(N8+O8&gt;=50,3,IF(N8+O8&gt;=40,2,IF(N8+O8&gt;=33,1,0)))))))</f>
        <v/>
      </c>
      <c r="AI8">
        <f>IF(AA8,0,IF(P8+Q8&gt;=80,5,IF(P8+Q8&gt;=70,4,IF(P8+Q8&gt;=60,3.5,IF(P8+Q8&gt;=50,3,IF(P8+Q8&gt;=40,2,IF(P8+Q8&gt;=33,1,0)))))))</f>
        <v/>
      </c>
      <c r="AJ8">
        <f>IF(R8&lt;8.25,0,IF(R8*2&gt;=80,5,IF(R8*2&gt;=70,4,IF(R8*2&gt;=60,3.5,IF(R8*2&gt;=50,3,IF(R8*2&gt;=40,2,IF(R8*2&gt;=33,1,0)))))))</f>
        <v/>
      </c>
      <c r="AK8">
        <f>IF(S8&lt;33,0,IF(S8&gt;=80,5,IF(S8&gt;=70,4,IF(S8&gt;=60,3.5,IF(S8&gt;=50,3,IF(S8&gt;=40,2,IF(S8&gt;=33,1,0)))))))</f>
        <v/>
      </c>
      <c r="AL8">
        <f>(AC8+AD8+AE8+AF8+AG8+AH8+AI8+AJ8)/8</f>
        <v/>
      </c>
      <c r="AM8">
        <f>IF(AK8&gt;=2,(AK8-2)/8,0)</f>
        <v/>
      </c>
    </row>
    <row r="9">
      <c r="A9" t="n">
        <v>8</v>
      </c>
      <c r="B9" t="inlineStr">
        <is>
          <t>Sadia Sultana</t>
        </is>
      </c>
      <c r="C9" s="3" t="n">
        <v>94</v>
      </c>
      <c r="D9" s="2" t="n">
        <v>65</v>
      </c>
      <c r="E9" s="2" t="n">
        <v>62</v>
      </c>
      <c r="F9" s="2" t="n">
        <v>77</v>
      </c>
      <c r="G9" s="2" t="n">
        <v>77</v>
      </c>
      <c r="H9" s="2" t="n">
        <v>70</v>
      </c>
      <c r="I9" s="2" t="n">
        <v>65</v>
      </c>
      <c r="J9" s="4" t="n">
        <v>17</v>
      </c>
      <c r="K9" s="5" t="n">
        <v>53</v>
      </c>
      <c r="L9" s="4" t="n">
        <v>23</v>
      </c>
      <c r="M9" s="4" t="n">
        <v>24</v>
      </c>
      <c r="N9" s="4" t="n">
        <v>16</v>
      </c>
      <c r="O9" s="4" t="n">
        <v>23</v>
      </c>
      <c r="P9" s="4" t="n">
        <v>10</v>
      </c>
      <c r="Q9" s="5" t="n">
        <v>44</v>
      </c>
      <c r="R9" t="n">
        <v>31</v>
      </c>
      <c r="S9" t="n">
        <v>89</v>
      </c>
      <c r="T9">
        <f>SUM(C9:R9)</f>
        <v/>
      </c>
      <c r="U9" s="6">
        <f>ROUND(T9/11.5,2)</f>
        <v/>
      </c>
      <c r="V9" s="7">
        <f>IF(B9="","",IF(AB9,0,ROUND(AL9,2)))</f>
        <v/>
      </c>
      <c r="W9" s="7">
        <f>IF(B9="","",IF(AB9,0,MIN(5,ROUND(AL9+AM9,2))))</f>
        <v/>
      </c>
      <c r="X9" s="8">
        <f>IF(B9="","",IF(W9&gt;=5,"A+",IF(W9&gt;=4,"A",IF(W9&gt;=3.5,"A-",IF(W9&gt;=3,"B",IF(W9&gt;=2,"C",IF(W9&gt;=1,"D","F")))))))</f>
        <v/>
      </c>
      <c r="Y9">
        <f>NOT(OR(AND(J9&gt;=10,K9&gt;=23,L9&gt;=10,M9&gt;=23),AND(J9+L9&gt;=20,K9+M9&gt;=46)))</f>
        <v/>
      </c>
      <c r="Z9">
        <f>OR(N9&lt;10,O9&lt;23)</f>
        <v/>
      </c>
      <c r="AA9">
        <f>OR(P9&lt;10,Q9&lt;23)</f>
        <v/>
      </c>
      <c r="AB9">
        <f>OR((C9+D9)&lt;66,(E9+F9)&lt;66,G9&lt;33,(H9+I9)&lt;66,Y9,Z9,AA9,R9&lt;8.25)</f>
        <v/>
      </c>
      <c r="AC9">
        <f>IF(C9+D9&lt;66,0,IF((C9+D9)/2&gt;=80,5,IF((C9+D9)/2&gt;=70,4,IF((C9+D9)/2&gt;=60,3.5,IF((C9+D9)/2&gt;=50,3,IF((C9+D9)/2&gt;=40,2,IF((C9+D9)/2&gt;=33,1,0)))))))</f>
        <v/>
      </c>
      <c r="AD9">
        <f>IF(E9+F9&lt;66,0,IF((E9+F9)/2&gt;=80,5,IF((E9+F9)/2&gt;=70,4,IF((E9+F9)/2&gt;=60,3.5,IF((E9+F9)/2&gt;=50,3,IF((E9+F9)/2&gt;=40,2,IF((E9+F9)/2&gt;=33,1,0)))))))</f>
        <v/>
      </c>
      <c r="AE9">
        <f>IF(G9&lt;33,0,IF(G9&gt;=80,5,IF(G9&gt;=70,4,IF(G9&gt;=60,3.5,IF(G9&gt;=50,3,IF(G9&gt;=40,2,IF(G9&gt;=33,1,0)))))))</f>
        <v/>
      </c>
      <c r="AF9">
        <f>IF(H9+I9&lt;66,0,IF((H9+I9)/2&gt;=80,5,IF((H9+I9)/2&gt;=70,4,IF((H9+I9)/2&gt;=60,3.5,IF((H9+I9)/2&gt;=50,3,IF((H9+I9)/2&gt;=40,2,IF((H9+I9)/2&gt;=33,1,0)))))))</f>
        <v/>
      </c>
      <c r="AG9">
        <f>IF(Y9,0,IF((J9+K9+L9+M9)/2&gt;=80,5,IF((J9+K9+L9+M9)/2&gt;=70,4,IF((J9+K9+L9+M9)/2&gt;=60,3.5,IF((J9+K9+L9+M9)/2&gt;=50,3,IF((J9+K9+L9+M9)/2&gt;=40,2,IF((J9+K9+L9+M9)/2&gt;=33,1,0)))))))</f>
        <v/>
      </c>
      <c r="AH9">
        <f>IF(Z9,0,IF(N9+O9&gt;=80,5,IF(N9+O9&gt;=70,4,IF(N9+O9&gt;=60,3.5,IF(N9+O9&gt;=50,3,IF(N9+O9&gt;=40,2,IF(N9+O9&gt;=33,1,0)))))))</f>
        <v/>
      </c>
      <c r="AI9">
        <f>IF(AA9,0,IF(P9+Q9&gt;=80,5,IF(P9+Q9&gt;=70,4,IF(P9+Q9&gt;=60,3.5,IF(P9+Q9&gt;=50,3,IF(P9+Q9&gt;=40,2,IF(P9+Q9&gt;=33,1,0)))))))</f>
        <v/>
      </c>
      <c r="AJ9">
        <f>IF(R9&lt;8.25,0,IF(R9*2&gt;=80,5,IF(R9*2&gt;=70,4,IF(R9*2&gt;=60,3.5,IF(R9*2&gt;=50,3,IF(R9*2&gt;=40,2,IF(R9*2&gt;=33,1,0)))))))</f>
        <v/>
      </c>
      <c r="AK9">
        <f>IF(S9&lt;33,0,IF(S9&gt;=80,5,IF(S9&gt;=70,4,IF(S9&gt;=60,3.5,IF(S9&gt;=50,3,IF(S9&gt;=40,2,IF(S9&gt;=33,1,0)))))))</f>
        <v/>
      </c>
      <c r="AL9">
        <f>(AC9+AD9+AE9+AF9+AG9+AH9+AI9+AJ9)/8</f>
        <v/>
      </c>
      <c r="AM9">
        <f>IF(AK9&gt;=2,(AK9-2)/8,0)</f>
        <v/>
      </c>
    </row>
    <row r="10">
      <c r="A10" t="n">
        <v>9</v>
      </c>
      <c r="B10" t="inlineStr">
        <is>
          <t>Tarik Hasan</t>
        </is>
      </c>
      <c r="C10" s="2" t="n">
        <v>65</v>
      </c>
      <c r="D10" s="3" t="n">
        <v>89</v>
      </c>
      <c r="E10" s="3" t="n">
        <v>89</v>
      </c>
      <c r="F10" s="2" t="n">
        <v>73</v>
      </c>
      <c r="G10" s="3" t="n">
        <v>95</v>
      </c>
      <c r="H10" s="3" t="n">
        <v>90</v>
      </c>
      <c r="I10" s="3" t="n">
        <v>85</v>
      </c>
      <c r="J10" s="4" t="n">
        <v>21</v>
      </c>
      <c r="K10" s="4" t="n">
        <v>20</v>
      </c>
      <c r="L10" s="4" t="n">
        <v>25</v>
      </c>
      <c r="M10" s="5" t="n">
        <v>41</v>
      </c>
      <c r="N10" s="4" t="n">
        <v>23</v>
      </c>
      <c r="O10" s="2" t="n">
        <v>63</v>
      </c>
      <c r="P10" s="4" t="n">
        <v>22</v>
      </c>
      <c r="Q10" s="4" t="n">
        <v>36</v>
      </c>
      <c r="R10" t="n">
        <v>48</v>
      </c>
      <c r="S10" t="n">
        <v>55</v>
      </c>
      <c r="T10">
        <f>SUM(C10:R10)</f>
        <v/>
      </c>
      <c r="U10" s="6">
        <f>ROUND(T10/11.5,2)</f>
        <v/>
      </c>
      <c r="V10" s="7">
        <f>IF(B10="","",IF(AB10,0,ROUND(AL10,2)))</f>
        <v/>
      </c>
      <c r="W10" s="7">
        <f>IF(B10="","",IF(AB10,0,MIN(5,ROUND(AL10+AM10,2))))</f>
        <v/>
      </c>
      <c r="X10" s="8">
        <f>IF(B10="","",IF(W10&gt;=5,"A+",IF(W10&gt;=4,"A",IF(W10&gt;=3.5,"A-",IF(W10&gt;=3,"B",IF(W10&gt;=2,"C",IF(W10&gt;=1,"D","F")))))))</f>
        <v/>
      </c>
      <c r="Y10">
        <f>NOT(OR(AND(J10&gt;=10,K10&gt;=23,L10&gt;=10,M10&gt;=23),AND(J10+L10&gt;=20,K10+M10&gt;=46)))</f>
        <v/>
      </c>
      <c r="Z10">
        <f>OR(N10&lt;10,O10&lt;23)</f>
        <v/>
      </c>
      <c r="AA10">
        <f>OR(P10&lt;10,Q10&lt;23)</f>
        <v/>
      </c>
      <c r="AB10">
        <f>OR((C10+D10)&lt;66,(E10+F10)&lt;66,G10&lt;33,(H10+I10)&lt;66,Y10,Z10,AA10,R10&lt;8.25)</f>
        <v/>
      </c>
      <c r="AC10">
        <f>IF(C10+D10&lt;66,0,IF((C10+D10)/2&gt;=80,5,IF((C10+D10)/2&gt;=70,4,IF((C10+D10)/2&gt;=60,3.5,IF((C10+D10)/2&gt;=50,3,IF((C10+D10)/2&gt;=40,2,IF((C10+D10)/2&gt;=33,1,0)))))))</f>
        <v/>
      </c>
      <c r="AD10">
        <f>IF(E10+F10&lt;66,0,IF((E10+F10)/2&gt;=80,5,IF((E10+F10)/2&gt;=70,4,IF((E10+F10)/2&gt;=60,3.5,IF((E10+F10)/2&gt;=50,3,IF((E10+F10)/2&gt;=40,2,IF((E10+F10)/2&gt;=33,1,0)))))))</f>
        <v/>
      </c>
      <c r="AE10">
        <f>IF(G10&lt;33,0,IF(G10&gt;=80,5,IF(G10&gt;=70,4,IF(G10&gt;=60,3.5,IF(G10&gt;=50,3,IF(G10&gt;=40,2,IF(G10&gt;=33,1,0)))))))</f>
        <v/>
      </c>
      <c r="AF10">
        <f>IF(H10+I10&lt;66,0,IF((H10+I10)/2&gt;=80,5,IF((H10+I10)/2&gt;=70,4,IF((H10+I10)/2&gt;=60,3.5,IF((H10+I10)/2&gt;=50,3,IF((H10+I10)/2&gt;=40,2,IF((H10+I10)/2&gt;=33,1,0)))))))</f>
        <v/>
      </c>
      <c r="AG10">
        <f>IF(Y10,0,IF((J10+K10+L10+M10)/2&gt;=80,5,IF((J10+K10+L10+M10)/2&gt;=70,4,IF((J10+K10+L10+M10)/2&gt;=60,3.5,IF((J10+K10+L10+M10)/2&gt;=50,3,IF((J10+K10+L10+M10)/2&gt;=40,2,IF((J10+K10+L10+M10)/2&gt;=33,1,0)))))))</f>
        <v/>
      </c>
      <c r="AH10">
        <f>IF(Z10,0,IF(N10+O10&gt;=80,5,IF(N10+O10&gt;=70,4,IF(N10+O10&gt;=60,3.5,IF(N10+O10&gt;=50,3,IF(N10+O10&gt;=40,2,IF(N10+O10&gt;=33,1,0)))))))</f>
        <v/>
      </c>
      <c r="AI10">
        <f>IF(AA10,0,IF(P10+Q10&gt;=80,5,IF(P10+Q10&gt;=70,4,IF(P10+Q10&gt;=60,3.5,IF(P10+Q10&gt;=50,3,IF(P10+Q10&gt;=40,2,IF(P10+Q10&gt;=33,1,0)))))))</f>
        <v/>
      </c>
      <c r="AJ10">
        <f>IF(R10&lt;8.25,0,IF(R10*2&gt;=80,5,IF(R10*2&gt;=70,4,IF(R10*2&gt;=60,3.5,IF(R10*2&gt;=50,3,IF(R10*2&gt;=40,2,IF(R10*2&gt;=33,1,0)))))))</f>
        <v/>
      </c>
      <c r="AK10">
        <f>IF(S10&lt;33,0,IF(S10&gt;=80,5,IF(S10&gt;=70,4,IF(S10&gt;=60,3.5,IF(S10&gt;=50,3,IF(S10&gt;=40,2,IF(S10&gt;=33,1,0)))))))</f>
        <v/>
      </c>
      <c r="AL10">
        <f>(AC10+AD10+AE10+AF10+AG10+AH10+AI10+AJ10)/8</f>
        <v/>
      </c>
      <c r="AM10">
        <f>IF(AK10&gt;=2,(AK10-2)/8,0)</f>
        <v/>
      </c>
    </row>
    <row r="11">
      <c r="A11" t="n">
        <v>10</v>
      </c>
      <c r="B11" t="inlineStr">
        <is>
          <t>Ruhi Akter</t>
        </is>
      </c>
      <c r="C11" s="3" t="n">
        <v>87</v>
      </c>
      <c r="D11" s="3" t="n">
        <v>90</v>
      </c>
      <c r="E11" s="3" t="n">
        <v>94</v>
      </c>
      <c r="F11" s="2" t="n">
        <v>79</v>
      </c>
      <c r="G11" s="2" t="n">
        <v>74</v>
      </c>
      <c r="H11" s="3" t="n">
        <v>89</v>
      </c>
      <c r="I11" s="3" t="n">
        <v>81</v>
      </c>
      <c r="J11" s="4" t="n">
        <v>13</v>
      </c>
      <c r="K11" s="5" t="n">
        <v>58</v>
      </c>
      <c r="L11" s="4" t="n">
        <v>13</v>
      </c>
      <c r="M11" s="4" t="n">
        <v>21</v>
      </c>
      <c r="N11" s="4" t="n">
        <v>14</v>
      </c>
      <c r="O11" s="2" t="n">
        <v>61</v>
      </c>
      <c r="P11" s="4" t="n">
        <v>25</v>
      </c>
      <c r="Q11" s="5" t="n">
        <v>49</v>
      </c>
      <c r="R11" t="n">
        <v>45</v>
      </c>
      <c r="S11" t="n">
        <v>76</v>
      </c>
      <c r="T11">
        <f>SUM(C11:R11)</f>
        <v/>
      </c>
      <c r="U11" s="6">
        <f>ROUND(T11/11.5,2)</f>
        <v/>
      </c>
      <c r="V11" s="7">
        <f>IF(B11="","",IF(AB11,0,ROUND(AL11,2)))</f>
        <v/>
      </c>
      <c r="W11" s="7">
        <f>IF(B11="","",IF(AB11,0,MIN(5,ROUND(AL11+AM11,2))))</f>
        <v/>
      </c>
      <c r="X11" s="8">
        <f>IF(B11="","",IF(W11&gt;=5,"A+",IF(W11&gt;=4,"A",IF(W11&gt;=3.5,"A-",IF(W11&gt;=3,"B",IF(W11&gt;=2,"C",IF(W11&gt;=1,"D","F")))))))</f>
        <v/>
      </c>
      <c r="Y11">
        <f>NOT(OR(AND(J11&gt;=10,K11&gt;=23,L11&gt;=10,M11&gt;=23),AND(J11+L11&gt;=20,K11+M11&gt;=46)))</f>
        <v/>
      </c>
      <c r="Z11">
        <f>OR(N11&lt;10,O11&lt;23)</f>
        <v/>
      </c>
      <c r="AA11">
        <f>OR(P11&lt;10,Q11&lt;23)</f>
        <v/>
      </c>
      <c r="AB11">
        <f>OR((C11+D11)&lt;66,(E11+F11)&lt;66,G11&lt;33,(H11+I11)&lt;66,Y11,Z11,AA11,R11&lt;8.25)</f>
        <v/>
      </c>
      <c r="AC11">
        <f>IF(C11+D11&lt;66,0,IF((C11+D11)/2&gt;=80,5,IF((C11+D11)/2&gt;=70,4,IF((C11+D11)/2&gt;=60,3.5,IF((C11+D11)/2&gt;=50,3,IF((C11+D11)/2&gt;=40,2,IF((C11+D11)/2&gt;=33,1,0)))))))</f>
        <v/>
      </c>
      <c r="AD11">
        <f>IF(E11+F11&lt;66,0,IF((E11+F11)/2&gt;=80,5,IF((E11+F11)/2&gt;=70,4,IF((E11+F11)/2&gt;=60,3.5,IF((E11+F11)/2&gt;=50,3,IF((E11+F11)/2&gt;=40,2,IF((E11+F11)/2&gt;=33,1,0)))))))</f>
        <v/>
      </c>
      <c r="AE11">
        <f>IF(G11&lt;33,0,IF(G11&gt;=80,5,IF(G11&gt;=70,4,IF(G11&gt;=60,3.5,IF(G11&gt;=50,3,IF(G11&gt;=40,2,IF(G11&gt;=33,1,0)))))))</f>
        <v/>
      </c>
      <c r="AF11">
        <f>IF(H11+I11&lt;66,0,IF((H11+I11)/2&gt;=80,5,IF((H11+I11)/2&gt;=70,4,IF((H11+I11)/2&gt;=60,3.5,IF((H11+I11)/2&gt;=50,3,IF((H11+I11)/2&gt;=40,2,IF((H11+I11)/2&gt;=33,1,0)))))))</f>
        <v/>
      </c>
      <c r="AG11">
        <f>IF(Y11,0,IF((J11+K11+L11+M11)/2&gt;=80,5,IF((J11+K11+L11+M11)/2&gt;=70,4,IF((J11+K11+L11+M11)/2&gt;=60,3.5,IF((J11+K11+L11+M11)/2&gt;=50,3,IF((J11+K11+L11+M11)/2&gt;=40,2,IF((J11+K11+L11+M11)/2&gt;=33,1,0)))))))</f>
        <v/>
      </c>
      <c r="AH11">
        <f>IF(Z11,0,IF(N11+O11&gt;=80,5,IF(N11+O11&gt;=70,4,IF(N11+O11&gt;=60,3.5,IF(N11+O11&gt;=50,3,IF(N11+O11&gt;=40,2,IF(N11+O11&gt;=33,1,0)))))))</f>
        <v/>
      </c>
      <c r="AI11">
        <f>IF(AA11,0,IF(P11+Q11&gt;=80,5,IF(P11+Q11&gt;=70,4,IF(P11+Q11&gt;=60,3.5,IF(P11+Q11&gt;=50,3,IF(P11+Q11&gt;=40,2,IF(P11+Q11&gt;=33,1,0)))))))</f>
        <v/>
      </c>
      <c r="AJ11">
        <f>IF(R11&lt;8.25,0,IF(R11*2&gt;=80,5,IF(R11*2&gt;=70,4,IF(R11*2&gt;=60,3.5,IF(R11*2&gt;=50,3,IF(R11*2&gt;=40,2,IF(R11*2&gt;=33,1,0)))))))</f>
        <v/>
      </c>
      <c r="AK11">
        <f>IF(S11&lt;33,0,IF(S11&gt;=80,5,IF(S11&gt;=70,4,IF(S11&gt;=60,3.5,IF(S11&gt;=50,3,IF(S11&gt;=40,2,IF(S11&gt;=33,1,0)))))))</f>
        <v/>
      </c>
      <c r="AL11">
        <f>(AC11+AD11+AE11+AF11+AG11+AH11+AI11+AJ11)/8</f>
        <v/>
      </c>
      <c r="AM11">
        <f>IF(AK11&gt;=2,(AK11-2)/8,0)</f>
        <v/>
      </c>
    </row>
    <row r="12">
      <c r="A12" t="n">
        <v>11</v>
      </c>
      <c r="B12" t="inlineStr">
        <is>
          <t>Mehedi Hassan</t>
        </is>
      </c>
      <c r="C12" s="2" t="n">
        <v>62</v>
      </c>
      <c r="D12" s="2" t="n">
        <v>70</v>
      </c>
      <c r="E12" s="2" t="n">
        <v>67</v>
      </c>
      <c r="F12" s="3" t="n">
        <v>85</v>
      </c>
      <c r="G12" s="3" t="n">
        <v>80</v>
      </c>
      <c r="H12" s="2" t="n">
        <v>71</v>
      </c>
      <c r="I12" s="2" t="n">
        <v>73</v>
      </c>
      <c r="J12" s="4" t="n">
        <v>22</v>
      </c>
      <c r="K12" s="5" t="n">
        <v>40</v>
      </c>
      <c r="L12" s="4" t="n">
        <v>16</v>
      </c>
      <c r="M12" s="5" t="n">
        <v>57</v>
      </c>
      <c r="N12" s="4" t="n">
        <v>25</v>
      </c>
      <c r="O12" s="2" t="n">
        <v>61</v>
      </c>
      <c r="P12" s="4" t="n">
        <v>11</v>
      </c>
      <c r="Q12" s="4" t="n">
        <v>38</v>
      </c>
      <c r="R12" t="n">
        <v>46</v>
      </c>
      <c r="S12" t="n">
        <v>87</v>
      </c>
      <c r="T12">
        <f>SUM(C12:R12)</f>
        <v/>
      </c>
      <c r="U12" s="6">
        <f>ROUND(T12/11.5,2)</f>
        <v/>
      </c>
      <c r="V12" s="7">
        <f>IF(B12="","",IF(AB12,0,ROUND(AL12,2)))</f>
        <v/>
      </c>
      <c r="W12" s="7">
        <f>IF(B12="","",IF(AB12,0,MIN(5,ROUND(AL12+AM12,2))))</f>
        <v/>
      </c>
      <c r="X12" s="8">
        <f>IF(B12="","",IF(W12&gt;=5,"A+",IF(W12&gt;=4,"A",IF(W12&gt;=3.5,"A-",IF(W12&gt;=3,"B",IF(W12&gt;=2,"C",IF(W12&gt;=1,"D","F")))))))</f>
        <v/>
      </c>
      <c r="Y12">
        <f>NOT(OR(AND(J12&gt;=10,K12&gt;=23,L12&gt;=10,M12&gt;=23),AND(J12+L12&gt;=20,K12+M12&gt;=46)))</f>
        <v/>
      </c>
      <c r="Z12">
        <f>OR(N12&lt;10,O12&lt;23)</f>
        <v/>
      </c>
      <c r="AA12">
        <f>OR(P12&lt;10,Q12&lt;23)</f>
        <v/>
      </c>
      <c r="AB12">
        <f>OR((C12+D12)&lt;66,(E12+F12)&lt;66,G12&lt;33,(H12+I12)&lt;66,Y12,Z12,AA12,R12&lt;8.25)</f>
        <v/>
      </c>
      <c r="AC12">
        <f>IF(C12+D12&lt;66,0,IF((C12+D12)/2&gt;=80,5,IF((C12+D12)/2&gt;=70,4,IF((C12+D12)/2&gt;=60,3.5,IF((C12+D12)/2&gt;=50,3,IF((C12+D12)/2&gt;=40,2,IF((C12+D12)/2&gt;=33,1,0)))))))</f>
        <v/>
      </c>
      <c r="AD12">
        <f>IF(E12+F12&lt;66,0,IF((E12+F12)/2&gt;=80,5,IF((E12+F12)/2&gt;=70,4,IF((E12+F12)/2&gt;=60,3.5,IF((E12+F12)/2&gt;=50,3,IF((E12+F12)/2&gt;=40,2,IF((E12+F12)/2&gt;=33,1,0)))))))</f>
        <v/>
      </c>
      <c r="AE12">
        <f>IF(G12&lt;33,0,IF(G12&gt;=80,5,IF(G12&gt;=70,4,IF(G12&gt;=60,3.5,IF(G12&gt;=50,3,IF(G12&gt;=40,2,IF(G12&gt;=33,1,0)))))))</f>
        <v/>
      </c>
      <c r="AF12">
        <f>IF(H12+I12&lt;66,0,IF((H12+I12)/2&gt;=80,5,IF((H12+I12)/2&gt;=70,4,IF((H12+I12)/2&gt;=60,3.5,IF((H12+I12)/2&gt;=50,3,IF((H12+I12)/2&gt;=40,2,IF((H12+I12)/2&gt;=33,1,0)))))))</f>
        <v/>
      </c>
      <c r="AG12">
        <f>IF(Y12,0,IF((J12+K12+L12+M12)/2&gt;=80,5,IF((J12+K12+L12+M12)/2&gt;=70,4,IF((J12+K12+L12+M12)/2&gt;=60,3.5,IF((J12+K12+L12+M12)/2&gt;=50,3,IF((J12+K12+L12+M12)/2&gt;=40,2,IF((J12+K12+L12+M12)/2&gt;=33,1,0)))))))</f>
        <v/>
      </c>
      <c r="AH12">
        <f>IF(Z12,0,IF(N12+O12&gt;=80,5,IF(N12+O12&gt;=70,4,IF(N12+O12&gt;=60,3.5,IF(N12+O12&gt;=50,3,IF(N12+O12&gt;=40,2,IF(N12+O12&gt;=33,1,0)))))))</f>
        <v/>
      </c>
      <c r="AI12">
        <f>IF(AA12,0,IF(P12+Q12&gt;=80,5,IF(P12+Q12&gt;=70,4,IF(P12+Q12&gt;=60,3.5,IF(P12+Q12&gt;=50,3,IF(P12+Q12&gt;=40,2,IF(P12+Q12&gt;=33,1,0)))))))</f>
        <v/>
      </c>
      <c r="AJ12">
        <f>IF(R12&lt;8.25,0,IF(R12*2&gt;=80,5,IF(R12*2&gt;=70,4,IF(R12*2&gt;=60,3.5,IF(R12*2&gt;=50,3,IF(R12*2&gt;=40,2,IF(R12*2&gt;=33,1,0)))))))</f>
        <v/>
      </c>
      <c r="AK12">
        <f>IF(S12&lt;33,0,IF(S12&gt;=80,5,IF(S12&gt;=70,4,IF(S12&gt;=60,3.5,IF(S12&gt;=50,3,IF(S12&gt;=40,2,IF(S12&gt;=33,1,0)))))))</f>
        <v/>
      </c>
      <c r="AL12">
        <f>(AC12+AD12+AE12+AF12+AG12+AH12+AI12+AJ12)/8</f>
        <v/>
      </c>
      <c r="AM12">
        <f>IF(AK12&gt;=2,(AK12-2)/8,0)</f>
        <v/>
      </c>
    </row>
    <row r="13">
      <c r="A13" t="n">
        <v>12</v>
      </c>
      <c r="B13" t="inlineStr">
        <is>
          <t>Lubna Khatun</t>
        </is>
      </c>
      <c r="C13" s="2" t="n">
        <v>61</v>
      </c>
      <c r="D13" s="3" t="n">
        <v>87</v>
      </c>
      <c r="E13" s="3" t="n">
        <v>84</v>
      </c>
      <c r="F13" s="3" t="n">
        <v>91</v>
      </c>
      <c r="G13" s="2" t="n">
        <v>63</v>
      </c>
      <c r="H13" s="3" t="n">
        <v>92</v>
      </c>
      <c r="I13" s="2" t="n">
        <v>79</v>
      </c>
      <c r="J13" s="4" t="n">
        <v>8</v>
      </c>
      <c r="K13" s="5" t="n">
        <v>51</v>
      </c>
      <c r="L13" s="4" t="n">
        <v>24</v>
      </c>
      <c r="M13" s="5" t="n">
        <v>55</v>
      </c>
      <c r="N13" s="4" t="n">
        <v>12</v>
      </c>
      <c r="O13" s="4" t="n">
        <v>26</v>
      </c>
      <c r="P13" s="4" t="n">
        <v>9</v>
      </c>
      <c r="Q13" s="5" t="n">
        <v>47</v>
      </c>
      <c r="R13" t="n">
        <v>46</v>
      </c>
      <c r="S13" t="n">
        <v>86</v>
      </c>
      <c r="T13">
        <f>SUM(C13:R13)</f>
        <v/>
      </c>
      <c r="U13" s="6">
        <f>ROUND(T13/11.5,2)</f>
        <v/>
      </c>
      <c r="V13" s="7">
        <f>IF(B13="","",IF(AB13,0,ROUND(AL13,2)))</f>
        <v/>
      </c>
      <c r="W13" s="7">
        <f>IF(B13="","",IF(AB13,0,MIN(5,ROUND(AL13+AM13,2))))</f>
        <v/>
      </c>
      <c r="X13" s="8">
        <f>IF(B13="","",IF(W13&gt;=5,"A+",IF(W13&gt;=4,"A",IF(W13&gt;=3.5,"A-",IF(W13&gt;=3,"B",IF(W13&gt;=2,"C",IF(W13&gt;=1,"D","F")))))))</f>
        <v/>
      </c>
      <c r="Y13">
        <f>NOT(OR(AND(J13&gt;=10,K13&gt;=23,L13&gt;=10,M13&gt;=23),AND(J13+L13&gt;=20,K13+M13&gt;=46)))</f>
        <v/>
      </c>
      <c r="Z13">
        <f>OR(N13&lt;10,O13&lt;23)</f>
        <v/>
      </c>
      <c r="AA13">
        <f>OR(P13&lt;10,Q13&lt;23)</f>
        <v/>
      </c>
      <c r="AB13">
        <f>OR((C13+D13)&lt;66,(E13+F13)&lt;66,G13&lt;33,(H13+I13)&lt;66,Y13,Z13,AA13,R13&lt;8.25)</f>
        <v/>
      </c>
      <c r="AC13">
        <f>IF(C13+D13&lt;66,0,IF((C13+D13)/2&gt;=80,5,IF((C13+D13)/2&gt;=70,4,IF((C13+D13)/2&gt;=60,3.5,IF((C13+D13)/2&gt;=50,3,IF((C13+D13)/2&gt;=40,2,IF((C13+D13)/2&gt;=33,1,0)))))))</f>
        <v/>
      </c>
      <c r="AD13">
        <f>IF(E13+F13&lt;66,0,IF((E13+F13)/2&gt;=80,5,IF((E13+F13)/2&gt;=70,4,IF((E13+F13)/2&gt;=60,3.5,IF((E13+F13)/2&gt;=50,3,IF((E13+F13)/2&gt;=40,2,IF((E13+F13)/2&gt;=33,1,0)))))))</f>
        <v/>
      </c>
      <c r="AE13">
        <f>IF(G13&lt;33,0,IF(G13&gt;=80,5,IF(G13&gt;=70,4,IF(G13&gt;=60,3.5,IF(G13&gt;=50,3,IF(G13&gt;=40,2,IF(G13&gt;=33,1,0)))))))</f>
        <v/>
      </c>
      <c r="AF13">
        <f>IF(H13+I13&lt;66,0,IF((H13+I13)/2&gt;=80,5,IF((H13+I13)/2&gt;=70,4,IF((H13+I13)/2&gt;=60,3.5,IF((H13+I13)/2&gt;=50,3,IF((H13+I13)/2&gt;=40,2,IF((H13+I13)/2&gt;=33,1,0)))))))</f>
        <v/>
      </c>
      <c r="AG13">
        <f>IF(Y13,0,IF((J13+K13+L13+M13)/2&gt;=80,5,IF((J13+K13+L13+M13)/2&gt;=70,4,IF((J13+K13+L13+M13)/2&gt;=60,3.5,IF((J13+K13+L13+M13)/2&gt;=50,3,IF((J13+K13+L13+M13)/2&gt;=40,2,IF((J13+K13+L13+M13)/2&gt;=33,1,0)))))))</f>
        <v/>
      </c>
      <c r="AH13">
        <f>IF(Z13,0,IF(N13+O13&gt;=80,5,IF(N13+O13&gt;=70,4,IF(N13+O13&gt;=60,3.5,IF(N13+O13&gt;=50,3,IF(N13+O13&gt;=40,2,IF(N13+O13&gt;=33,1,0)))))))</f>
        <v/>
      </c>
      <c r="AI13">
        <f>IF(AA13,0,IF(P13+Q13&gt;=80,5,IF(P13+Q13&gt;=70,4,IF(P13+Q13&gt;=60,3.5,IF(P13+Q13&gt;=50,3,IF(P13+Q13&gt;=40,2,IF(P13+Q13&gt;=33,1,0)))))))</f>
        <v/>
      </c>
      <c r="AJ13">
        <f>IF(R13&lt;8.25,0,IF(R13*2&gt;=80,5,IF(R13*2&gt;=70,4,IF(R13*2&gt;=60,3.5,IF(R13*2&gt;=50,3,IF(R13*2&gt;=40,2,IF(R13*2&gt;=33,1,0)))))))</f>
        <v/>
      </c>
      <c r="AK13">
        <f>IF(S13&lt;33,0,IF(S13&gt;=80,5,IF(S13&gt;=70,4,IF(S13&gt;=60,3.5,IF(S13&gt;=50,3,IF(S13&gt;=40,2,IF(S13&gt;=33,1,0)))))))</f>
        <v/>
      </c>
      <c r="AL13">
        <f>(AC13+AD13+AE13+AF13+AG13+AH13+AI13+AJ13)/8</f>
        <v/>
      </c>
      <c r="AM13">
        <f>IF(AK13&gt;=2,(AK13-2)/8,0)</f>
        <v/>
      </c>
    </row>
    <row r="14">
      <c r="A14" t="n">
        <v>13</v>
      </c>
      <c r="B14" t="inlineStr">
        <is>
          <t>Fahim Ahmed</t>
        </is>
      </c>
      <c r="C14" s="2" t="n">
        <v>65</v>
      </c>
      <c r="D14" s="2" t="n">
        <v>78</v>
      </c>
      <c r="E14" s="2" t="n">
        <v>65</v>
      </c>
      <c r="F14" s="2" t="n">
        <v>76</v>
      </c>
      <c r="G14" s="2" t="n">
        <v>74</v>
      </c>
      <c r="H14" s="3" t="n">
        <v>82</v>
      </c>
      <c r="I14" s="2" t="n">
        <v>62</v>
      </c>
      <c r="J14" s="4" t="n">
        <v>16</v>
      </c>
      <c r="K14" s="4" t="n">
        <v>21</v>
      </c>
      <c r="L14" s="4" t="n">
        <v>27</v>
      </c>
      <c r="M14" s="4" t="n">
        <v>34</v>
      </c>
      <c r="N14" s="4" t="n">
        <v>26</v>
      </c>
      <c r="O14" s="4" t="n">
        <v>23</v>
      </c>
      <c r="P14" s="4" t="n">
        <v>28</v>
      </c>
      <c r="Q14" s="2" t="n">
        <v>64</v>
      </c>
      <c r="R14" t="n">
        <v>35</v>
      </c>
      <c r="S14" t="n">
        <v>83</v>
      </c>
      <c r="T14">
        <f>SUM(C14:R14)</f>
        <v/>
      </c>
      <c r="U14" s="6">
        <f>ROUND(T14/11.5,2)</f>
        <v/>
      </c>
      <c r="V14" s="7">
        <f>IF(B14="","",IF(AB14,0,ROUND(AL14,2)))</f>
        <v/>
      </c>
      <c r="W14" s="7">
        <f>IF(B14="","",IF(AB14,0,MIN(5,ROUND(AL14+AM14,2))))</f>
        <v/>
      </c>
      <c r="X14" s="8">
        <f>IF(B14="","",IF(W14&gt;=5,"A+",IF(W14&gt;=4,"A",IF(W14&gt;=3.5,"A-",IF(W14&gt;=3,"B",IF(W14&gt;=2,"C",IF(W14&gt;=1,"D","F")))))))</f>
        <v/>
      </c>
      <c r="Y14">
        <f>NOT(OR(AND(J14&gt;=10,K14&gt;=23,L14&gt;=10,M14&gt;=23),AND(J14+L14&gt;=20,K14+M14&gt;=46)))</f>
        <v/>
      </c>
      <c r="Z14">
        <f>OR(N14&lt;10,O14&lt;23)</f>
        <v/>
      </c>
      <c r="AA14">
        <f>OR(P14&lt;10,Q14&lt;23)</f>
        <v/>
      </c>
      <c r="AB14">
        <f>OR((C14+D14)&lt;66,(E14+F14)&lt;66,G14&lt;33,(H14+I14)&lt;66,Y14,Z14,AA14,R14&lt;8.25)</f>
        <v/>
      </c>
      <c r="AC14">
        <f>IF(C14+D14&lt;66,0,IF((C14+D14)/2&gt;=80,5,IF((C14+D14)/2&gt;=70,4,IF((C14+D14)/2&gt;=60,3.5,IF((C14+D14)/2&gt;=50,3,IF((C14+D14)/2&gt;=40,2,IF((C14+D14)/2&gt;=33,1,0)))))))</f>
        <v/>
      </c>
      <c r="AD14">
        <f>IF(E14+F14&lt;66,0,IF((E14+F14)/2&gt;=80,5,IF((E14+F14)/2&gt;=70,4,IF((E14+F14)/2&gt;=60,3.5,IF((E14+F14)/2&gt;=50,3,IF((E14+F14)/2&gt;=40,2,IF((E14+F14)/2&gt;=33,1,0)))))))</f>
        <v/>
      </c>
      <c r="AE14">
        <f>IF(G14&lt;33,0,IF(G14&gt;=80,5,IF(G14&gt;=70,4,IF(G14&gt;=60,3.5,IF(G14&gt;=50,3,IF(G14&gt;=40,2,IF(G14&gt;=33,1,0)))))))</f>
        <v/>
      </c>
      <c r="AF14">
        <f>IF(H14+I14&lt;66,0,IF((H14+I14)/2&gt;=80,5,IF((H14+I14)/2&gt;=70,4,IF((H14+I14)/2&gt;=60,3.5,IF((H14+I14)/2&gt;=50,3,IF((H14+I14)/2&gt;=40,2,IF((H14+I14)/2&gt;=33,1,0)))))))</f>
        <v/>
      </c>
      <c r="AG14">
        <f>IF(Y14,0,IF((J14+K14+L14+M14)/2&gt;=80,5,IF((J14+K14+L14+M14)/2&gt;=70,4,IF((J14+K14+L14+M14)/2&gt;=60,3.5,IF((J14+K14+L14+M14)/2&gt;=50,3,IF((J14+K14+L14+M14)/2&gt;=40,2,IF((J14+K14+L14+M14)/2&gt;=33,1,0)))))))</f>
        <v/>
      </c>
      <c r="AH14">
        <f>IF(Z14,0,IF(N14+O14&gt;=80,5,IF(N14+O14&gt;=70,4,IF(N14+O14&gt;=60,3.5,IF(N14+O14&gt;=50,3,IF(N14+O14&gt;=40,2,IF(N14+O14&gt;=33,1,0)))))))</f>
        <v/>
      </c>
      <c r="AI14">
        <f>IF(AA14,0,IF(P14+Q14&gt;=80,5,IF(P14+Q14&gt;=70,4,IF(P14+Q14&gt;=60,3.5,IF(P14+Q14&gt;=50,3,IF(P14+Q14&gt;=40,2,IF(P14+Q14&gt;=33,1,0)))))))</f>
        <v/>
      </c>
      <c r="AJ14">
        <f>IF(R14&lt;8.25,0,IF(R14*2&gt;=80,5,IF(R14*2&gt;=70,4,IF(R14*2&gt;=60,3.5,IF(R14*2&gt;=50,3,IF(R14*2&gt;=40,2,IF(R14*2&gt;=33,1,0)))))))</f>
        <v/>
      </c>
      <c r="AK14">
        <f>IF(S14&lt;33,0,IF(S14&gt;=80,5,IF(S14&gt;=70,4,IF(S14&gt;=60,3.5,IF(S14&gt;=50,3,IF(S14&gt;=40,2,IF(S14&gt;=33,1,0)))))))</f>
        <v/>
      </c>
      <c r="AL14">
        <f>(AC14+AD14+AE14+AF14+AG14+AH14+AI14+AJ14)/8</f>
        <v/>
      </c>
      <c r="AM14">
        <f>IF(AK14&gt;=2,(AK14-2)/8,0)</f>
        <v/>
      </c>
    </row>
    <row r="15">
      <c r="A15" t="n">
        <v>14</v>
      </c>
      <c r="B15" t="inlineStr">
        <is>
          <t>Samira Begum</t>
        </is>
      </c>
      <c r="C15" s="2" t="n">
        <v>73</v>
      </c>
      <c r="D15" s="2" t="n">
        <v>75</v>
      </c>
      <c r="E15" s="3" t="n">
        <v>95</v>
      </c>
      <c r="F15" s="2" t="n">
        <v>70</v>
      </c>
      <c r="G15" s="2" t="n">
        <v>62</v>
      </c>
      <c r="H15" s="3" t="n">
        <v>92</v>
      </c>
      <c r="I15" s="2" t="n">
        <v>72</v>
      </c>
      <c r="J15" s="4" t="n">
        <v>24</v>
      </c>
      <c r="K15" s="4" t="n">
        <v>27</v>
      </c>
      <c r="L15" s="4" t="n">
        <v>21</v>
      </c>
      <c r="M15" s="5" t="n">
        <v>57</v>
      </c>
      <c r="N15" s="4" t="n">
        <v>26</v>
      </c>
      <c r="O15" s="5" t="n">
        <v>45</v>
      </c>
      <c r="P15" s="4" t="n">
        <v>25</v>
      </c>
      <c r="Q15" s="5" t="n">
        <v>55</v>
      </c>
      <c r="R15" t="n">
        <v>31</v>
      </c>
      <c r="S15" t="n">
        <v>70</v>
      </c>
      <c r="T15">
        <f>SUM(C15:R15)</f>
        <v/>
      </c>
      <c r="U15" s="6">
        <f>ROUND(T15/11.5,2)</f>
        <v/>
      </c>
      <c r="V15" s="7">
        <f>IF(B15="","",IF(AB15,0,ROUND(AL15,2)))</f>
        <v/>
      </c>
      <c r="W15" s="7">
        <f>IF(B15="","",IF(AB15,0,MIN(5,ROUND(AL15+AM15,2))))</f>
        <v/>
      </c>
      <c r="X15" s="8">
        <f>IF(B15="","",IF(W15&gt;=5,"A+",IF(W15&gt;=4,"A",IF(W15&gt;=3.5,"A-",IF(W15&gt;=3,"B",IF(W15&gt;=2,"C",IF(W15&gt;=1,"D","F")))))))</f>
        <v/>
      </c>
      <c r="Y15">
        <f>NOT(OR(AND(J15&gt;=10,K15&gt;=23,L15&gt;=10,M15&gt;=23),AND(J15+L15&gt;=20,K15+M15&gt;=46)))</f>
        <v/>
      </c>
      <c r="Z15">
        <f>OR(N15&lt;10,O15&lt;23)</f>
        <v/>
      </c>
      <c r="AA15">
        <f>OR(P15&lt;10,Q15&lt;23)</f>
        <v/>
      </c>
      <c r="AB15">
        <f>OR((C15+D15)&lt;66,(E15+F15)&lt;66,G15&lt;33,(H15+I15)&lt;66,Y15,Z15,AA15,R15&lt;8.25)</f>
        <v/>
      </c>
      <c r="AC15">
        <f>IF(C15+D15&lt;66,0,IF((C15+D15)/2&gt;=80,5,IF((C15+D15)/2&gt;=70,4,IF((C15+D15)/2&gt;=60,3.5,IF((C15+D15)/2&gt;=50,3,IF((C15+D15)/2&gt;=40,2,IF((C15+D15)/2&gt;=33,1,0)))))))</f>
        <v/>
      </c>
      <c r="AD15">
        <f>IF(E15+F15&lt;66,0,IF((E15+F15)/2&gt;=80,5,IF((E15+F15)/2&gt;=70,4,IF((E15+F15)/2&gt;=60,3.5,IF((E15+F15)/2&gt;=50,3,IF((E15+F15)/2&gt;=40,2,IF((E15+F15)/2&gt;=33,1,0)))))))</f>
        <v/>
      </c>
      <c r="AE15">
        <f>IF(G15&lt;33,0,IF(G15&gt;=80,5,IF(G15&gt;=70,4,IF(G15&gt;=60,3.5,IF(G15&gt;=50,3,IF(G15&gt;=40,2,IF(G15&gt;=33,1,0)))))))</f>
        <v/>
      </c>
      <c r="AF15">
        <f>IF(H15+I15&lt;66,0,IF((H15+I15)/2&gt;=80,5,IF((H15+I15)/2&gt;=70,4,IF((H15+I15)/2&gt;=60,3.5,IF((H15+I15)/2&gt;=50,3,IF((H15+I15)/2&gt;=40,2,IF((H15+I15)/2&gt;=33,1,0)))))))</f>
        <v/>
      </c>
      <c r="AG15">
        <f>IF(Y15,0,IF((J15+K15+L15+M15)/2&gt;=80,5,IF((J15+K15+L15+M15)/2&gt;=70,4,IF((J15+K15+L15+M15)/2&gt;=60,3.5,IF((J15+K15+L15+M15)/2&gt;=50,3,IF((J15+K15+L15+M15)/2&gt;=40,2,IF((J15+K15+L15+M15)/2&gt;=33,1,0)))))))</f>
        <v/>
      </c>
      <c r="AH15">
        <f>IF(Z15,0,IF(N15+O15&gt;=80,5,IF(N15+O15&gt;=70,4,IF(N15+O15&gt;=60,3.5,IF(N15+O15&gt;=50,3,IF(N15+O15&gt;=40,2,IF(N15+O15&gt;=33,1,0)))))))</f>
        <v/>
      </c>
      <c r="AI15">
        <f>IF(AA15,0,IF(P15+Q15&gt;=80,5,IF(P15+Q15&gt;=70,4,IF(P15+Q15&gt;=60,3.5,IF(P15+Q15&gt;=50,3,IF(P15+Q15&gt;=40,2,IF(P15+Q15&gt;=33,1,0)))))))</f>
        <v/>
      </c>
      <c r="AJ15">
        <f>IF(R15&lt;8.25,0,IF(R15*2&gt;=80,5,IF(R15*2&gt;=70,4,IF(R15*2&gt;=60,3.5,IF(R15*2&gt;=50,3,IF(R15*2&gt;=40,2,IF(R15*2&gt;=33,1,0)))))))</f>
        <v/>
      </c>
      <c r="AK15">
        <f>IF(S15&lt;33,0,IF(S15&gt;=80,5,IF(S15&gt;=70,4,IF(S15&gt;=60,3.5,IF(S15&gt;=50,3,IF(S15&gt;=40,2,IF(S15&gt;=33,1,0)))))))</f>
        <v/>
      </c>
      <c r="AL15">
        <f>(AC15+AD15+AE15+AF15+AG15+AH15+AI15+AJ15)/8</f>
        <v/>
      </c>
      <c r="AM15">
        <f>IF(AK15&gt;=2,(AK15-2)/8,0)</f>
        <v/>
      </c>
    </row>
    <row r="16">
      <c r="A16" t="n">
        <v>15</v>
      </c>
      <c r="B16" t="inlineStr">
        <is>
          <t>Imran Khan</t>
        </is>
      </c>
      <c r="C16" s="2" t="n">
        <v>74</v>
      </c>
      <c r="D16" s="2" t="n">
        <v>73</v>
      </c>
      <c r="E16" s="2" t="n">
        <v>78</v>
      </c>
      <c r="F16" s="2" t="n">
        <v>76</v>
      </c>
      <c r="G16" s="3" t="n">
        <v>80</v>
      </c>
      <c r="H16" s="3" t="n">
        <v>80</v>
      </c>
      <c r="I16" s="2" t="n">
        <v>72</v>
      </c>
      <c r="J16" s="4" t="n">
        <v>13</v>
      </c>
      <c r="K16" s="5" t="n">
        <v>43</v>
      </c>
      <c r="L16" s="4" t="n">
        <v>14</v>
      </c>
      <c r="M16" s="4" t="n">
        <v>34</v>
      </c>
      <c r="N16" s="4" t="n">
        <v>23</v>
      </c>
      <c r="O16" s="5" t="n">
        <v>41</v>
      </c>
      <c r="P16" s="4" t="n">
        <v>8</v>
      </c>
      <c r="Q16" s="2" t="n">
        <v>62</v>
      </c>
      <c r="R16" t="n">
        <v>46</v>
      </c>
      <c r="S16" t="n">
        <v>66</v>
      </c>
      <c r="T16">
        <f>SUM(C16:R16)</f>
        <v/>
      </c>
      <c r="U16" s="6">
        <f>ROUND(T16/11.5,2)</f>
        <v/>
      </c>
      <c r="V16" s="7">
        <f>IF(B16="","",IF(AB16,0,ROUND(AL16,2)))</f>
        <v/>
      </c>
      <c r="W16" s="7">
        <f>IF(B16="","",IF(AB16,0,MIN(5,ROUND(AL16+AM16,2))))</f>
        <v/>
      </c>
      <c r="X16" s="8">
        <f>IF(B16="","",IF(W16&gt;=5,"A+",IF(W16&gt;=4,"A",IF(W16&gt;=3.5,"A-",IF(W16&gt;=3,"B",IF(W16&gt;=2,"C",IF(W16&gt;=1,"D","F")))))))</f>
        <v/>
      </c>
      <c r="Y16">
        <f>NOT(OR(AND(J16&gt;=10,K16&gt;=23,L16&gt;=10,M16&gt;=23),AND(J16+L16&gt;=20,K16+M16&gt;=46)))</f>
        <v/>
      </c>
      <c r="Z16">
        <f>OR(N16&lt;10,O16&lt;23)</f>
        <v/>
      </c>
      <c r="AA16">
        <f>OR(P16&lt;10,Q16&lt;23)</f>
        <v/>
      </c>
      <c r="AB16">
        <f>OR((C16+D16)&lt;66,(E16+F16)&lt;66,G16&lt;33,(H16+I16)&lt;66,Y16,Z16,AA16,R16&lt;8.25)</f>
        <v/>
      </c>
      <c r="AC16">
        <f>IF(C16+D16&lt;66,0,IF((C16+D16)/2&gt;=80,5,IF((C16+D16)/2&gt;=70,4,IF((C16+D16)/2&gt;=60,3.5,IF((C16+D16)/2&gt;=50,3,IF((C16+D16)/2&gt;=40,2,IF((C16+D16)/2&gt;=33,1,0)))))))</f>
        <v/>
      </c>
      <c r="AD16">
        <f>IF(E16+F16&lt;66,0,IF((E16+F16)/2&gt;=80,5,IF((E16+F16)/2&gt;=70,4,IF((E16+F16)/2&gt;=60,3.5,IF((E16+F16)/2&gt;=50,3,IF((E16+F16)/2&gt;=40,2,IF((E16+F16)/2&gt;=33,1,0)))))))</f>
        <v/>
      </c>
      <c r="AE16">
        <f>IF(G16&lt;33,0,IF(G16&gt;=80,5,IF(G16&gt;=70,4,IF(G16&gt;=60,3.5,IF(G16&gt;=50,3,IF(G16&gt;=40,2,IF(G16&gt;=33,1,0)))))))</f>
        <v/>
      </c>
      <c r="AF16">
        <f>IF(H16+I16&lt;66,0,IF((H16+I16)/2&gt;=80,5,IF((H16+I16)/2&gt;=70,4,IF((H16+I16)/2&gt;=60,3.5,IF((H16+I16)/2&gt;=50,3,IF((H16+I16)/2&gt;=40,2,IF((H16+I16)/2&gt;=33,1,0)))))))</f>
        <v/>
      </c>
      <c r="AG16">
        <f>IF(Y16,0,IF((J16+K16+L16+M16)/2&gt;=80,5,IF((J16+K16+L16+M16)/2&gt;=70,4,IF((J16+K16+L16+M16)/2&gt;=60,3.5,IF((J16+K16+L16+M16)/2&gt;=50,3,IF((J16+K16+L16+M16)/2&gt;=40,2,IF((J16+K16+L16+M16)/2&gt;=33,1,0)))))))</f>
        <v/>
      </c>
      <c r="AH16">
        <f>IF(Z16,0,IF(N16+O16&gt;=80,5,IF(N16+O16&gt;=70,4,IF(N16+O16&gt;=60,3.5,IF(N16+O16&gt;=50,3,IF(N16+O16&gt;=40,2,IF(N16+O16&gt;=33,1,0)))))))</f>
        <v/>
      </c>
      <c r="AI16">
        <f>IF(AA16,0,IF(P16+Q16&gt;=80,5,IF(P16+Q16&gt;=70,4,IF(P16+Q16&gt;=60,3.5,IF(P16+Q16&gt;=50,3,IF(P16+Q16&gt;=40,2,IF(P16+Q16&gt;=33,1,0)))))))</f>
        <v/>
      </c>
      <c r="AJ16">
        <f>IF(R16&lt;8.25,0,IF(R16*2&gt;=80,5,IF(R16*2&gt;=70,4,IF(R16*2&gt;=60,3.5,IF(R16*2&gt;=50,3,IF(R16*2&gt;=40,2,IF(R16*2&gt;=33,1,0)))))))</f>
        <v/>
      </c>
      <c r="AK16">
        <f>IF(S16&lt;33,0,IF(S16&gt;=80,5,IF(S16&gt;=70,4,IF(S16&gt;=60,3.5,IF(S16&gt;=50,3,IF(S16&gt;=40,2,IF(S16&gt;=33,1,0)))))))</f>
        <v/>
      </c>
      <c r="AL16">
        <f>(AC16+AD16+AE16+AF16+AG16+AH16+AI16+AJ16)/8</f>
        <v/>
      </c>
      <c r="AM16">
        <f>IF(AK16&gt;=2,(AK16-2)/8,0)</f>
        <v/>
      </c>
    </row>
    <row r="17">
      <c r="A17" t="n">
        <v>16</v>
      </c>
      <c r="B17" t="inlineStr">
        <is>
          <t>Rafia Islam</t>
        </is>
      </c>
      <c r="C17" s="3" t="n">
        <v>92</v>
      </c>
      <c r="D17" s="2" t="n">
        <v>69</v>
      </c>
      <c r="E17" s="3" t="n">
        <v>83</v>
      </c>
      <c r="F17" s="2" t="n">
        <v>76</v>
      </c>
      <c r="G17" s="3" t="n">
        <v>85</v>
      </c>
      <c r="H17" s="2" t="n">
        <v>78</v>
      </c>
      <c r="I17" s="2" t="n">
        <v>79</v>
      </c>
      <c r="J17" s="4" t="n">
        <v>24</v>
      </c>
      <c r="K17" s="4" t="n">
        <v>39</v>
      </c>
      <c r="L17" s="4" t="n">
        <v>25</v>
      </c>
      <c r="M17" s="4" t="n">
        <v>20</v>
      </c>
      <c r="N17" s="4" t="n">
        <v>15</v>
      </c>
      <c r="O17" s="4" t="n">
        <v>26</v>
      </c>
      <c r="P17" s="4" t="n">
        <v>10</v>
      </c>
      <c r="Q17" s="2" t="n">
        <v>65</v>
      </c>
      <c r="R17" t="n">
        <v>32</v>
      </c>
      <c r="S17" t="n">
        <v>63</v>
      </c>
      <c r="T17">
        <f>SUM(C17:R17)</f>
        <v/>
      </c>
      <c r="U17" s="6">
        <f>ROUND(T17/11.5,2)</f>
        <v/>
      </c>
      <c r="V17" s="7">
        <f>IF(B17="","",IF(AB17,0,ROUND(AL17,2)))</f>
        <v/>
      </c>
      <c r="W17" s="7">
        <f>IF(B17="","",IF(AB17,0,MIN(5,ROUND(AL17+AM17,2))))</f>
        <v/>
      </c>
      <c r="X17" s="8">
        <f>IF(B17="","",IF(W17&gt;=5,"A+",IF(W17&gt;=4,"A",IF(W17&gt;=3.5,"A-",IF(W17&gt;=3,"B",IF(W17&gt;=2,"C",IF(W17&gt;=1,"D","F")))))))</f>
        <v/>
      </c>
      <c r="Y17">
        <f>NOT(OR(AND(J17&gt;=10,K17&gt;=23,L17&gt;=10,M17&gt;=23),AND(J17+L17&gt;=20,K17+M17&gt;=46)))</f>
        <v/>
      </c>
      <c r="Z17">
        <f>OR(N17&lt;10,O17&lt;23)</f>
        <v/>
      </c>
      <c r="AA17">
        <f>OR(P17&lt;10,Q17&lt;23)</f>
        <v/>
      </c>
      <c r="AB17">
        <f>OR((C17+D17)&lt;66,(E17+F17)&lt;66,G17&lt;33,(H17+I17)&lt;66,Y17,Z17,AA17,R17&lt;8.25)</f>
        <v/>
      </c>
      <c r="AC17">
        <f>IF(C17+D17&lt;66,0,IF((C17+D17)/2&gt;=80,5,IF((C17+D17)/2&gt;=70,4,IF((C17+D17)/2&gt;=60,3.5,IF((C17+D17)/2&gt;=50,3,IF((C17+D17)/2&gt;=40,2,IF((C17+D17)/2&gt;=33,1,0)))))))</f>
        <v/>
      </c>
      <c r="AD17">
        <f>IF(E17+F17&lt;66,0,IF((E17+F17)/2&gt;=80,5,IF((E17+F17)/2&gt;=70,4,IF((E17+F17)/2&gt;=60,3.5,IF((E17+F17)/2&gt;=50,3,IF((E17+F17)/2&gt;=40,2,IF((E17+F17)/2&gt;=33,1,0)))))))</f>
        <v/>
      </c>
      <c r="AE17">
        <f>IF(G17&lt;33,0,IF(G17&gt;=80,5,IF(G17&gt;=70,4,IF(G17&gt;=60,3.5,IF(G17&gt;=50,3,IF(G17&gt;=40,2,IF(G17&gt;=33,1,0)))))))</f>
        <v/>
      </c>
      <c r="AF17">
        <f>IF(H17+I17&lt;66,0,IF((H17+I17)/2&gt;=80,5,IF((H17+I17)/2&gt;=70,4,IF((H17+I17)/2&gt;=60,3.5,IF((H17+I17)/2&gt;=50,3,IF((H17+I17)/2&gt;=40,2,IF((H17+I17)/2&gt;=33,1,0)))))))</f>
        <v/>
      </c>
      <c r="AG17">
        <f>IF(Y17,0,IF((J17+K17+L17+M17)/2&gt;=80,5,IF((J17+K17+L17+M17)/2&gt;=70,4,IF((J17+K17+L17+M17)/2&gt;=60,3.5,IF((J17+K17+L17+M17)/2&gt;=50,3,IF((J17+K17+L17+M17)/2&gt;=40,2,IF((J17+K17+L17+M17)/2&gt;=33,1,0)))))))</f>
        <v/>
      </c>
      <c r="AH17">
        <f>IF(Z17,0,IF(N17+O17&gt;=80,5,IF(N17+O17&gt;=70,4,IF(N17+O17&gt;=60,3.5,IF(N17+O17&gt;=50,3,IF(N17+O17&gt;=40,2,IF(N17+O17&gt;=33,1,0)))))))</f>
        <v/>
      </c>
      <c r="AI17">
        <f>IF(AA17,0,IF(P17+Q17&gt;=80,5,IF(P17+Q17&gt;=70,4,IF(P17+Q17&gt;=60,3.5,IF(P17+Q17&gt;=50,3,IF(P17+Q17&gt;=40,2,IF(P17+Q17&gt;=33,1,0)))))))</f>
        <v/>
      </c>
      <c r="AJ17">
        <f>IF(R17&lt;8.25,0,IF(R17*2&gt;=80,5,IF(R17*2&gt;=70,4,IF(R17*2&gt;=60,3.5,IF(R17*2&gt;=50,3,IF(R17*2&gt;=40,2,IF(R17*2&gt;=33,1,0)))))))</f>
        <v/>
      </c>
      <c r="AK17">
        <f>IF(S17&lt;33,0,IF(S17&gt;=80,5,IF(S17&gt;=70,4,IF(S17&gt;=60,3.5,IF(S17&gt;=50,3,IF(S17&gt;=40,2,IF(S17&gt;=33,1,0)))))))</f>
        <v/>
      </c>
      <c r="AL17">
        <f>(AC17+AD17+AE17+AF17+AG17+AH17+AI17+AJ17)/8</f>
        <v/>
      </c>
      <c r="AM17">
        <f>IF(AK17&gt;=2,(AK17-2)/8,0)</f>
        <v/>
      </c>
    </row>
    <row r="18">
      <c r="A18" t="n">
        <v>17</v>
      </c>
      <c r="B18" t="inlineStr">
        <is>
          <t>Shakib Rahman</t>
        </is>
      </c>
      <c r="C18" s="2" t="n">
        <v>61</v>
      </c>
      <c r="D18" s="2" t="n">
        <v>71</v>
      </c>
      <c r="E18" s="2" t="n">
        <v>72</v>
      </c>
      <c r="F18" s="2" t="n">
        <v>71</v>
      </c>
      <c r="G18" s="2" t="n">
        <v>77</v>
      </c>
      <c r="H18" s="2" t="n">
        <v>69</v>
      </c>
      <c r="I18" s="2" t="n">
        <v>74</v>
      </c>
      <c r="J18" s="4" t="n">
        <v>11</v>
      </c>
      <c r="K18" s="4" t="n">
        <v>35</v>
      </c>
      <c r="L18" s="4" t="n">
        <v>14</v>
      </c>
      <c r="M18" s="4" t="n">
        <v>24</v>
      </c>
      <c r="N18" s="4" t="n">
        <v>23</v>
      </c>
      <c r="O18" s="4" t="n">
        <v>35</v>
      </c>
      <c r="P18" s="4" t="n">
        <v>15</v>
      </c>
      <c r="Q18" s="5" t="n">
        <v>51</v>
      </c>
      <c r="R18" t="n">
        <v>35</v>
      </c>
      <c r="S18" t="n">
        <v>70</v>
      </c>
      <c r="T18">
        <f>SUM(C18:R18)</f>
        <v/>
      </c>
      <c r="U18" s="6">
        <f>ROUND(T18/11.5,2)</f>
        <v/>
      </c>
      <c r="V18" s="7">
        <f>IF(B18="","",IF(AB18,0,ROUND(AL18,2)))</f>
        <v/>
      </c>
      <c r="W18" s="7">
        <f>IF(B18="","",IF(AB18,0,MIN(5,ROUND(AL18+AM18,2))))</f>
        <v/>
      </c>
      <c r="X18" s="8">
        <f>IF(B18="","",IF(W18&gt;=5,"A+",IF(W18&gt;=4,"A",IF(W18&gt;=3.5,"A-",IF(W18&gt;=3,"B",IF(W18&gt;=2,"C",IF(W18&gt;=1,"D","F")))))))</f>
        <v/>
      </c>
      <c r="Y18">
        <f>NOT(OR(AND(J18&gt;=10,K18&gt;=23,L18&gt;=10,M18&gt;=23),AND(J18+L18&gt;=20,K18+M18&gt;=46)))</f>
        <v/>
      </c>
      <c r="Z18">
        <f>OR(N18&lt;10,O18&lt;23)</f>
        <v/>
      </c>
      <c r="AA18">
        <f>OR(P18&lt;10,Q18&lt;23)</f>
        <v/>
      </c>
      <c r="AB18">
        <f>OR((C18+D18)&lt;66,(E18+F18)&lt;66,G18&lt;33,(H18+I18)&lt;66,Y18,Z18,AA18,R18&lt;8.25)</f>
        <v/>
      </c>
      <c r="AC18">
        <f>IF(C18+D18&lt;66,0,IF((C18+D18)/2&gt;=80,5,IF((C18+D18)/2&gt;=70,4,IF((C18+D18)/2&gt;=60,3.5,IF((C18+D18)/2&gt;=50,3,IF((C18+D18)/2&gt;=40,2,IF((C18+D18)/2&gt;=33,1,0)))))))</f>
        <v/>
      </c>
      <c r="AD18">
        <f>IF(E18+F18&lt;66,0,IF((E18+F18)/2&gt;=80,5,IF((E18+F18)/2&gt;=70,4,IF((E18+F18)/2&gt;=60,3.5,IF((E18+F18)/2&gt;=50,3,IF((E18+F18)/2&gt;=40,2,IF((E18+F18)/2&gt;=33,1,0)))))))</f>
        <v/>
      </c>
      <c r="AE18">
        <f>IF(G18&lt;33,0,IF(G18&gt;=80,5,IF(G18&gt;=70,4,IF(G18&gt;=60,3.5,IF(G18&gt;=50,3,IF(G18&gt;=40,2,IF(G18&gt;=33,1,0)))))))</f>
        <v/>
      </c>
      <c r="AF18">
        <f>IF(H18+I18&lt;66,0,IF((H18+I18)/2&gt;=80,5,IF((H18+I18)/2&gt;=70,4,IF((H18+I18)/2&gt;=60,3.5,IF((H18+I18)/2&gt;=50,3,IF((H18+I18)/2&gt;=40,2,IF((H18+I18)/2&gt;=33,1,0)))))))</f>
        <v/>
      </c>
      <c r="AG18">
        <f>IF(Y18,0,IF((J18+K18+L18+M18)/2&gt;=80,5,IF((J18+K18+L18+M18)/2&gt;=70,4,IF((J18+K18+L18+M18)/2&gt;=60,3.5,IF((J18+K18+L18+M18)/2&gt;=50,3,IF((J18+K18+L18+M18)/2&gt;=40,2,IF((J18+K18+L18+M18)/2&gt;=33,1,0)))))))</f>
        <v/>
      </c>
      <c r="AH18">
        <f>IF(Z18,0,IF(N18+O18&gt;=80,5,IF(N18+O18&gt;=70,4,IF(N18+O18&gt;=60,3.5,IF(N18+O18&gt;=50,3,IF(N18+O18&gt;=40,2,IF(N18+O18&gt;=33,1,0)))))))</f>
        <v/>
      </c>
      <c r="AI18">
        <f>IF(AA18,0,IF(P18+Q18&gt;=80,5,IF(P18+Q18&gt;=70,4,IF(P18+Q18&gt;=60,3.5,IF(P18+Q18&gt;=50,3,IF(P18+Q18&gt;=40,2,IF(P18+Q18&gt;=33,1,0)))))))</f>
        <v/>
      </c>
      <c r="AJ18">
        <f>IF(R18&lt;8.25,0,IF(R18*2&gt;=80,5,IF(R18*2&gt;=70,4,IF(R18*2&gt;=60,3.5,IF(R18*2&gt;=50,3,IF(R18*2&gt;=40,2,IF(R18*2&gt;=33,1,0)))))))</f>
        <v/>
      </c>
      <c r="AK18">
        <f>IF(S18&lt;33,0,IF(S18&gt;=80,5,IF(S18&gt;=70,4,IF(S18&gt;=60,3.5,IF(S18&gt;=50,3,IF(S18&gt;=40,2,IF(S18&gt;=33,1,0)))))))</f>
        <v/>
      </c>
      <c r="AL18">
        <f>(AC18+AD18+AE18+AF18+AG18+AH18+AI18+AJ18)/8</f>
        <v/>
      </c>
      <c r="AM18">
        <f>IF(AK18&gt;=2,(AK18-2)/8,0)</f>
        <v/>
      </c>
    </row>
    <row r="19">
      <c r="A19" t="n">
        <v>18</v>
      </c>
      <c r="B19" t="inlineStr">
        <is>
          <t>Nusrat Jahan</t>
        </is>
      </c>
      <c r="C19" s="3" t="n">
        <v>95</v>
      </c>
      <c r="D19" s="3" t="n">
        <v>95</v>
      </c>
      <c r="E19" s="2" t="n">
        <v>64</v>
      </c>
      <c r="F19" s="3" t="n">
        <v>86</v>
      </c>
      <c r="G19" s="2" t="n">
        <v>64</v>
      </c>
      <c r="H19" s="2" t="n">
        <v>63</v>
      </c>
      <c r="I19" s="2" t="n">
        <v>76</v>
      </c>
      <c r="J19" s="4" t="n">
        <v>28</v>
      </c>
      <c r="K19" s="4" t="n">
        <v>23</v>
      </c>
      <c r="L19" s="4" t="n">
        <v>17</v>
      </c>
      <c r="M19" s="2" t="n">
        <v>65</v>
      </c>
      <c r="N19" s="4" t="n">
        <v>21</v>
      </c>
      <c r="O19" s="4" t="n">
        <v>32</v>
      </c>
      <c r="P19" s="4" t="n">
        <v>13</v>
      </c>
      <c r="Q19" s="4" t="n">
        <v>29</v>
      </c>
      <c r="R19" t="n">
        <v>32</v>
      </c>
      <c r="S19" t="n">
        <v>65</v>
      </c>
      <c r="T19">
        <f>SUM(C19:R19)</f>
        <v/>
      </c>
      <c r="U19" s="6">
        <f>ROUND(T19/11.5,2)</f>
        <v/>
      </c>
      <c r="V19" s="7">
        <f>IF(B19="","",IF(AB19,0,ROUND(AL19,2)))</f>
        <v/>
      </c>
      <c r="W19" s="7">
        <f>IF(B19="","",IF(AB19,0,MIN(5,ROUND(AL19+AM19,2))))</f>
        <v/>
      </c>
      <c r="X19" s="8">
        <f>IF(B19="","",IF(W19&gt;=5,"A+",IF(W19&gt;=4,"A",IF(W19&gt;=3.5,"A-",IF(W19&gt;=3,"B",IF(W19&gt;=2,"C",IF(W19&gt;=1,"D","F")))))))</f>
        <v/>
      </c>
      <c r="Y19">
        <f>NOT(OR(AND(J19&gt;=10,K19&gt;=23,L19&gt;=10,M19&gt;=23),AND(J19+L19&gt;=20,K19+M19&gt;=46)))</f>
        <v/>
      </c>
      <c r="Z19">
        <f>OR(N19&lt;10,O19&lt;23)</f>
        <v/>
      </c>
      <c r="AA19">
        <f>OR(P19&lt;10,Q19&lt;23)</f>
        <v/>
      </c>
      <c r="AB19">
        <f>OR((C19+D19)&lt;66,(E19+F19)&lt;66,G19&lt;33,(H19+I19)&lt;66,Y19,Z19,AA19,R19&lt;8.25)</f>
        <v/>
      </c>
      <c r="AC19">
        <f>IF(C19+D19&lt;66,0,IF((C19+D19)/2&gt;=80,5,IF((C19+D19)/2&gt;=70,4,IF((C19+D19)/2&gt;=60,3.5,IF((C19+D19)/2&gt;=50,3,IF((C19+D19)/2&gt;=40,2,IF((C19+D19)/2&gt;=33,1,0)))))))</f>
        <v/>
      </c>
      <c r="AD19">
        <f>IF(E19+F19&lt;66,0,IF((E19+F19)/2&gt;=80,5,IF((E19+F19)/2&gt;=70,4,IF((E19+F19)/2&gt;=60,3.5,IF((E19+F19)/2&gt;=50,3,IF((E19+F19)/2&gt;=40,2,IF((E19+F19)/2&gt;=33,1,0)))))))</f>
        <v/>
      </c>
      <c r="AE19">
        <f>IF(G19&lt;33,0,IF(G19&gt;=80,5,IF(G19&gt;=70,4,IF(G19&gt;=60,3.5,IF(G19&gt;=50,3,IF(G19&gt;=40,2,IF(G19&gt;=33,1,0)))))))</f>
        <v/>
      </c>
      <c r="AF19">
        <f>IF(H19+I19&lt;66,0,IF((H19+I19)/2&gt;=80,5,IF((H19+I19)/2&gt;=70,4,IF((H19+I19)/2&gt;=60,3.5,IF((H19+I19)/2&gt;=50,3,IF((H19+I19)/2&gt;=40,2,IF((H19+I19)/2&gt;=33,1,0)))))))</f>
        <v/>
      </c>
      <c r="AG19">
        <f>IF(Y19,0,IF((J19+K19+L19+M19)/2&gt;=80,5,IF((J19+K19+L19+M19)/2&gt;=70,4,IF((J19+K19+L19+M19)/2&gt;=60,3.5,IF((J19+K19+L19+M19)/2&gt;=50,3,IF((J19+K19+L19+M19)/2&gt;=40,2,IF((J19+K19+L19+M19)/2&gt;=33,1,0)))))))</f>
        <v/>
      </c>
      <c r="AH19">
        <f>IF(Z19,0,IF(N19+O19&gt;=80,5,IF(N19+O19&gt;=70,4,IF(N19+O19&gt;=60,3.5,IF(N19+O19&gt;=50,3,IF(N19+O19&gt;=40,2,IF(N19+O19&gt;=33,1,0)))))))</f>
        <v/>
      </c>
      <c r="AI19">
        <f>IF(AA19,0,IF(P19+Q19&gt;=80,5,IF(P19+Q19&gt;=70,4,IF(P19+Q19&gt;=60,3.5,IF(P19+Q19&gt;=50,3,IF(P19+Q19&gt;=40,2,IF(P19+Q19&gt;=33,1,0)))))))</f>
        <v/>
      </c>
      <c r="AJ19">
        <f>IF(R19&lt;8.25,0,IF(R19*2&gt;=80,5,IF(R19*2&gt;=70,4,IF(R19*2&gt;=60,3.5,IF(R19*2&gt;=50,3,IF(R19*2&gt;=40,2,IF(R19*2&gt;=33,1,0)))))))</f>
        <v/>
      </c>
      <c r="AK19">
        <f>IF(S19&lt;33,0,IF(S19&gt;=80,5,IF(S19&gt;=70,4,IF(S19&gt;=60,3.5,IF(S19&gt;=50,3,IF(S19&gt;=40,2,IF(S19&gt;=33,1,0)))))))</f>
        <v/>
      </c>
      <c r="AL19">
        <f>(AC19+AD19+AE19+AF19+AG19+AH19+AI19+AJ19)/8</f>
        <v/>
      </c>
      <c r="AM19">
        <f>IF(AK19&gt;=2,(AK19-2)/8,0)</f>
        <v/>
      </c>
    </row>
    <row r="20">
      <c r="A20" t="n">
        <v>19</v>
      </c>
      <c r="B20" t="inlineStr">
        <is>
          <t>Arif Hossain</t>
        </is>
      </c>
      <c r="C20" s="2" t="n">
        <v>72</v>
      </c>
      <c r="D20" s="3" t="n">
        <v>89</v>
      </c>
      <c r="E20" s="2" t="n">
        <v>62</v>
      </c>
      <c r="F20" s="2" t="n">
        <v>73</v>
      </c>
      <c r="G20" s="2" t="n">
        <v>73</v>
      </c>
      <c r="H20" s="3" t="n">
        <v>87</v>
      </c>
      <c r="I20" s="2" t="n">
        <v>68</v>
      </c>
      <c r="J20" s="4" t="n">
        <v>17</v>
      </c>
      <c r="K20" s="4" t="n">
        <v>35</v>
      </c>
      <c r="L20" s="4" t="n">
        <v>20</v>
      </c>
      <c r="M20" s="2" t="n">
        <v>60</v>
      </c>
      <c r="N20" s="4" t="n">
        <v>14</v>
      </c>
      <c r="O20" s="4" t="n">
        <v>32</v>
      </c>
      <c r="P20" s="4" t="n">
        <v>21</v>
      </c>
      <c r="Q20" s="4" t="n">
        <v>32</v>
      </c>
      <c r="R20" t="n">
        <v>32</v>
      </c>
      <c r="S20" t="n">
        <v>66</v>
      </c>
      <c r="T20">
        <f>SUM(C20:R20)</f>
        <v/>
      </c>
      <c r="U20" s="6">
        <f>ROUND(T20/11.5,2)</f>
        <v/>
      </c>
      <c r="V20" s="7">
        <f>IF(B20="","",IF(AB20,0,ROUND(AL20,2)))</f>
        <v/>
      </c>
      <c r="W20" s="7">
        <f>IF(B20="","",IF(AB20,0,MIN(5,ROUND(AL20+AM20,2))))</f>
        <v/>
      </c>
      <c r="X20" s="8">
        <f>IF(B20="","",IF(W20&gt;=5,"A+",IF(W20&gt;=4,"A",IF(W20&gt;=3.5,"A-",IF(W20&gt;=3,"B",IF(W20&gt;=2,"C",IF(W20&gt;=1,"D","F")))))))</f>
        <v/>
      </c>
      <c r="Y20">
        <f>NOT(OR(AND(J20&gt;=10,K20&gt;=23,L20&gt;=10,M20&gt;=23),AND(J20+L20&gt;=20,K20+M20&gt;=46)))</f>
        <v/>
      </c>
      <c r="Z20">
        <f>OR(N20&lt;10,O20&lt;23)</f>
        <v/>
      </c>
      <c r="AA20">
        <f>OR(P20&lt;10,Q20&lt;23)</f>
        <v/>
      </c>
      <c r="AB20">
        <f>OR((C20+D20)&lt;66,(E20+F20)&lt;66,G20&lt;33,(H20+I20)&lt;66,Y20,Z20,AA20,R20&lt;8.25)</f>
        <v/>
      </c>
      <c r="AC20">
        <f>IF(C20+D20&lt;66,0,IF((C20+D20)/2&gt;=80,5,IF((C20+D20)/2&gt;=70,4,IF((C20+D20)/2&gt;=60,3.5,IF((C20+D20)/2&gt;=50,3,IF((C20+D20)/2&gt;=40,2,IF((C20+D20)/2&gt;=33,1,0)))))))</f>
        <v/>
      </c>
      <c r="AD20">
        <f>IF(E20+F20&lt;66,0,IF((E20+F20)/2&gt;=80,5,IF((E20+F20)/2&gt;=70,4,IF((E20+F20)/2&gt;=60,3.5,IF((E20+F20)/2&gt;=50,3,IF((E20+F20)/2&gt;=40,2,IF((E20+F20)/2&gt;=33,1,0)))))))</f>
        <v/>
      </c>
      <c r="AE20">
        <f>IF(G20&lt;33,0,IF(G20&gt;=80,5,IF(G20&gt;=70,4,IF(G20&gt;=60,3.5,IF(G20&gt;=50,3,IF(G20&gt;=40,2,IF(G20&gt;=33,1,0)))))))</f>
        <v/>
      </c>
      <c r="AF20">
        <f>IF(H20+I20&lt;66,0,IF((H20+I20)/2&gt;=80,5,IF((H20+I20)/2&gt;=70,4,IF((H20+I20)/2&gt;=60,3.5,IF((H20+I20)/2&gt;=50,3,IF((H20+I20)/2&gt;=40,2,IF((H20+I20)/2&gt;=33,1,0)))))))</f>
        <v/>
      </c>
      <c r="AG20">
        <f>IF(Y20,0,IF((J20+K20+L20+M20)/2&gt;=80,5,IF((J20+K20+L20+M20)/2&gt;=70,4,IF((J20+K20+L20+M20)/2&gt;=60,3.5,IF((J20+K20+L20+M20)/2&gt;=50,3,IF((J20+K20+L20+M20)/2&gt;=40,2,IF((J20+K20+L20+M20)/2&gt;=33,1,0)))))))</f>
        <v/>
      </c>
      <c r="AH20">
        <f>IF(Z20,0,IF(N20+O20&gt;=80,5,IF(N20+O20&gt;=70,4,IF(N20+O20&gt;=60,3.5,IF(N20+O20&gt;=50,3,IF(N20+O20&gt;=40,2,IF(N20+O20&gt;=33,1,0)))))))</f>
        <v/>
      </c>
      <c r="AI20">
        <f>IF(AA20,0,IF(P20+Q20&gt;=80,5,IF(P20+Q20&gt;=70,4,IF(P20+Q20&gt;=60,3.5,IF(P20+Q20&gt;=50,3,IF(P20+Q20&gt;=40,2,IF(P20+Q20&gt;=33,1,0)))))))</f>
        <v/>
      </c>
      <c r="AJ20">
        <f>IF(R20&lt;8.25,0,IF(R20*2&gt;=80,5,IF(R20*2&gt;=70,4,IF(R20*2&gt;=60,3.5,IF(R20*2&gt;=50,3,IF(R20*2&gt;=40,2,IF(R20*2&gt;=33,1,0)))))))</f>
        <v/>
      </c>
      <c r="AK20">
        <f>IF(S20&lt;33,0,IF(S20&gt;=80,5,IF(S20&gt;=70,4,IF(S20&gt;=60,3.5,IF(S20&gt;=50,3,IF(S20&gt;=40,2,IF(S20&gt;=33,1,0)))))))</f>
        <v/>
      </c>
      <c r="AL20">
        <f>(AC20+AD20+AE20+AF20+AG20+AH20+AI20+AJ20)/8</f>
        <v/>
      </c>
      <c r="AM20">
        <f>IF(AK20&gt;=2,(AK20-2)/8,0)</f>
        <v/>
      </c>
    </row>
    <row r="21">
      <c r="A21" t="n">
        <v>20</v>
      </c>
      <c r="B21" t="inlineStr">
        <is>
          <t>Tasnia Akter</t>
        </is>
      </c>
      <c r="C21" s="3" t="n">
        <v>94</v>
      </c>
      <c r="D21" s="2" t="n">
        <v>75</v>
      </c>
      <c r="E21" s="2" t="n">
        <v>74</v>
      </c>
      <c r="F21" s="3" t="n">
        <v>87</v>
      </c>
      <c r="G21" s="3" t="n">
        <v>80</v>
      </c>
      <c r="H21" s="3" t="n">
        <v>86</v>
      </c>
      <c r="I21" s="2" t="n">
        <v>77</v>
      </c>
      <c r="J21" s="4" t="n">
        <v>28</v>
      </c>
      <c r="K21" s="5" t="n">
        <v>56</v>
      </c>
      <c r="L21" s="4" t="n">
        <v>28</v>
      </c>
      <c r="M21" s="4" t="n">
        <v>23</v>
      </c>
      <c r="N21" s="4" t="n">
        <v>11</v>
      </c>
      <c r="O21" s="5" t="n">
        <v>54</v>
      </c>
      <c r="P21" s="4" t="n">
        <v>23</v>
      </c>
      <c r="Q21" s="4" t="n">
        <v>38</v>
      </c>
      <c r="R21" t="n">
        <v>37</v>
      </c>
      <c r="S21" t="n">
        <v>75</v>
      </c>
      <c r="T21">
        <f>SUM(C21:R21)</f>
        <v/>
      </c>
      <c r="U21" s="6">
        <f>ROUND(T21/11.5,2)</f>
        <v/>
      </c>
      <c r="V21" s="7">
        <f>IF(B21="","",IF(AB21,0,ROUND(AL21,2)))</f>
        <v/>
      </c>
      <c r="W21" s="7">
        <f>IF(B21="","",IF(AB21,0,MIN(5,ROUND(AL21+AM21,2))))</f>
        <v/>
      </c>
      <c r="X21" s="8">
        <f>IF(B21="","",IF(W21&gt;=5,"A+",IF(W21&gt;=4,"A",IF(W21&gt;=3.5,"A-",IF(W21&gt;=3,"B",IF(W21&gt;=2,"C",IF(W21&gt;=1,"D","F")))))))</f>
        <v/>
      </c>
      <c r="Y21">
        <f>NOT(OR(AND(J21&gt;=10,K21&gt;=23,L21&gt;=10,M21&gt;=23),AND(J21+L21&gt;=20,K21+M21&gt;=46)))</f>
        <v/>
      </c>
      <c r="Z21">
        <f>OR(N21&lt;10,O21&lt;23)</f>
        <v/>
      </c>
      <c r="AA21">
        <f>OR(P21&lt;10,Q21&lt;23)</f>
        <v/>
      </c>
      <c r="AB21">
        <f>OR((C21+D21)&lt;66,(E21+F21)&lt;66,G21&lt;33,(H21+I21)&lt;66,Y21,Z21,AA21,R21&lt;8.25)</f>
        <v/>
      </c>
      <c r="AC21">
        <f>IF(C21+D21&lt;66,0,IF((C21+D21)/2&gt;=80,5,IF((C21+D21)/2&gt;=70,4,IF((C21+D21)/2&gt;=60,3.5,IF((C21+D21)/2&gt;=50,3,IF((C21+D21)/2&gt;=40,2,IF((C21+D21)/2&gt;=33,1,0)))))))</f>
        <v/>
      </c>
      <c r="AD21">
        <f>IF(E21+F21&lt;66,0,IF((E21+F21)/2&gt;=80,5,IF((E21+F21)/2&gt;=70,4,IF((E21+F21)/2&gt;=60,3.5,IF((E21+F21)/2&gt;=50,3,IF((E21+F21)/2&gt;=40,2,IF((E21+F21)/2&gt;=33,1,0)))))))</f>
        <v/>
      </c>
      <c r="AE21">
        <f>IF(G21&lt;33,0,IF(G21&gt;=80,5,IF(G21&gt;=70,4,IF(G21&gt;=60,3.5,IF(G21&gt;=50,3,IF(G21&gt;=40,2,IF(G21&gt;=33,1,0)))))))</f>
        <v/>
      </c>
      <c r="AF21">
        <f>IF(H21+I21&lt;66,0,IF((H21+I21)/2&gt;=80,5,IF((H21+I21)/2&gt;=70,4,IF((H21+I21)/2&gt;=60,3.5,IF((H21+I21)/2&gt;=50,3,IF((H21+I21)/2&gt;=40,2,IF((H21+I21)/2&gt;=33,1,0)))))))</f>
        <v/>
      </c>
      <c r="AG21">
        <f>IF(Y21,0,IF((J21+K21+L21+M21)/2&gt;=80,5,IF((J21+K21+L21+M21)/2&gt;=70,4,IF((J21+K21+L21+M21)/2&gt;=60,3.5,IF((J21+K21+L21+M21)/2&gt;=50,3,IF((J21+K21+L21+M21)/2&gt;=40,2,IF((J21+K21+L21+M21)/2&gt;=33,1,0)))))))</f>
        <v/>
      </c>
      <c r="AH21">
        <f>IF(Z21,0,IF(N21+O21&gt;=80,5,IF(N21+O21&gt;=70,4,IF(N21+O21&gt;=60,3.5,IF(N21+O21&gt;=50,3,IF(N21+O21&gt;=40,2,IF(N21+O21&gt;=33,1,0)))))))</f>
        <v/>
      </c>
      <c r="AI21">
        <f>IF(AA21,0,IF(P21+Q21&gt;=80,5,IF(P21+Q21&gt;=70,4,IF(P21+Q21&gt;=60,3.5,IF(P21+Q21&gt;=50,3,IF(P21+Q21&gt;=40,2,IF(P21+Q21&gt;=33,1,0)))))))</f>
        <v/>
      </c>
      <c r="AJ21">
        <f>IF(R21&lt;8.25,0,IF(R21*2&gt;=80,5,IF(R21*2&gt;=70,4,IF(R21*2&gt;=60,3.5,IF(R21*2&gt;=50,3,IF(R21*2&gt;=40,2,IF(R21*2&gt;=33,1,0)))))))</f>
        <v/>
      </c>
      <c r="AK21">
        <f>IF(S21&lt;33,0,IF(S21&gt;=80,5,IF(S21&gt;=70,4,IF(S21&gt;=60,3.5,IF(S21&gt;=50,3,IF(S21&gt;=40,2,IF(S21&gt;=33,1,0)))))))</f>
        <v/>
      </c>
      <c r="AL21">
        <f>(AC21+AD21+AE21+AF21+AG21+AH21+AI21+AJ21)/8</f>
        <v/>
      </c>
      <c r="AM21">
        <f>IF(AK21&gt;=2,(AK21-2)/8,0)</f>
        <v/>
      </c>
    </row>
    <row r="22">
      <c r="T22">
        <f>SUM(C22:R22)</f>
        <v/>
      </c>
      <c r="U22" s="6">
        <f>ROUND(T22/11.5,2)</f>
        <v/>
      </c>
      <c r="V22" s="7">
        <f>IF(B22="","",IF(AB22,0,ROUND(AL22,2)))</f>
        <v/>
      </c>
      <c r="W22" s="7">
        <f>IF(B22="","",IF(AB22,0,MIN(5,ROUND(AL22+AM22,2))))</f>
        <v/>
      </c>
      <c r="X22" s="8">
        <f>IF(B22="","",IF(W22&gt;=5,"A+",IF(W22&gt;=4,"A",IF(W22&gt;=3.5,"A-",IF(W22&gt;=3,"B",IF(W22&gt;=2,"C",IF(W22&gt;=1,"D","F")))))))</f>
        <v/>
      </c>
      <c r="Y22">
        <f>NOT(OR(AND(J22&gt;=10,K22&gt;=23,L22&gt;=10,M22&gt;=23),AND(J22+L22&gt;=20,K22+M22&gt;=46)))</f>
        <v/>
      </c>
      <c r="Z22">
        <f>OR(N22&lt;10,O22&lt;23)</f>
        <v/>
      </c>
      <c r="AA22">
        <f>OR(P22&lt;10,Q22&lt;23)</f>
        <v/>
      </c>
      <c r="AB22">
        <f>OR((C22+D22)&lt;66,(E22+F22)&lt;66,G22&lt;33,(H22+I22)&lt;66,Y22,Z22,AA22,R22&lt;8.25)</f>
        <v/>
      </c>
      <c r="AC22">
        <f>IF(C22+D22&lt;66,0,IF((C22+D22)/2&gt;=80,5,IF((C22+D22)/2&gt;=70,4,IF((C22+D22)/2&gt;=60,3.5,IF((C22+D22)/2&gt;=50,3,IF((C22+D22)/2&gt;=40,2,IF((C22+D22)/2&gt;=33,1,0)))))))</f>
        <v/>
      </c>
      <c r="AD22">
        <f>IF(E22+F22&lt;66,0,IF((E22+F22)/2&gt;=80,5,IF((E22+F22)/2&gt;=70,4,IF((E22+F22)/2&gt;=60,3.5,IF((E22+F22)/2&gt;=50,3,IF((E22+F22)/2&gt;=40,2,IF((E22+F22)/2&gt;=33,1,0)))))))</f>
        <v/>
      </c>
      <c r="AE22">
        <f>IF(G22&lt;33,0,IF(G22&gt;=80,5,IF(G22&gt;=70,4,IF(G22&gt;=60,3.5,IF(G22&gt;=50,3,IF(G22&gt;=40,2,IF(G22&gt;=33,1,0)))))))</f>
        <v/>
      </c>
      <c r="AF22">
        <f>IF(H22+I22&lt;66,0,IF((H22+I22)/2&gt;=80,5,IF((H22+I22)/2&gt;=70,4,IF((H22+I22)/2&gt;=60,3.5,IF((H22+I22)/2&gt;=50,3,IF((H22+I22)/2&gt;=40,2,IF((H22+I22)/2&gt;=33,1,0)))))))</f>
        <v/>
      </c>
      <c r="AG22">
        <f>IF(Y22,0,IF((J22+K22+L22+M22)/2&gt;=80,5,IF((J22+K22+L22+M22)/2&gt;=70,4,IF((J22+K22+L22+M22)/2&gt;=60,3.5,IF((J22+K22+L22+M22)/2&gt;=50,3,IF((J22+K22+L22+M22)/2&gt;=40,2,IF((J22+K22+L22+M22)/2&gt;=33,1,0)))))))</f>
        <v/>
      </c>
      <c r="AH22">
        <f>IF(Z22,0,IF(N22+O22&gt;=80,5,IF(N22+O22&gt;=70,4,IF(N22+O22&gt;=60,3.5,IF(N22+O22&gt;=50,3,IF(N22+O22&gt;=40,2,IF(N22+O22&gt;=33,1,0)))))))</f>
        <v/>
      </c>
      <c r="AI22">
        <f>IF(AA22,0,IF(P22+Q22&gt;=80,5,IF(P22+Q22&gt;=70,4,IF(P22+Q22&gt;=60,3.5,IF(P22+Q22&gt;=50,3,IF(P22+Q22&gt;=40,2,IF(P22+Q22&gt;=33,1,0)))))))</f>
        <v/>
      </c>
      <c r="AJ22">
        <f>IF(R22&lt;8.25,0,IF(R22*2&gt;=80,5,IF(R22*2&gt;=70,4,IF(R22*2&gt;=60,3.5,IF(R22*2&gt;=50,3,IF(R22*2&gt;=40,2,IF(R22*2&gt;=33,1,0)))))))</f>
        <v/>
      </c>
      <c r="AK22">
        <f>IF(S22&lt;33,0,IF(S22&gt;=80,5,IF(S22&gt;=70,4,IF(S22&gt;=60,3.5,IF(S22&gt;=50,3,IF(S22&gt;=40,2,IF(S22&gt;=33,1,0)))))))</f>
        <v/>
      </c>
      <c r="AL22">
        <f>(AC22+AD22+AE22+AF22+AG22+AH22+AI22+AJ22)/8</f>
        <v/>
      </c>
      <c r="AM22">
        <f>IF(AK22&gt;=2,(AK22-2)/8,0)</f>
        <v/>
      </c>
    </row>
    <row r="23">
      <c r="T23">
        <f>SUM(C23:R23)</f>
        <v/>
      </c>
      <c r="U23" s="6">
        <f>ROUND(T23/11.5,2)</f>
        <v/>
      </c>
      <c r="V23" s="7">
        <f>IF(B23="","",IF(AB23,0,ROUND(AL23,2)))</f>
        <v/>
      </c>
      <c r="W23" s="7">
        <f>IF(B23="","",IF(AB23,0,MIN(5,ROUND(AL23+AM23,2))))</f>
        <v/>
      </c>
      <c r="X23" s="8">
        <f>IF(B23="","",IF(W23&gt;=5,"A+",IF(W23&gt;=4,"A",IF(W23&gt;=3.5,"A-",IF(W23&gt;=3,"B",IF(W23&gt;=2,"C",IF(W23&gt;=1,"D","F")))))))</f>
        <v/>
      </c>
      <c r="Y23">
        <f>NOT(OR(AND(J23&gt;=10,K23&gt;=23,L23&gt;=10,M23&gt;=23),AND(J23+L23&gt;=20,K23+M23&gt;=46)))</f>
        <v/>
      </c>
      <c r="Z23">
        <f>OR(N23&lt;10,O23&lt;23)</f>
        <v/>
      </c>
      <c r="AA23">
        <f>OR(P23&lt;10,Q23&lt;23)</f>
        <v/>
      </c>
      <c r="AB23">
        <f>OR((C23+D23)&lt;66,(E23+F23)&lt;66,G23&lt;33,(H23+I23)&lt;66,Y23,Z23,AA23,R23&lt;8.25)</f>
        <v/>
      </c>
      <c r="AC23">
        <f>IF(C23+D23&lt;66,0,IF((C23+D23)/2&gt;=80,5,IF((C23+D23)/2&gt;=70,4,IF((C23+D23)/2&gt;=60,3.5,IF((C23+D23)/2&gt;=50,3,IF((C23+D23)/2&gt;=40,2,IF((C23+D23)/2&gt;=33,1,0)))))))</f>
        <v/>
      </c>
      <c r="AD23">
        <f>IF(E23+F23&lt;66,0,IF((E23+F23)/2&gt;=80,5,IF((E23+F23)/2&gt;=70,4,IF((E23+F23)/2&gt;=60,3.5,IF((E23+F23)/2&gt;=50,3,IF((E23+F23)/2&gt;=40,2,IF((E23+F23)/2&gt;=33,1,0)))))))</f>
        <v/>
      </c>
      <c r="AE23">
        <f>IF(G23&lt;33,0,IF(G23&gt;=80,5,IF(G23&gt;=70,4,IF(G23&gt;=60,3.5,IF(G23&gt;=50,3,IF(G23&gt;=40,2,IF(G23&gt;=33,1,0)))))))</f>
        <v/>
      </c>
      <c r="AF23">
        <f>IF(H23+I23&lt;66,0,IF((H23+I23)/2&gt;=80,5,IF((H23+I23)/2&gt;=70,4,IF((H23+I23)/2&gt;=60,3.5,IF((H23+I23)/2&gt;=50,3,IF((H23+I23)/2&gt;=40,2,IF((H23+I23)/2&gt;=33,1,0)))))))</f>
        <v/>
      </c>
      <c r="AG23">
        <f>IF(Y23,0,IF((J23+K23+L23+M23)/2&gt;=80,5,IF((J23+K23+L23+M23)/2&gt;=70,4,IF((J23+K23+L23+M23)/2&gt;=60,3.5,IF((J23+K23+L23+M23)/2&gt;=50,3,IF((J23+K23+L23+M23)/2&gt;=40,2,IF((J23+K23+L23+M23)/2&gt;=33,1,0)))))))</f>
        <v/>
      </c>
      <c r="AH23">
        <f>IF(Z23,0,IF(N23+O23&gt;=80,5,IF(N23+O23&gt;=70,4,IF(N23+O23&gt;=60,3.5,IF(N23+O23&gt;=50,3,IF(N23+O23&gt;=40,2,IF(N23+O23&gt;=33,1,0)))))))</f>
        <v/>
      </c>
      <c r="AI23">
        <f>IF(AA23,0,IF(P23+Q23&gt;=80,5,IF(P23+Q23&gt;=70,4,IF(P23+Q23&gt;=60,3.5,IF(P23+Q23&gt;=50,3,IF(P23+Q23&gt;=40,2,IF(P23+Q23&gt;=33,1,0)))))))</f>
        <v/>
      </c>
      <c r="AJ23">
        <f>IF(R23&lt;8.25,0,IF(R23*2&gt;=80,5,IF(R23*2&gt;=70,4,IF(R23*2&gt;=60,3.5,IF(R23*2&gt;=50,3,IF(R23*2&gt;=40,2,IF(R23*2&gt;=33,1,0)))))))</f>
        <v/>
      </c>
      <c r="AK23">
        <f>IF(S23&lt;33,0,IF(S23&gt;=80,5,IF(S23&gt;=70,4,IF(S23&gt;=60,3.5,IF(S23&gt;=50,3,IF(S23&gt;=40,2,IF(S23&gt;=33,1,0)))))))</f>
        <v/>
      </c>
      <c r="AL23">
        <f>(AC23+AD23+AE23+AF23+AG23+AH23+AI23+AJ23)/8</f>
        <v/>
      </c>
      <c r="AM23">
        <f>IF(AK23&gt;=2,(AK23-2)/8,0)</f>
        <v/>
      </c>
    </row>
    <row r="24">
      <c r="T24">
        <f>SUM(C24:R24)</f>
        <v/>
      </c>
      <c r="U24" s="6">
        <f>ROUND(T24/11.5,2)</f>
        <v/>
      </c>
      <c r="V24" s="7">
        <f>IF(B24="","",IF(AB24,0,ROUND(AL24,2)))</f>
        <v/>
      </c>
      <c r="W24" s="7">
        <f>IF(B24="","",IF(AB24,0,MIN(5,ROUND(AL24+AM24,2))))</f>
        <v/>
      </c>
      <c r="X24" s="8">
        <f>IF(B24="","",IF(W24&gt;=5,"A+",IF(W24&gt;=4,"A",IF(W24&gt;=3.5,"A-",IF(W24&gt;=3,"B",IF(W24&gt;=2,"C",IF(W24&gt;=1,"D","F")))))))</f>
        <v/>
      </c>
      <c r="Y24">
        <f>NOT(OR(AND(J24&gt;=10,K24&gt;=23,L24&gt;=10,M24&gt;=23),AND(J24+L24&gt;=20,K24+M24&gt;=46)))</f>
        <v/>
      </c>
      <c r="Z24">
        <f>OR(N24&lt;10,O24&lt;23)</f>
        <v/>
      </c>
      <c r="AA24">
        <f>OR(P24&lt;10,Q24&lt;23)</f>
        <v/>
      </c>
      <c r="AB24">
        <f>OR((C24+D24)&lt;66,(E24+F24)&lt;66,G24&lt;33,(H24+I24)&lt;66,Y24,Z24,AA24,R24&lt;8.25)</f>
        <v/>
      </c>
      <c r="AC24">
        <f>IF(C24+D24&lt;66,0,IF((C24+D24)/2&gt;=80,5,IF((C24+D24)/2&gt;=70,4,IF((C24+D24)/2&gt;=60,3.5,IF((C24+D24)/2&gt;=50,3,IF((C24+D24)/2&gt;=40,2,IF((C24+D24)/2&gt;=33,1,0)))))))</f>
        <v/>
      </c>
      <c r="AD24">
        <f>IF(E24+F24&lt;66,0,IF((E24+F24)/2&gt;=80,5,IF((E24+F24)/2&gt;=70,4,IF((E24+F24)/2&gt;=60,3.5,IF((E24+F24)/2&gt;=50,3,IF((E24+F24)/2&gt;=40,2,IF((E24+F24)/2&gt;=33,1,0)))))))</f>
        <v/>
      </c>
      <c r="AE24">
        <f>IF(G24&lt;33,0,IF(G24&gt;=80,5,IF(G24&gt;=70,4,IF(G24&gt;=60,3.5,IF(G24&gt;=50,3,IF(G24&gt;=40,2,IF(G24&gt;=33,1,0)))))))</f>
        <v/>
      </c>
      <c r="AF24">
        <f>IF(H24+I24&lt;66,0,IF((H24+I24)/2&gt;=80,5,IF((H24+I24)/2&gt;=70,4,IF((H24+I24)/2&gt;=60,3.5,IF((H24+I24)/2&gt;=50,3,IF((H24+I24)/2&gt;=40,2,IF((H24+I24)/2&gt;=33,1,0)))))))</f>
        <v/>
      </c>
      <c r="AG24">
        <f>IF(Y24,0,IF((J24+K24+L24+M24)/2&gt;=80,5,IF((J24+K24+L24+M24)/2&gt;=70,4,IF((J24+K24+L24+M24)/2&gt;=60,3.5,IF((J24+K24+L24+M24)/2&gt;=50,3,IF((J24+K24+L24+M24)/2&gt;=40,2,IF((J24+K24+L24+M24)/2&gt;=33,1,0)))))))</f>
        <v/>
      </c>
      <c r="AH24">
        <f>IF(Z24,0,IF(N24+O24&gt;=80,5,IF(N24+O24&gt;=70,4,IF(N24+O24&gt;=60,3.5,IF(N24+O24&gt;=50,3,IF(N24+O24&gt;=40,2,IF(N24+O24&gt;=33,1,0)))))))</f>
        <v/>
      </c>
      <c r="AI24">
        <f>IF(AA24,0,IF(P24+Q24&gt;=80,5,IF(P24+Q24&gt;=70,4,IF(P24+Q24&gt;=60,3.5,IF(P24+Q24&gt;=50,3,IF(P24+Q24&gt;=40,2,IF(P24+Q24&gt;=33,1,0)))))))</f>
        <v/>
      </c>
      <c r="AJ24">
        <f>IF(R24&lt;8.25,0,IF(R24*2&gt;=80,5,IF(R24*2&gt;=70,4,IF(R24*2&gt;=60,3.5,IF(R24*2&gt;=50,3,IF(R24*2&gt;=40,2,IF(R24*2&gt;=33,1,0)))))))</f>
        <v/>
      </c>
      <c r="AK24">
        <f>IF(S24&lt;33,0,IF(S24&gt;=80,5,IF(S24&gt;=70,4,IF(S24&gt;=60,3.5,IF(S24&gt;=50,3,IF(S24&gt;=40,2,IF(S24&gt;=33,1,0)))))))</f>
        <v/>
      </c>
      <c r="AL24">
        <f>(AC24+AD24+AE24+AF24+AG24+AH24+AI24+AJ24)/8</f>
        <v/>
      </c>
      <c r="AM24">
        <f>IF(AK24&gt;=2,(AK24-2)/8,0)</f>
        <v/>
      </c>
    </row>
    <row r="25">
      <c r="T25">
        <f>SUM(C25:R25)</f>
        <v/>
      </c>
      <c r="U25" s="6">
        <f>ROUND(T25/11.5,2)</f>
        <v/>
      </c>
      <c r="V25" s="7">
        <f>IF(B25="","",IF(AB25,0,ROUND(AL25,2)))</f>
        <v/>
      </c>
      <c r="W25" s="7">
        <f>IF(B25="","",IF(AB25,0,MIN(5,ROUND(AL25+AM25,2))))</f>
        <v/>
      </c>
      <c r="X25" s="8">
        <f>IF(B25="","",IF(W25&gt;=5,"A+",IF(W25&gt;=4,"A",IF(W25&gt;=3.5,"A-",IF(W25&gt;=3,"B",IF(W25&gt;=2,"C",IF(W25&gt;=1,"D","F")))))))</f>
        <v/>
      </c>
      <c r="Y25">
        <f>NOT(OR(AND(J25&gt;=10,K25&gt;=23,L25&gt;=10,M25&gt;=23),AND(J25+L25&gt;=20,K25+M25&gt;=46)))</f>
        <v/>
      </c>
      <c r="Z25">
        <f>OR(N25&lt;10,O25&lt;23)</f>
        <v/>
      </c>
      <c r="AA25">
        <f>OR(P25&lt;10,Q25&lt;23)</f>
        <v/>
      </c>
      <c r="AB25">
        <f>OR((C25+D25)&lt;66,(E25+F25)&lt;66,G25&lt;33,(H25+I25)&lt;66,Y25,Z25,AA25,R25&lt;8.25)</f>
        <v/>
      </c>
      <c r="AC25">
        <f>IF(C25+D25&lt;66,0,IF((C25+D25)/2&gt;=80,5,IF((C25+D25)/2&gt;=70,4,IF((C25+D25)/2&gt;=60,3.5,IF((C25+D25)/2&gt;=50,3,IF((C25+D25)/2&gt;=40,2,IF((C25+D25)/2&gt;=33,1,0)))))))</f>
        <v/>
      </c>
      <c r="AD25">
        <f>IF(E25+F25&lt;66,0,IF((E25+F25)/2&gt;=80,5,IF((E25+F25)/2&gt;=70,4,IF((E25+F25)/2&gt;=60,3.5,IF((E25+F25)/2&gt;=50,3,IF((E25+F25)/2&gt;=40,2,IF((E25+F25)/2&gt;=33,1,0)))))))</f>
        <v/>
      </c>
      <c r="AE25">
        <f>IF(G25&lt;33,0,IF(G25&gt;=80,5,IF(G25&gt;=70,4,IF(G25&gt;=60,3.5,IF(G25&gt;=50,3,IF(G25&gt;=40,2,IF(G25&gt;=33,1,0)))))))</f>
        <v/>
      </c>
      <c r="AF25">
        <f>IF(H25+I25&lt;66,0,IF((H25+I25)/2&gt;=80,5,IF((H25+I25)/2&gt;=70,4,IF((H25+I25)/2&gt;=60,3.5,IF((H25+I25)/2&gt;=50,3,IF((H25+I25)/2&gt;=40,2,IF((H25+I25)/2&gt;=33,1,0)))))))</f>
        <v/>
      </c>
      <c r="AG25">
        <f>IF(Y25,0,IF((J25+K25+L25+M25)/2&gt;=80,5,IF((J25+K25+L25+M25)/2&gt;=70,4,IF((J25+K25+L25+M25)/2&gt;=60,3.5,IF((J25+K25+L25+M25)/2&gt;=50,3,IF((J25+K25+L25+M25)/2&gt;=40,2,IF((J25+K25+L25+M25)/2&gt;=33,1,0)))))))</f>
        <v/>
      </c>
      <c r="AH25">
        <f>IF(Z25,0,IF(N25+O25&gt;=80,5,IF(N25+O25&gt;=70,4,IF(N25+O25&gt;=60,3.5,IF(N25+O25&gt;=50,3,IF(N25+O25&gt;=40,2,IF(N25+O25&gt;=33,1,0)))))))</f>
        <v/>
      </c>
      <c r="AI25">
        <f>IF(AA25,0,IF(P25+Q25&gt;=80,5,IF(P25+Q25&gt;=70,4,IF(P25+Q25&gt;=60,3.5,IF(P25+Q25&gt;=50,3,IF(P25+Q25&gt;=40,2,IF(P25+Q25&gt;=33,1,0)))))))</f>
        <v/>
      </c>
      <c r="AJ25">
        <f>IF(R25&lt;8.25,0,IF(R25*2&gt;=80,5,IF(R25*2&gt;=70,4,IF(R25*2&gt;=60,3.5,IF(R25*2&gt;=50,3,IF(R25*2&gt;=40,2,IF(R25*2&gt;=33,1,0)))))))</f>
        <v/>
      </c>
      <c r="AK25">
        <f>IF(S25&lt;33,0,IF(S25&gt;=80,5,IF(S25&gt;=70,4,IF(S25&gt;=60,3.5,IF(S25&gt;=50,3,IF(S25&gt;=40,2,IF(S25&gt;=33,1,0)))))))</f>
        <v/>
      </c>
      <c r="AL25">
        <f>(AC25+AD25+AE25+AF25+AG25+AH25+AI25+AJ25)/8</f>
        <v/>
      </c>
      <c r="AM25">
        <f>IF(AK25&gt;=2,(AK25-2)/8,0)</f>
        <v/>
      </c>
    </row>
    <row r="26">
      <c r="T26">
        <f>SUM(C26:R26)</f>
        <v/>
      </c>
      <c r="U26" s="6">
        <f>ROUND(T26/11.5,2)</f>
        <v/>
      </c>
      <c r="V26" s="7">
        <f>IF(B26="","",IF(AB26,0,ROUND(AL26,2)))</f>
        <v/>
      </c>
      <c r="W26" s="7">
        <f>IF(B26="","",IF(AB26,0,MIN(5,ROUND(AL26+AM26,2))))</f>
        <v/>
      </c>
      <c r="X26" s="8">
        <f>IF(B26="","",IF(W26&gt;=5,"A+",IF(W26&gt;=4,"A",IF(W26&gt;=3.5,"A-",IF(W26&gt;=3,"B",IF(W26&gt;=2,"C",IF(W26&gt;=1,"D","F")))))))</f>
        <v/>
      </c>
      <c r="Y26">
        <f>NOT(OR(AND(J26&gt;=10,K26&gt;=23,L26&gt;=10,M26&gt;=23),AND(J26+L26&gt;=20,K26+M26&gt;=46)))</f>
        <v/>
      </c>
      <c r="Z26">
        <f>OR(N26&lt;10,O26&lt;23)</f>
        <v/>
      </c>
      <c r="AA26">
        <f>OR(P26&lt;10,Q26&lt;23)</f>
        <v/>
      </c>
      <c r="AB26">
        <f>OR((C26+D26)&lt;66,(E26+F26)&lt;66,G26&lt;33,(H26+I26)&lt;66,Y26,Z26,AA26,R26&lt;8.25)</f>
        <v/>
      </c>
      <c r="AC26">
        <f>IF(C26+D26&lt;66,0,IF((C26+D26)/2&gt;=80,5,IF((C26+D26)/2&gt;=70,4,IF((C26+D26)/2&gt;=60,3.5,IF((C26+D26)/2&gt;=50,3,IF((C26+D26)/2&gt;=40,2,IF((C26+D26)/2&gt;=33,1,0)))))))</f>
        <v/>
      </c>
      <c r="AD26">
        <f>IF(E26+F26&lt;66,0,IF((E26+F26)/2&gt;=80,5,IF((E26+F26)/2&gt;=70,4,IF((E26+F26)/2&gt;=60,3.5,IF((E26+F26)/2&gt;=50,3,IF((E26+F26)/2&gt;=40,2,IF((E26+F26)/2&gt;=33,1,0)))))))</f>
        <v/>
      </c>
      <c r="AE26">
        <f>IF(G26&lt;33,0,IF(G26&gt;=80,5,IF(G26&gt;=70,4,IF(G26&gt;=60,3.5,IF(G26&gt;=50,3,IF(G26&gt;=40,2,IF(G26&gt;=33,1,0)))))))</f>
        <v/>
      </c>
      <c r="AF26">
        <f>IF(H26+I26&lt;66,0,IF((H26+I26)/2&gt;=80,5,IF((H26+I26)/2&gt;=70,4,IF((H26+I26)/2&gt;=60,3.5,IF((H26+I26)/2&gt;=50,3,IF((H26+I26)/2&gt;=40,2,IF((H26+I26)/2&gt;=33,1,0)))))))</f>
        <v/>
      </c>
      <c r="AG26">
        <f>IF(Y26,0,IF((J26+K26+L26+M26)/2&gt;=80,5,IF((J26+K26+L26+M26)/2&gt;=70,4,IF((J26+K26+L26+M26)/2&gt;=60,3.5,IF((J26+K26+L26+M26)/2&gt;=50,3,IF((J26+K26+L26+M26)/2&gt;=40,2,IF((J26+K26+L26+M26)/2&gt;=33,1,0)))))))</f>
        <v/>
      </c>
      <c r="AH26">
        <f>IF(Z26,0,IF(N26+O26&gt;=80,5,IF(N26+O26&gt;=70,4,IF(N26+O26&gt;=60,3.5,IF(N26+O26&gt;=50,3,IF(N26+O26&gt;=40,2,IF(N26+O26&gt;=33,1,0)))))))</f>
        <v/>
      </c>
      <c r="AI26">
        <f>IF(AA26,0,IF(P26+Q26&gt;=80,5,IF(P26+Q26&gt;=70,4,IF(P26+Q26&gt;=60,3.5,IF(P26+Q26&gt;=50,3,IF(P26+Q26&gt;=40,2,IF(P26+Q26&gt;=33,1,0)))))))</f>
        <v/>
      </c>
      <c r="AJ26">
        <f>IF(R26&lt;8.25,0,IF(R26*2&gt;=80,5,IF(R26*2&gt;=70,4,IF(R26*2&gt;=60,3.5,IF(R26*2&gt;=50,3,IF(R26*2&gt;=40,2,IF(R26*2&gt;=33,1,0)))))))</f>
        <v/>
      </c>
      <c r="AK26">
        <f>IF(S26&lt;33,0,IF(S26&gt;=80,5,IF(S26&gt;=70,4,IF(S26&gt;=60,3.5,IF(S26&gt;=50,3,IF(S26&gt;=40,2,IF(S26&gt;=33,1,0)))))))</f>
        <v/>
      </c>
      <c r="AL26">
        <f>(AC26+AD26+AE26+AF26+AG26+AH26+AI26+AJ26)/8</f>
        <v/>
      </c>
      <c r="AM26">
        <f>IF(AK26&gt;=2,(AK26-2)/8,0)</f>
        <v/>
      </c>
    </row>
    <row r="27">
      <c r="T27">
        <f>SUM(C27:R27)</f>
        <v/>
      </c>
      <c r="U27" s="6">
        <f>ROUND(T27/11.5,2)</f>
        <v/>
      </c>
      <c r="V27" s="7">
        <f>IF(B27="","",IF(AB27,0,ROUND(AL27,2)))</f>
        <v/>
      </c>
      <c r="W27" s="7">
        <f>IF(B27="","",IF(AB27,0,MIN(5,ROUND(AL27+AM27,2))))</f>
        <v/>
      </c>
      <c r="X27" s="8">
        <f>IF(B27="","",IF(W27&gt;=5,"A+",IF(W27&gt;=4,"A",IF(W27&gt;=3.5,"A-",IF(W27&gt;=3,"B",IF(W27&gt;=2,"C",IF(W27&gt;=1,"D","F")))))))</f>
        <v/>
      </c>
      <c r="Y27">
        <f>NOT(OR(AND(J27&gt;=10,K27&gt;=23,L27&gt;=10,M27&gt;=23),AND(J27+L27&gt;=20,K27+M27&gt;=46)))</f>
        <v/>
      </c>
      <c r="Z27">
        <f>OR(N27&lt;10,O27&lt;23)</f>
        <v/>
      </c>
      <c r="AA27">
        <f>OR(P27&lt;10,Q27&lt;23)</f>
        <v/>
      </c>
      <c r="AB27">
        <f>OR((C27+D27)&lt;66,(E27+F27)&lt;66,G27&lt;33,(H27+I27)&lt;66,Y27,Z27,AA27,R27&lt;8.25)</f>
        <v/>
      </c>
      <c r="AC27">
        <f>IF(C27+D27&lt;66,0,IF((C27+D27)/2&gt;=80,5,IF((C27+D27)/2&gt;=70,4,IF((C27+D27)/2&gt;=60,3.5,IF((C27+D27)/2&gt;=50,3,IF((C27+D27)/2&gt;=40,2,IF((C27+D27)/2&gt;=33,1,0)))))))</f>
        <v/>
      </c>
      <c r="AD27">
        <f>IF(E27+F27&lt;66,0,IF((E27+F27)/2&gt;=80,5,IF((E27+F27)/2&gt;=70,4,IF((E27+F27)/2&gt;=60,3.5,IF((E27+F27)/2&gt;=50,3,IF((E27+F27)/2&gt;=40,2,IF((E27+F27)/2&gt;=33,1,0)))))))</f>
        <v/>
      </c>
      <c r="AE27">
        <f>IF(G27&lt;33,0,IF(G27&gt;=80,5,IF(G27&gt;=70,4,IF(G27&gt;=60,3.5,IF(G27&gt;=50,3,IF(G27&gt;=40,2,IF(G27&gt;=33,1,0)))))))</f>
        <v/>
      </c>
      <c r="AF27">
        <f>IF(H27+I27&lt;66,0,IF((H27+I27)/2&gt;=80,5,IF((H27+I27)/2&gt;=70,4,IF((H27+I27)/2&gt;=60,3.5,IF((H27+I27)/2&gt;=50,3,IF((H27+I27)/2&gt;=40,2,IF((H27+I27)/2&gt;=33,1,0)))))))</f>
        <v/>
      </c>
      <c r="AG27">
        <f>IF(Y27,0,IF((J27+K27+L27+M27)/2&gt;=80,5,IF((J27+K27+L27+M27)/2&gt;=70,4,IF((J27+K27+L27+M27)/2&gt;=60,3.5,IF((J27+K27+L27+M27)/2&gt;=50,3,IF((J27+K27+L27+M27)/2&gt;=40,2,IF((J27+K27+L27+M27)/2&gt;=33,1,0)))))))</f>
        <v/>
      </c>
      <c r="AH27">
        <f>IF(Z27,0,IF(N27+O27&gt;=80,5,IF(N27+O27&gt;=70,4,IF(N27+O27&gt;=60,3.5,IF(N27+O27&gt;=50,3,IF(N27+O27&gt;=40,2,IF(N27+O27&gt;=33,1,0)))))))</f>
        <v/>
      </c>
      <c r="AI27">
        <f>IF(AA27,0,IF(P27+Q27&gt;=80,5,IF(P27+Q27&gt;=70,4,IF(P27+Q27&gt;=60,3.5,IF(P27+Q27&gt;=50,3,IF(P27+Q27&gt;=40,2,IF(P27+Q27&gt;=33,1,0)))))))</f>
        <v/>
      </c>
      <c r="AJ27">
        <f>IF(R27&lt;8.25,0,IF(R27*2&gt;=80,5,IF(R27*2&gt;=70,4,IF(R27*2&gt;=60,3.5,IF(R27*2&gt;=50,3,IF(R27*2&gt;=40,2,IF(R27*2&gt;=33,1,0)))))))</f>
        <v/>
      </c>
      <c r="AK27">
        <f>IF(S27&lt;33,0,IF(S27&gt;=80,5,IF(S27&gt;=70,4,IF(S27&gt;=60,3.5,IF(S27&gt;=50,3,IF(S27&gt;=40,2,IF(S27&gt;=33,1,0)))))))</f>
        <v/>
      </c>
      <c r="AL27">
        <f>(AC27+AD27+AE27+AF27+AG27+AH27+AI27+AJ27)/8</f>
        <v/>
      </c>
      <c r="AM27">
        <f>IF(AK27&gt;=2,(AK27-2)/8,0)</f>
        <v/>
      </c>
    </row>
    <row r="28">
      <c r="T28">
        <f>SUM(C28:R28)</f>
        <v/>
      </c>
      <c r="U28" s="6">
        <f>ROUND(T28/11.5,2)</f>
        <v/>
      </c>
      <c r="V28" s="7">
        <f>IF(B28="","",IF(AB28,0,ROUND(AL28,2)))</f>
        <v/>
      </c>
      <c r="W28" s="7">
        <f>IF(B28="","",IF(AB28,0,MIN(5,ROUND(AL28+AM28,2))))</f>
        <v/>
      </c>
      <c r="X28" s="8">
        <f>IF(B28="","",IF(W28&gt;=5,"A+",IF(W28&gt;=4,"A",IF(W28&gt;=3.5,"A-",IF(W28&gt;=3,"B",IF(W28&gt;=2,"C",IF(W28&gt;=1,"D","F")))))))</f>
        <v/>
      </c>
      <c r="Y28">
        <f>NOT(OR(AND(J28&gt;=10,K28&gt;=23,L28&gt;=10,M28&gt;=23),AND(J28+L28&gt;=20,K28+M28&gt;=46)))</f>
        <v/>
      </c>
      <c r="Z28">
        <f>OR(N28&lt;10,O28&lt;23)</f>
        <v/>
      </c>
      <c r="AA28">
        <f>OR(P28&lt;10,Q28&lt;23)</f>
        <v/>
      </c>
      <c r="AB28">
        <f>OR((C28+D28)&lt;66,(E28+F28)&lt;66,G28&lt;33,(H28+I28)&lt;66,Y28,Z28,AA28,R28&lt;8.25)</f>
        <v/>
      </c>
      <c r="AC28">
        <f>IF(C28+D28&lt;66,0,IF((C28+D28)/2&gt;=80,5,IF((C28+D28)/2&gt;=70,4,IF((C28+D28)/2&gt;=60,3.5,IF((C28+D28)/2&gt;=50,3,IF((C28+D28)/2&gt;=40,2,IF((C28+D28)/2&gt;=33,1,0)))))))</f>
        <v/>
      </c>
      <c r="AD28">
        <f>IF(E28+F28&lt;66,0,IF((E28+F28)/2&gt;=80,5,IF((E28+F28)/2&gt;=70,4,IF((E28+F28)/2&gt;=60,3.5,IF((E28+F28)/2&gt;=50,3,IF((E28+F28)/2&gt;=40,2,IF((E28+F28)/2&gt;=33,1,0)))))))</f>
        <v/>
      </c>
      <c r="AE28">
        <f>IF(G28&lt;33,0,IF(G28&gt;=80,5,IF(G28&gt;=70,4,IF(G28&gt;=60,3.5,IF(G28&gt;=50,3,IF(G28&gt;=40,2,IF(G28&gt;=33,1,0)))))))</f>
        <v/>
      </c>
      <c r="AF28">
        <f>IF(H28+I28&lt;66,0,IF((H28+I28)/2&gt;=80,5,IF((H28+I28)/2&gt;=70,4,IF((H28+I28)/2&gt;=60,3.5,IF((H28+I28)/2&gt;=50,3,IF((H28+I28)/2&gt;=40,2,IF((H28+I28)/2&gt;=33,1,0)))))))</f>
        <v/>
      </c>
      <c r="AG28">
        <f>IF(Y28,0,IF((J28+K28+L28+M28)/2&gt;=80,5,IF((J28+K28+L28+M28)/2&gt;=70,4,IF((J28+K28+L28+M28)/2&gt;=60,3.5,IF((J28+K28+L28+M28)/2&gt;=50,3,IF((J28+K28+L28+M28)/2&gt;=40,2,IF((J28+K28+L28+M28)/2&gt;=33,1,0)))))))</f>
        <v/>
      </c>
      <c r="AH28">
        <f>IF(Z28,0,IF(N28+O28&gt;=80,5,IF(N28+O28&gt;=70,4,IF(N28+O28&gt;=60,3.5,IF(N28+O28&gt;=50,3,IF(N28+O28&gt;=40,2,IF(N28+O28&gt;=33,1,0)))))))</f>
        <v/>
      </c>
      <c r="AI28">
        <f>IF(AA28,0,IF(P28+Q28&gt;=80,5,IF(P28+Q28&gt;=70,4,IF(P28+Q28&gt;=60,3.5,IF(P28+Q28&gt;=50,3,IF(P28+Q28&gt;=40,2,IF(P28+Q28&gt;=33,1,0)))))))</f>
        <v/>
      </c>
      <c r="AJ28">
        <f>IF(R28&lt;8.25,0,IF(R28*2&gt;=80,5,IF(R28*2&gt;=70,4,IF(R28*2&gt;=60,3.5,IF(R28*2&gt;=50,3,IF(R28*2&gt;=40,2,IF(R28*2&gt;=33,1,0)))))))</f>
        <v/>
      </c>
      <c r="AK28">
        <f>IF(S28&lt;33,0,IF(S28&gt;=80,5,IF(S28&gt;=70,4,IF(S28&gt;=60,3.5,IF(S28&gt;=50,3,IF(S28&gt;=40,2,IF(S28&gt;=33,1,0)))))))</f>
        <v/>
      </c>
      <c r="AL28">
        <f>(AC28+AD28+AE28+AF28+AG28+AH28+AI28+AJ28)/8</f>
        <v/>
      </c>
      <c r="AM28">
        <f>IF(AK28&gt;=2,(AK28-2)/8,0)</f>
        <v/>
      </c>
    </row>
    <row r="29">
      <c r="T29">
        <f>SUM(C29:R29)</f>
        <v/>
      </c>
      <c r="U29" s="6">
        <f>ROUND(T29/11.5,2)</f>
        <v/>
      </c>
      <c r="V29" s="7">
        <f>IF(B29="","",IF(AB29,0,ROUND(AL29,2)))</f>
        <v/>
      </c>
      <c r="W29" s="7">
        <f>IF(B29="","",IF(AB29,0,MIN(5,ROUND(AL29+AM29,2))))</f>
        <v/>
      </c>
      <c r="X29" s="8">
        <f>IF(B29="","",IF(W29&gt;=5,"A+",IF(W29&gt;=4,"A",IF(W29&gt;=3.5,"A-",IF(W29&gt;=3,"B",IF(W29&gt;=2,"C",IF(W29&gt;=1,"D","F")))))))</f>
        <v/>
      </c>
      <c r="Y29">
        <f>NOT(OR(AND(J29&gt;=10,K29&gt;=23,L29&gt;=10,M29&gt;=23),AND(J29+L29&gt;=20,K29+M29&gt;=46)))</f>
        <v/>
      </c>
      <c r="Z29">
        <f>OR(N29&lt;10,O29&lt;23)</f>
        <v/>
      </c>
      <c r="AA29">
        <f>OR(P29&lt;10,Q29&lt;23)</f>
        <v/>
      </c>
      <c r="AB29">
        <f>OR((C29+D29)&lt;66,(E29+F29)&lt;66,G29&lt;33,(H29+I29)&lt;66,Y29,Z29,AA29,R29&lt;8.25)</f>
        <v/>
      </c>
      <c r="AC29">
        <f>IF(C29+D29&lt;66,0,IF((C29+D29)/2&gt;=80,5,IF((C29+D29)/2&gt;=70,4,IF((C29+D29)/2&gt;=60,3.5,IF((C29+D29)/2&gt;=50,3,IF((C29+D29)/2&gt;=40,2,IF((C29+D29)/2&gt;=33,1,0)))))))</f>
        <v/>
      </c>
      <c r="AD29">
        <f>IF(E29+F29&lt;66,0,IF((E29+F29)/2&gt;=80,5,IF((E29+F29)/2&gt;=70,4,IF((E29+F29)/2&gt;=60,3.5,IF((E29+F29)/2&gt;=50,3,IF((E29+F29)/2&gt;=40,2,IF((E29+F29)/2&gt;=33,1,0)))))))</f>
        <v/>
      </c>
      <c r="AE29">
        <f>IF(G29&lt;33,0,IF(G29&gt;=80,5,IF(G29&gt;=70,4,IF(G29&gt;=60,3.5,IF(G29&gt;=50,3,IF(G29&gt;=40,2,IF(G29&gt;=33,1,0)))))))</f>
        <v/>
      </c>
      <c r="AF29">
        <f>IF(H29+I29&lt;66,0,IF((H29+I29)/2&gt;=80,5,IF((H29+I29)/2&gt;=70,4,IF((H29+I29)/2&gt;=60,3.5,IF((H29+I29)/2&gt;=50,3,IF((H29+I29)/2&gt;=40,2,IF((H29+I29)/2&gt;=33,1,0)))))))</f>
        <v/>
      </c>
      <c r="AG29">
        <f>IF(Y29,0,IF((J29+K29+L29+M29)/2&gt;=80,5,IF((J29+K29+L29+M29)/2&gt;=70,4,IF((J29+K29+L29+M29)/2&gt;=60,3.5,IF((J29+K29+L29+M29)/2&gt;=50,3,IF((J29+K29+L29+M29)/2&gt;=40,2,IF((J29+K29+L29+M29)/2&gt;=33,1,0)))))))</f>
        <v/>
      </c>
      <c r="AH29">
        <f>IF(Z29,0,IF(N29+O29&gt;=80,5,IF(N29+O29&gt;=70,4,IF(N29+O29&gt;=60,3.5,IF(N29+O29&gt;=50,3,IF(N29+O29&gt;=40,2,IF(N29+O29&gt;=33,1,0)))))))</f>
        <v/>
      </c>
      <c r="AI29">
        <f>IF(AA29,0,IF(P29+Q29&gt;=80,5,IF(P29+Q29&gt;=70,4,IF(P29+Q29&gt;=60,3.5,IF(P29+Q29&gt;=50,3,IF(P29+Q29&gt;=40,2,IF(P29+Q29&gt;=33,1,0)))))))</f>
        <v/>
      </c>
      <c r="AJ29">
        <f>IF(R29&lt;8.25,0,IF(R29*2&gt;=80,5,IF(R29*2&gt;=70,4,IF(R29*2&gt;=60,3.5,IF(R29*2&gt;=50,3,IF(R29*2&gt;=40,2,IF(R29*2&gt;=33,1,0)))))))</f>
        <v/>
      </c>
      <c r="AK29">
        <f>IF(S29&lt;33,0,IF(S29&gt;=80,5,IF(S29&gt;=70,4,IF(S29&gt;=60,3.5,IF(S29&gt;=50,3,IF(S29&gt;=40,2,IF(S29&gt;=33,1,0)))))))</f>
        <v/>
      </c>
      <c r="AL29">
        <f>(AC29+AD29+AE29+AF29+AG29+AH29+AI29+AJ29)/8</f>
        <v/>
      </c>
      <c r="AM29">
        <f>IF(AK29&gt;=2,(AK29-2)/8,0)</f>
        <v/>
      </c>
    </row>
    <row r="30">
      <c r="T30">
        <f>SUM(C30:R30)</f>
        <v/>
      </c>
      <c r="U30" s="6">
        <f>ROUND(T30/11.5,2)</f>
        <v/>
      </c>
      <c r="V30" s="7">
        <f>IF(B30="","",IF(AB30,0,ROUND(AL30,2)))</f>
        <v/>
      </c>
      <c r="W30" s="7">
        <f>IF(B30="","",IF(AB30,0,MIN(5,ROUND(AL30+AM30,2))))</f>
        <v/>
      </c>
      <c r="X30" s="8">
        <f>IF(B30="","",IF(W30&gt;=5,"A+",IF(W30&gt;=4,"A",IF(W30&gt;=3.5,"A-",IF(W30&gt;=3,"B",IF(W30&gt;=2,"C",IF(W30&gt;=1,"D","F")))))))</f>
        <v/>
      </c>
      <c r="Y30">
        <f>NOT(OR(AND(J30&gt;=10,K30&gt;=23,L30&gt;=10,M30&gt;=23),AND(J30+L30&gt;=20,K30+M30&gt;=46)))</f>
        <v/>
      </c>
      <c r="Z30">
        <f>OR(N30&lt;10,O30&lt;23)</f>
        <v/>
      </c>
      <c r="AA30">
        <f>OR(P30&lt;10,Q30&lt;23)</f>
        <v/>
      </c>
      <c r="AB30">
        <f>OR((C30+D30)&lt;66,(E30+F30)&lt;66,G30&lt;33,(H30+I30)&lt;66,Y30,Z30,AA30,R30&lt;8.25)</f>
        <v/>
      </c>
      <c r="AC30">
        <f>IF(C30+D30&lt;66,0,IF((C30+D30)/2&gt;=80,5,IF((C30+D30)/2&gt;=70,4,IF((C30+D30)/2&gt;=60,3.5,IF((C30+D30)/2&gt;=50,3,IF((C30+D30)/2&gt;=40,2,IF((C30+D30)/2&gt;=33,1,0)))))))</f>
        <v/>
      </c>
      <c r="AD30">
        <f>IF(E30+F30&lt;66,0,IF((E30+F30)/2&gt;=80,5,IF((E30+F30)/2&gt;=70,4,IF((E30+F30)/2&gt;=60,3.5,IF((E30+F30)/2&gt;=50,3,IF((E30+F30)/2&gt;=40,2,IF((E30+F30)/2&gt;=33,1,0)))))))</f>
        <v/>
      </c>
      <c r="AE30">
        <f>IF(G30&lt;33,0,IF(G30&gt;=80,5,IF(G30&gt;=70,4,IF(G30&gt;=60,3.5,IF(G30&gt;=50,3,IF(G30&gt;=40,2,IF(G30&gt;=33,1,0)))))))</f>
        <v/>
      </c>
      <c r="AF30">
        <f>IF(H30+I30&lt;66,0,IF((H30+I30)/2&gt;=80,5,IF((H30+I30)/2&gt;=70,4,IF((H30+I30)/2&gt;=60,3.5,IF((H30+I30)/2&gt;=50,3,IF((H30+I30)/2&gt;=40,2,IF((H30+I30)/2&gt;=33,1,0)))))))</f>
        <v/>
      </c>
      <c r="AG30">
        <f>IF(Y30,0,IF((J30+K30+L30+M30)/2&gt;=80,5,IF((J30+K30+L30+M30)/2&gt;=70,4,IF((J30+K30+L30+M30)/2&gt;=60,3.5,IF((J30+K30+L30+M30)/2&gt;=50,3,IF((J30+K30+L30+M30)/2&gt;=40,2,IF((J30+K30+L30+M30)/2&gt;=33,1,0)))))))</f>
        <v/>
      </c>
      <c r="AH30">
        <f>IF(Z30,0,IF(N30+O30&gt;=80,5,IF(N30+O30&gt;=70,4,IF(N30+O30&gt;=60,3.5,IF(N30+O30&gt;=50,3,IF(N30+O30&gt;=40,2,IF(N30+O30&gt;=33,1,0)))))))</f>
        <v/>
      </c>
      <c r="AI30">
        <f>IF(AA30,0,IF(P30+Q30&gt;=80,5,IF(P30+Q30&gt;=70,4,IF(P30+Q30&gt;=60,3.5,IF(P30+Q30&gt;=50,3,IF(P30+Q30&gt;=40,2,IF(P30+Q30&gt;=33,1,0)))))))</f>
        <v/>
      </c>
      <c r="AJ30">
        <f>IF(R30&lt;8.25,0,IF(R30*2&gt;=80,5,IF(R30*2&gt;=70,4,IF(R30*2&gt;=60,3.5,IF(R30*2&gt;=50,3,IF(R30*2&gt;=40,2,IF(R30*2&gt;=33,1,0)))))))</f>
        <v/>
      </c>
      <c r="AK30">
        <f>IF(S30&lt;33,0,IF(S30&gt;=80,5,IF(S30&gt;=70,4,IF(S30&gt;=60,3.5,IF(S30&gt;=50,3,IF(S30&gt;=40,2,IF(S30&gt;=33,1,0)))))))</f>
        <v/>
      </c>
      <c r="AL30">
        <f>(AC30+AD30+AE30+AF30+AG30+AH30+AI30+AJ30)/8</f>
        <v/>
      </c>
      <c r="AM30">
        <f>IF(AK30&gt;=2,(AK30-2)/8,0)</f>
        <v/>
      </c>
    </row>
    <row r="31">
      <c r="T31">
        <f>SUM(C31:R31)</f>
        <v/>
      </c>
      <c r="U31" s="6">
        <f>ROUND(T31/11.5,2)</f>
        <v/>
      </c>
      <c r="V31" s="7">
        <f>IF(B31="","",IF(AB31,0,ROUND(AL31,2)))</f>
        <v/>
      </c>
      <c r="W31" s="7">
        <f>IF(B31="","",IF(AB31,0,MIN(5,ROUND(AL31+AM31,2))))</f>
        <v/>
      </c>
      <c r="X31" s="8">
        <f>IF(B31="","",IF(W31&gt;=5,"A+",IF(W31&gt;=4,"A",IF(W31&gt;=3.5,"A-",IF(W31&gt;=3,"B",IF(W31&gt;=2,"C",IF(W31&gt;=1,"D","F")))))))</f>
        <v/>
      </c>
      <c r="Y31">
        <f>NOT(OR(AND(J31&gt;=10,K31&gt;=23,L31&gt;=10,M31&gt;=23),AND(J31+L31&gt;=20,K31+M31&gt;=46)))</f>
        <v/>
      </c>
      <c r="Z31">
        <f>OR(N31&lt;10,O31&lt;23)</f>
        <v/>
      </c>
      <c r="AA31">
        <f>OR(P31&lt;10,Q31&lt;23)</f>
        <v/>
      </c>
      <c r="AB31">
        <f>OR((C31+D31)&lt;66,(E31+F31)&lt;66,G31&lt;33,(H31+I31)&lt;66,Y31,Z31,AA31,R31&lt;8.25)</f>
        <v/>
      </c>
      <c r="AC31">
        <f>IF(C31+D31&lt;66,0,IF((C31+D31)/2&gt;=80,5,IF((C31+D31)/2&gt;=70,4,IF((C31+D31)/2&gt;=60,3.5,IF((C31+D31)/2&gt;=50,3,IF((C31+D31)/2&gt;=40,2,IF((C31+D31)/2&gt;=33,1,0)))))))</f>
        <v/>
      </c>
      <c r="AD31">
        <f>IF(E31+F31&lt;66,0,IF((E31+F31)/2&gt;=80,5,IF((E31+F31)/2&gt;=70,4,IF((E31+F31)/2&gt;=60,3.5,IF((E31+F31)/2&gt;=50,3,IF((E31+F31)/2&gt;=40,2,IF((E31+F31)/2&gt;=33,1,0)))))))</f>
        <v/>
      </c>
      <c r="AE31">
        <f>IF(G31&lt;33,0,IF(G31&gt;=80,5,IF(G31&gt;=70,4,IF(G31&gt;=60,3.5,IF(G31&gt;=50,3,IF(G31&gt;=40,2,IF(G31&gt;=33,1,0)))))))</f>
        <v/>
      </c>
      <c r="AF31">
        <f>IF(H31+I31&lt;66,0,IF((H31+I31)/2&gt;=80,5,IF((H31+I31)/2&gt;=70,4,IF((H31+I31)/2&gt;=60,3.5,IF((H31+I31)/2&gt;=50,3,IF((H31+I31)/2&gt;=40,2,IF((H31+I31)/2&gt;=33,1,0)))))))</f>
        <v/>
      </c>
      <c r="AG31">
        <f>IF(Y31,0,IF((J31+K31+L31+M31)/2&gt;=80,5,IF((J31+K31+L31+M31)/2&gt;=70,4,IF((J31+K31+L31+M31)/2&gt;=60,3.5,IF((J31+K31+L31+M31)/2&gt;=50,3,IF((J31+K31+L31+M31)/2&gt;=40,2,IF((J31+K31+L31+M31)/2&gt;=33,1,0)))))))</f>
        <v/>
      </c>
      <c r="AH31">
        <f>IF(Z31,0,IF(N31+O31&gt;=80,5,IF(N31+O31&gt;=70,4,IF(N31+O31&gt;=60,3.5,IF(N31+O31&gt;=50,3,IF(N31+O31&gt;=40,2,IF(N31+O31&gt;=33,1,0)))))))</f>
        <v/>
      </c>
      <c r="AI31">
        <f>IF(AA31,0,IF(P31+Q31&gt;=80,5,IF(P31+Q31&gt;=70,4,IF(P31+Q31&gt;=60,3.5,IF(P31+Q31&gt;=50,3,IF(P31+Q31&gt;=40,2,IF(P31+Q31&gt;=33,1,0)))))))</f>
        <v/>
      </c>
      <c r="AJ31">
        <f>IF(R31&lt;8.25,0,IF(R31*2&gt;=80,5,IF(R31*2&gt;=70,4,IF(R31*2&gt;=60,3.5,IF(R31*2&gt;=50,3,IF(R31*2&gt;=40,2,IF(R31*2&gt;=33,1,0)))))))</f>
        <v/>
      </c>
      <c r="AK31">
        <f>IF(S31&lt;33,0,IF(S31&gt;=80,5,IF(S31&gt;=70,4,IF(S31&gt;=60,3.5,IF(S31&gt;=50,3,IF(S31&gt;=40,2,IF(S31&gt;=33,1,0)))))))</f>
        <v/>
      </c>
      <c r="AL31">
        <f>(AC31+AD31+AE31+AF31+AG31+AH31+AI31+AJ31)/8</f>
        <v/>
      </c>
      <c r="AM31">
        <f>IF(AK31&gt;=2,(AK31-2)/8,0)</f>
        <v/>
      </c>
    </row>
    <row r="32">
      <c r="T32">
        <f>SUM(C32:R32)</f>
        <v/>
      </c>
      <c r="U32" s="6">
        <f>ROUND(T32/11.5,2)</f>
        <v/>
      </c>
      <c r="V32" s="7">
        <f>IF(B32="","",IF(AB32,0,ROUND(AL32,2)))</f>
        <v/>
      </c>
      <c r="W32" s="7">
        <f>IF(B32="","",IF(AB32,0,MIN(5,ROUND(AL32+AM32,2))))</f>
        <v/>
      </c>
      <c r="X32" s="8">
        <f>IF(B32="","",IF(W32&gt;=5,"A+",IF(W32&gt;=4,"A",IF(W32&gt;=3.5,"A-",IF(W32&gt;=3,"B",IF(W32&gt;=2,"C",IF(W32&gt;=1,"D","F")))))))</f>
        <v/>
      </c>
      <c r="Y32">
        <f>NOT(OR(AND(J32&gt;=10,K32&gt;=23,L32&gt;=10,M32&gt;=23),AND(J32+L32&gt;=20,K32+M32&gt;=46)))</f>
        <v/>
      </c>
      <c r="Z32">
        <f>OR(N32&lt;10,O32&lt;23)</f>
        <v/>
      </c>
      <c r="AA32">
        <f>OR(P32&lt;10,Q32&lt;23)</f>
        <v/>
      </c>
      <c r="AB32">
        <f>OR((C32+D32)&lt;66,(E32+F32)&lt;66,G32&lt;33,(H32+I32)&lt;66,Y32,Z32,AA32,R32&lt;8.25)</f>
        <v/>
      </c>
      <c r="AC32">
        <f>IF(C32+D32&lt;66,0,IF((C32+D32)/2&gt;=80,5,IF((C32+D32)/2&gt;=70,4,IF((C32+D32)/2&gt;=60,3.5,IF((C32+D32)/2&gt;=50,3,IF((C32+D32)/2&gt;=40,2,IF((C32+D32)/2&gt;=33,1,0)))))))</f>
        <v/>
      </c>
      <c r="AD32">
        <f>IF(E32+F32&lt;66,0,IF((E32+F32)/2&gt;=80,5,IF((E32+F32)/2&gt;=70,4,IF((E32+F32)/2&gt;=60,3.5,IF((E32+F32)/2&gt;=50,3,IF((E32+F32)/2&gt;=40,2,IF((E32+F32)/2&gt;=33,1,0)))))))</f>
        <v/>
      </c>
      <c r="AE32">
        <f>IF(G32&lt;33,0,IF(G32&gt;=80,5,IF(G32&gt;=70,4,IF(G32&gt;=60,3.5,IF(G32&gt;=50,3,IF(G32&gt;=40,2,IF(G32&gt;=33,1,0)))))))</f>
        <v/>
      </c>
      <c r="AF32">
        <f>IF(H32+I32&lt;66,0,IF((H32+I32)/2&gt;=80,5,IF((H32+I32)/2&gt;=70,4,IF((H32+I32)/2&gt;=60,3.5,IF((H32+I32)/2&gt;=50,3,IF((H32+I32)/2&gt;=40,2,IF((H32+I32)/2&gt;=33,1,0)))))))</f>
        <v/>
      </c>
      <c r="AG32">
        <f>IF(Y32,0,IF((J32+K32+L32+M32)/2&gt;=80,5,IF((J32+K32+L32+M32)/2&gt;=70,4,IF((J32+K32+L32+M32)/2&gt;=60,3.5,IF((J32+K32+L32+M32)/2&gt;=50,3,IF((J32+K32+L32+M32)/2&gt;=40,2,IF((J32+K32+L32+M32)/2&gt;=33,1,0)))))))</f>
        <v/>
      </c>
      <c r="AH32">
        <f>IF(Z32,0,IF(N32+O32&gt;=80,5,IF(N32+O32&gt;=70,4,IF(N32+O32&gt;=60,3.5,IF(N32+O32&gt;=50,3,IF(N32+O32&gt;=40,2,IF(N32+O32&gt;=33,1,0)))))))</f>
        <v/>
      </c>
      <c r="AI32">
        <f>IF(AA32,0,IF(P32+Q32&gt;=80,5,IF(P32+Q32&gt;=70,4,IF(P32+Q32&gt;=60,3.5,IF(P32+Q32&gt;=50,3,IF(P32+Q32&gt;=40,2,IF(P32+Q32&gt;=33,1,0)))))))</f>
        <v/>
      </c>
      <c r="AJ32">
        <f>IF(R32&lt;8.25,0,IF(R32*2&gt;=80,5,IF(R32*2&gt;=70,4,IF(R32*2&gt;=60,3.5,IF(R32*2&gt;=50,3,IF(R32*2&gt;=40,2,IF(R32*2&gt;=33,1,0)))))))</f>
        <v/>
      </c>
      <c r="AK32">
        <f>IF(S32&lt;33,0,IF(S32&gt;=80,5,IF(S32&gt;=70,4,IF(S32&gt;=60,3.5,IF(S32&gt;=50,3,IF(S32&gt;=40,2,IF(S32&gt;=33,1,0)))))))</f>
        <v/>
      </c>
      <c r="AL32">
        <f>(AC32+AD32+AE32+AF32+AG32+AH32+AI32+AJ32)/8</f>
        <v/>
      </c>
      <c r="AM32">
        <f>IF(AK32&gt;=2,(AK32-2)/8,0)</f>
        <v/>
      </c>
    </row>
    <row r="33">
      <c r="T33">
        <f>SUM(C33:R33)</f>
        <v/>
      </c>
      <c r="U33" s="6">
        <f>ROUND(T33/11.5,2)</f>
        <v/>
      </c>
      <c r="V33" s="7">
        <f>IF(B33="","",IF(AB33,0,ROUND(AL33,2)))</f>
        <v/>
      </c>
      <c r="W33" s="7">
        <f>IF(B33="","",IF(AB33,0,MIN(5,ROUND(AL33+AM33,2))))</f>
        <v/>
      </c>
      <c r="X33" s="8">
        <f>IF(B33="","",IF(W33&gt;=5,"A+",IF(W33&gt;=4,"A",IF(W33&gt;=3.5,"A-",IF(W33&gt;=3,"B",IF(W33&gt;=2,"C",IF(W33&gt;=1,"D","F")))))))</f>
        <v/>
      </c>
      <c r="Y33">
        <f>NOT(OR(AND(J33&gt;=10,K33&gt;=23,L33&gt;=10,M33&gt;=23),AND(J33+L33&gt;=20,K33+M33&gt;=46)))</f>
        <v/>
      </c>
      <c r="Z33">
        <f>OR(N33&lt;10,O33&lt;23)</f>
        <v/>
      </c>
      <c r="AA33">
        <f>OR(P33&lt;10,Q33&lt;23)</f>
        <v/>
      </c>
      <c r="AB33">
        <f>OR((C33+D33)&lt;66,(E33+F33)&lt;66,G33&lt;33,(H33+I33)&lt;66,Y33,Z33,AA33,R33&lt;8.25)</f>
        <v/>
      </c>
      <c r="AC33">
        <f>IF(C33+D33&lt;66,0,IF((C33+D33)/2&gt;=80,5,IF((C33+D33)/2&gt;=70,4,IF((C33+D33)/2&gt;=60,3.5,IF((C33+D33)/2&gt;=50,3,IF((C33+D33)/2&gt;=40,2,IF((C33+D33)/2&gt;=33,1,0)))))))</f>
        <v/>
      </c>
      <c r="AD33">
        <f>IF(E33+F33&lt;66,0,IF((E33+F33)/2&gt;=80,5,IF((E33+F33)/2&gt;=70,4,IF((E33+F33)/2&gt;=60,3.5,IF((E33+F33)/2&gt;=50,3,IF((E33+F33)/2&gt;=40,2,IF((E33+F33)/2&gt;=33,1,0)))))))</f>
        <v/>
      </c>
      <c r="AE33">
        <f>IF(G33&lt;33,0,IF(G33&gt;=80,5,IF(G33&gt;=70,4,IF(G33&gt;=60,3.5,IF(G33&gt;=50,3,IF(G33&gt;=40,2,IF(G33&gt;=33,1,0)))))))</f>
        <v/>
      </c>
      <c r="AF33">
        <f>IF(H33+I33&lt;66,0,IF((H33+I33)/2&gt;=80,5,IF((H33+I33)/2&gt;=70,4,IF((H33+I33)/2&gt;=60,3.5,IF((H33+I33)/2&gt;=50,3,IF((H33+I33)/2&gt;=40,2,IF((H33+I33)/2&gt;=33,1,0)))))))</f>
        <v/>
      </c>
      <c r="AG33">
        <f>IF(Y33,0,IF((J33+K33+L33+M33)/2&gt;=80,5,IF((J33+K33+L33+M33)/2&gt;=70,4,IF((J33+K33+L33+M33)/2&gt;=60,3.5,IF((J33+K33+L33+M33)/2&gt;=50,3,IF((J33+K33+L33+M33)/2&gt;=40,2,IF((J33+K33+L33+M33)/2&gt;=33,1,0)))))))</f>
        <v/>
      </c>
      <c r="AH33">
        <f>IF(Z33,0,IF(N33+O33&gt;=80,5,IF(N33+O33&gt;=70,4,IF(N33+O33&gt;=60,3.5,IF(N33+O33&gt;=50,3,IF(N33+O33&gt;=40,2,IF(N33+O33&gt;=33,1,0)))))))</f>
        <v/>
      </c>
      <c r="AI33">
        <f>IF(AA33,0,IF(P33+Q33&gt;=80,5,IF(P33+Q33&gt;=70,4,IF(P33+Q33&gt;=60,3.5,IF(P33+Q33&gt;=50,3,IF(P33+Q33&gt;=40,2,IF(P33+Q33&gt;=33,1,0)))))))</f>
        <v/>
      </c>
      <c r="AJ33">
        <f>IF(R33&lt;8.25,0,IF(R33*2&gt;=80,5,IF(R33*2&gt;=70,4,IF(R33*2&gt;=60,3.5,IF(R33*2&gt;=50,3,IF(R33*2&gt;=40,2,IF(R33*2&gt;=33,1,0)))))))</f>
        <v/>
      </c>
      <c r="AK33">
        <f>IF(S33&lt;33,0,IF(S33&gt;=80,5,IF(S33&gt;=70,4,IF(S33&gt;=60,3.5,IF(S33&gt;=50,3,IF(S33&gt;=40,2,IF(S33&gt;=33,1,0)))))))</f>
        <v/>
      </c>
      <c r="AL33">
        <f>(AC33+AD33+AE33+AF33+AG33+AH33+AI33+AJ33)/8</f>
        <v/>
      </c>
      <c r="AM33">
        <f>IF(AK33&gt;=2,(AK33-2)/8,0)</f>
        <v/>
      </c>
    </row>
    <row r="34">
      <c r="T34">
        <f>SUM(C34:R34)</f>
        <v/>
      </c>
      <c r="U34" s="6">
        <f>ROUND(T34/11.5,2)</f>
        <v/>
      </c>
      <c r="V34" s="7">
        <f>IF(B34="","",IF(AB34,0,ROUND(AL34,2)))</f>
        <v/>
      </c>
      <c r="W34" s="7">
        <f>IF(B34="","",IF(AB34,0,MIN(5,ROUND(AL34+AM34,2))))</f>
        <v/>
      </c>
      <c r="X34" s="8">
        <f>IF(B34="","",IF(W34&gt;=5,"A+",IF(W34&gt;=4,"A",IF(W34&gt;=3.5,"A-",IF(W34&gt;=3,"B",IF(W34&gt;=2,"C",IF(W34&gt;=1,"D","F")))))))</f>
        <v/>
      </c>
      <c r="Y34">
        <f>NOT(OR(AND(J34&gt;=10,K34&gt;=23,L34&gt;=10,M34&gt;=23),AND(J34+L34&gt;=20,K34+M34&gt;=46)))</f>
        <v/>
      </c>
      <c r="Z34">
        <f>OR(N34&lt;10,O34&lt;23)</f>
        <v/>
      </c>
      <c r="AA34">
        <f>OR(P34&lt;10,Q34&lt;23)</f>
        <v/>
      </c>
      <c r="AB34">
        <f>OR((C34+D34)&lt;66,(E34+F34)&lt;66,G34&lt;33,(H34+I34)&lt;66,Y34,Z34,AA34,R34&lt;8.25)</f>
        <v/>
      </c>
      <c r="AC34">
        <f>IF(C34+D34&lt;66,0,IF((C34+D34)/2&gt;=80,5,IF((C34+D34)/2&gt;=70,4,IF((C34+D34)/2&gt;=60,3.5,IF((C34+D34)/2&gt;=50,3,IF((C34+D34)/2&gt;=40,2,IF((C34+D34)/2&gt;=33,1,0)))))))</f>
        <v/>
      </c>
      <c r="AD34">
        <f>IF(E34+F34&lt;66,0,IF((E34+F34)/2&gt;=80,5,IF((E34+F34)/2&gt;=70,4,IF((E34+F34)/2&gt;=60,3.5,IF((E34+F34)/2&gt;=50,3,IF((E34+F34)/2&gt;=40,2,IF((E34+F34)/2&gt;=33,1,0)))))))</f>
        <v/>
      </c>
      <c r="AE34">
        <f>IF(G34&lt;33,0,IF(G34&gt;=80,5,IF(G34&gt;=70,4,IF(G34&gt;=60,3.5,IF(G34&gt;=50,3,IF(G34&gt;=40,2,IF(G34&gt;=33,1,0)))))))</f>
        <v/>
      </c>
      <c r="AF34">
        <f>IF(H34+I34&lt;66,0,IF((H34+I34)/2&gt;=80,5,IF((H34+I34)/2&gt;=70,4,IF((H34+I34)/2&gt;=60,3.5,IF((H34+I34)/2&gt;=50,3,IF((H34+I34)/2&gt;=40,2,IF((H34+I34)/2&gt;=33,1,0)))))))</f>
        <v/>
      </c>
      <c r="AG34">
        <f>IF(Y34,0,IF((J34+K34+L34+M34)/2&gt;=80,5,IF((J34+K34+L34+M34)/2&gt;=70,4,IF((J34+K34+L34+M34)/2&gt;=60,3.5,IF((J34+K34+L34+M34)/2&gt;=50,3,IF((J34+K34+L34+M34)/2&gt;=40,2,IF((J34+K34+L34+M34)/2&gt;=33,1,0)))))))</f>
        <v/>
      </c>
      <c r="AH34">
        <f>IF(Z34,0,IF(N34+O34&gt;=80,5,IF(N34+O34&gt;=70,4,IF(N34+O34&gt;=60,3.5,IF(N34+O34&gt;=50,3,IF(N34+O34&gt;=40,2,IF(N34+O34&gt;=33,1,0)))))))</f>
        <v/>
      </c>
      <c r="AI34">
        <f>IF(AA34,0,IF(P34+Q34&gt;=80,5,IF(P34+Q34&gt;=70,4,IF(P34+Q34&gt;=60,3.5,IF(P34+Q34&gt;=50,3,IF(P34+Q34&gt;=40,2,IF(P34+Q34&gt;=33,1,0)))))))</f>
        <v/>
      </c>
      <c r="AJ34">
        <f>IF(R34&lt;8.25,0,IF(R34*2&gt;=80,5,IF(R34*2&gt;=70,4,IF(R34*2&gt;=60,3.5,IF(R34*2&gt;=50,3,IF(R34*2&gt;=40,2,IF(R34*2&gt;=33,1,0)))))))</f>
        <v/>
      </c>
      <c r="AK34">
        <f>IF(S34&lt;33,0,IF(S34&gt;=80,5,IF(S34&gt;=70,4,IF(S34&gt;=60,3.5,IF(S34&gt;=50,3,IF(S34&gt;=40,2,IF(S34&gt;=33,1,0)))))))</f>
        <v/>
      </c>
      <c r="AL34">
        <f>(AC34+AD34+AE34+AF34+AG34+AH34+AI34+AJ34)/8</f>
        <v/>
      </c>
      <c r="AM34">
        <f>IF(AK34&gt;=2,(AK34-2)/8,0)</f>
        <v/>
      </c>
    </row>
    <row r="35">
      <c r="T35">
        <f>SUM(C35:R35)</f>
        <v/>
      </c>
      <c r="U35" s="6">
        <f>ROUND(T35/11.5,2)</f>
        <v/>
      </c>
      <c r="V35" s="7">
        <f>IF(B35="","",IF(AB35,0,ROUND(AL35,2)))</f>
        <v/>
      </c>
      <c r="W35" s="7">
        <f>IF(B35="","",IF(AB35,0,MIN(5,ROUND(AL35+AM35,2))))</f>
        <v/>
      </c>
      <c r="X35" s="8">
        <f>IF(B35="","",IF(W35&gt;=5,"A+",IF(W35&gt;=4,"A",IF(W35&gt;=3.5,"A-",IF(W35&gt;=3,"B",IF(W35&gt;=2,"C",IF(W35&gt;=1,"D","F")))))))</f>
        <v/>
      </c>
      <c r="Y35">
        <f>NOT(OR(AND(J35&gt;=10,K35&gt;=23,L35&gt;=10,M35&gt;=23),AND(J35+L35&gt;=20,K35+M35&gt;=46)))</f>
        <v/>
      </c>
      <c r="Z35">
        <f>OR(N35&lt;10,O35&lt;23)</f>
        <v/>
      </c>
      <c r="AA35">
        <f>OR(P35&lt;10,Q35&lt;23)</f>
        <v/>
      </c>
      <c r="AB35">
        <f>OR((C35+D35)&lt;66,(E35+F35)&lt;66,G35&lt;33,(H35+I35)&lt;66,Y35,Z35,AA35,R35&lt;8.25)</f>
        <v/>
      </c>
      <c r="AC35">
        <f>IF(C35+D35&lt;66,0,IF((C35+D35)/2&gt;=80,5,IF((C35+D35)/2&gt;=70,4,IF((C35+D35)/2&gt;=60,3.5,IF((C35+D35)/2&gt;=50,3,IF((C35+D35)/2&gt;=40,2,IF((C35+D35)/2&gt;=33,1,0)))))))</f>
        <v/>
      </c>
      <c r="AD35">
        <f>IF(E35+F35&lt;66,0,IF((E35+F35)/2&gt;=80,5,IF((E35+F35)/2&gt;=70,4,IF((E35+F35)/2&gt;=60,3.5,IF((E35+F35)/2&gt;=50,3,IF((E35+F35)/2&gt;=40,2,IF((E35+F35)/2&gt;=33,1,0)))))))</f>
        <v/>
      </c>
      <c r="AE35">
        <f>IF(G35&lt;33,0,IF(G35&gt;=80,5,IF(G35&gt;=70,4,IF(G35&gt;=60,3.5,IF(G35&gt;=50,3,IF(G35&gt;=40,2,IF(G35&gt;=33,1,0)))))))</f>
        <v/>
      </c>
      <c r="AF35">
        <f>IF(H35+I35&lt;66,0,IF((H35+I35)/2&gt;=80,5,IF((H35+I35)/2&gt;=70,4,IF((H35+I35)/2&gt;=60,3.5,IF((H35+I35)/2&gt;=50,3,IF((H35+I35)/2&gt;=40,2,IF((H35+I35)/2&gt;=33,1,0)))))))</f>
        <v/>
      </c>
      <c r="AG35">
        <f>IF(Y35,0,IF((J35+K35+L35+M35)/2&gt;=80,5,IF((J35+K35+L35+M35)/2&gt;=70,4,IF((J35+K35+L35+M35)/2&gt;=60,3.5,IF((J35+K35+L35+M35)/2&gt;=50,3,IF((J35+K35+L35+M35)/2&gt;=40,2,IF((J35+K35+L35+M35)/2&gt;=33,1,0)))))))</f>
        <v/>
      </c>
      <c r="AH35">
        <f>IF(Z35,0,IF(N35+O35&gt;=80,5,IF(N35+O35&gt;=70,4,IF(N35+O35&gt;=60,3.5,IF(N35+O35&gt;=50,3,IF(N35+O35&gt;=40,2,IF(N35+O35&gt;=33,1,0)))))))</f>
        <v/>
      </c>
      <c r="AI35">
        <f>IF(AA35,0,IF(P35+Q35&gt;=80,5,IF(P35+Q35&gt;=70,4,IF(P35+Q35&gt;=60,3.5,IF(P35+Q35&gt;=50,3,IF(P35+Q35&gt;=40,2,IF(P35+Q35&gt;=33,1,0)))))))</f>
        <v/>
      </c>
      <c r="AJ35">
        <f>IF(R35&lt;8.25,0,IF(R35*2&gt;=80,5,IF(R35*2&gt;=70,4,IF(R35*2&gt;=60,3.5,IF(R35*2&gt;=50,3,IF(R35*2&gt;=40,2,IF(R35*2&gt;=33,1,0)))))))</f>
        <v/>
      </c>
      <c r="AK35">
        <f>IF(S35&lt;33,0,IF(S35&gt;=80,5,IF(S35&gt;=70,4,IF(S35&gt;=60,3.5,IF(S35&gt;=50,3,IF(S35&gt;=40,2,IF(S35&gt;=33,1,0)))))))</f>
        <v/>
      </c>
      <c r="AL35">
        <f>(AC35+AD35+AE35+AF35+AG35+AH35+AI35+AJ35)/8</f>
        <v/>
      </c>
      <c r="AM35">
        <f>IF(AK35&gt;=2,(AK35-2)/8,0)</f>
        <v/>
      </c>
    </row>
    <row r="36">
      <c r="T36">
        <f>SUM(C36:R36)</f>
        <v/>
      </c>
      <c r="U36" s="6">
        <f>ROUND(T36/11.5,2)</f>
        <v/>
      </c>
      <c r="V36" s="7">
        <f>IF(B36="","",IF(AB36,0,ROUND(AL36,2)))</f>
        <v/>
      </c>
      <c r="W36" s="7">
        <f>IF(B36="","",IF(AB36,0,MIN(5,ROUND(AL36+AM36,2))))</f>
        <v/>
      </c>
      <c r="X36" s="8">
        <f>IF(B36="","",IF(W36&gt;=5,"A+",IF(W36&gt;=4,"A",IF(W36&gt;=3.5,"A-",IF(W36&gt;=3,"B",IF(W36&gt;=2,"C",IF(W36&gt;=1,"D","F")))))))</f>
        <v/>
      </c>
      <c r="Y36">
        <f>NOT(OR(AND(J36&gt;=10,K36&gt;=23,L36&gt;=10,M36&gt;=23),AND(J36+L36&gt;=20,K36+M36&gt;=46)))</f>
        <v/>
      </c>
      <c r="Z36">
        <f>OR(N36&lt;10,O36&lt;23)</f>
        <v/>
      </c>
      <c r="AA36">
        <f>OR(P36&lt;10,Q36&lt;23)</f>
        <v/>
      </c>
      <c r="AB36">
        <f>OR((C36+D36)&lt;66,(E36+F36)&lt;66,G36&lt;33,(H36+I36)&lt;66,Y36,Z36,AA36,R36&lt;8.25)</f>
        <v/>
      </c>
      <c r="AC36">
        <f>IF(C36+D36&lt;66,0,IF((C36+D36)/2&gt;=80,5,IF((C36+D36)/2&gt;=70,4,IF((C36+D36)/2&gt;=60,3.5,IF((C36+D36)/2&gt;=50,3,IF((C36+D36)/2&gt;=40,2,IF((C36+D36)/2&gt;=33,1,0)))))))</f>
        <v/>
      </c>
      <c r="AD36">
        <f>IF(E36+F36&lt;66,0,IF((E36+F36)/2&gt;=80,5,IF((E36+F36)/2&gt;=70,4,IF((E36+F36)/2&gt;=60,3.5,IF((E36+F36)/2&gt;=50,3,IF((E36+F36)/2&gt;=40,2,IF((E36+F36)/2&gt;=33,1,0)))))))</f>
        <v/>
      </c>
      <c r="AE36">
        <f>IF(G36&lt;33,0,IF(G36&gt;=80,5,IF(G36&gt;=70,4,IF(G36&gt;=60,3.5,IF(G36&gt;=50,3,IF(G36&gt;=40,2,IF(G36&gt;=33,1,0)))))))</f>
        <v/>
      </c>
      <c r="AF36">
        <f>IF(H36+I36&lt;66,0,IF((H36+I36)/2&gt;=80,5,IF((H36+I36)/2&gt;=70,4,IF((H36+I36)/2&gt;=60,3.5,IF((H36+I36)/2&gt;=50,3,IF((H36+I36)/2&gt;=40,2,IF((H36+I36)/2&gt;=33,1,0)))))))</f>
        <v/>
      </c>
      <c r="AG36">
        <f>IF(Y36,0,IF((J36+K36+L36+M36)/2&gt;=80,5,IF((J36+K36+L36+M36)/2&gt;=70,4,IF((J36+K36+L36+M36)/2&gt;=60,3.5,IF((J36+K36+L36+M36)/2&gt;=50,3,IF((J36+K36+L36+M36)/2&gt;=40,2,IF((J36+K36+L36+M36)/2&gt;=33,1,0)))))))</f>
        <v/>
      </c>
      <c r="AH36">
        <f>IF(Z36,0,IF(N36+O36&gt;=80,5,IF(N36+O36&gt;=70,4,IF(N36+O36&gt;=60,3.5,IF(N36+O36&gt;=50,3,IF(N36+O36&gt;=40,2,IF(N36+O36&gt;=33,1,0)))))))</f>
        <v/>
      </c>
      <c r="AI36">
        <f>IF(AA36,0,IF(P36+Q36&gt;=80,5,IF(P36+Q36&gt;=70,4,IF(P36+Q36&gt;=60,3.5,IF(P36+Q36&gt;=50,3,IF(P36+Q36&gt;=40,2,IF(P36+Q36&gt;=33,1,0)))))))</f>
        <v/>
      </c>
      <c r="AJ36">
        <f>IF(R36&lt;8.25,0,IF(R36*2&gt;=80,5,IF(R36*2&gt;=70,4,IF(R36*2&gt;=60,3.5,IF(R36*2&gt;=50,3,IF(R36*2&gt;=40,2,IF(R36*2&gt;=33,1,0)))))))</f>
        <v/>
      </c>
      <c r="AK36">
        <f>IF(S36&lt;33,0,IF(S36&gt;=80,5,IF(S36&gt;=70,4,IF(S36&gt;=60,3.5,IF(S36&gt;=50,3,IF(S36&gt;=40,2,IF(S36&gt;=33,1,0)))))))</f>
        <v/>
      </c>
      <c r="AL36">
        <f>(AC36+AD36+AE36+AF36+AG36+AH36+AI36+AJ36)/8</f>
        <v/>
      </c>
      <c r="AM36">
        <f>IF(AK36&gt;=2,(AK36-2)/8,0)</f>
        <v/>
      </c>
    </row>
    <row r="37">
      <c r="T37">
        <f>SUM(C37:R37)</f>
        <v/>
      </c>
      <c r="U37" s="6">
        <f>ROUND(T37/11.5,2)</f>
        <v/>
      </c>
      <c r="V37" s="7">
        <f>IF(B37="","",IF(AB37,0,ROUND(AL37,2)))</f>
        <v/>
      </c>
      <c r="W37" s="7">
        <f>IF(B37="","",IF(AB37,0,MIN(5,ROUND(AL37+AM37,2))))</f>
        <v/>
      </c>
      <c r="X37" s="8">
        <f>IF(B37="","",IF(W37&gt;=5,"A+",IF(W37&gt;=4,"A",IF(W37&gt;=3.5,"A-",IF(W37&gt;=3,"B",IF(W37&gt;=2,"C",IF(W37&gt;=1,"D","F")))))))</f>
        <v/>
      </c>
      <c r="Y37">
        <f>NOT(OR(AND(J37&gt;=10,K37&gt;=23,L37&gt;=10,M37&gt;=23),AND(J37+L37&gt;=20,K37+M37&gt;=46)))</f>
        <v/>
      </c>
      <c r="Z37">
        <f>OR(N37&lt;10,O37&lt;23)</f>
        <v/>
      </c>
      <c r="AA37">
        <f>OR(P37&lt;10,Q37&lt;23)</f>
        <v/>
      </c>
      <c r="AB37">
        <f>OR((C37+D37)&lt;66,(E37+F37)&lt;66,G37&lt;33,(H37+I37)&lt;66,Y37,Z37,AA37,R37&lt;8.25)</f>
        <v/>
      </c>
      <c r="AC37">
        <f>IF(C37+D37&lt;66,0,IF((C37+D37)/2&gt;=80,5,IF((C37+D37)/2&gt;=70,4,IF((C37+D37)/2&gt;=60,3.5,IF((C37+D37)/2&gt;=50,3,IF((C37+D37)/2&gt;=40,2,IF((C37+D37)/2&gt;=33,1,0)))))))</f>
        <v/>
      </c>
      <c r="AD37">
        <f>IF(E37+F37&lt;66,0,IF((E37+F37)/2&gt;=80,5,IF((E37+F37)/2&gt;=70,4,IF((E37+F37)/2&gt;=60,3.5,IF((E37+F37)/2&gt;=50,3,IF((E37+F37)/2&gt;=40,2,IF((E37+F37)/2&gt;=33,1,0)))))))</f>
        <v/>
      </c>
      <c r="AE37">
        <f>IF(G37&lt;33,0,IF(G37&gt;=80,5,IF(G37&gt;=70,4,IF(G37&gt;=60,3.5,IF(G37&gt;=50,3,IF(G37&gt;=40,2,IF(G37&gt;=33,1,0)))))))</f>
        <v/>
      </c>
      <c r="AF37">
        <f>IF(H37+I37&lt;66,0,IF((H37+I37)/2&gt;=80,5,IF((H37+I37)/2&gt;=70,4,IF((H37+I37)/2&gt;=60,3.5,IF((H37+I37)/2&gt;=50,3,IF((H37+I37)/2&gt;=40,2,IF((H37+I37)/2&gt;=33,1,0)))))))</f>
        <v/>
      </c>
      <c r="AG37">
        <f>IF(Y37,0,IF((J37+K37+L37+M37)/2&gt;=80,5,IF((J37+K37+L37+M37)/2&gt;=70,4,IF((J37+K37+L37+M37)/2&gt;=60,3.5,IF((J37+K37+L37+M37)/2&gt;=50,3,IF((J37+K37+L37+M37)/2&gt;=40,2,IF((J37+K37+L37+M37)/2&gt;=33,1,0)))))))</f>
        <v/>
      </c>
      <c r="AH37">
        <f>IF(Z37,0,IF(N37+O37&gt;=80,5,IF(N37+O37&gt;=70,4,IF(N37+O37&gt;=60,3.5,IF(N37+O37&gt;=50,3,IF(N37+O37&gt;=40,2,IF(N37+O37&gt;=33,1,0)))))))</f>
        <v/>
      </c>
      <c r="AI37">
        <f>IF(AA37,0,IF(P37+Q37&gt;=80,5,IF(P37+Q37&gt;=70,4,IF(P37+Q37&gt;=60,3.5,IF(P37+Q37&gt;=50,3,IF(P37+Q37&gt;=40,2,IF(P37+Q37&gt;=33,1,0)))))))</f>
        <v/>
      </c>
      <c r="AJ37">
        <f>IF(R37&lt;8.25,0,IF(R37*2&gt;=80,5,IF(R37*2&gt;=70,4,IF(R37*2&gt;=60,3.5,IF(R37*2&gt;=50,3,IF(R37*2&gt;=40,2,IF(R37*2&gt;=33,1,0)))))))</f>
        <v/>
      </c>
      <c r="AK37">
        <f>IF(S37&lt;33,0,IF(S37&gt;=80,5,IF(S37&gt;=70,4,IF(S37&gt;=60,3.5,IF(S37&gt;=50,3,IF(S37&gt;=40,2,IF(S37&gt;=33,1,0)))))))</f>
        <v/>
      </c>
      <c r="AL37">
        <f>(AC37+AD37+AE37+AF37+AG37+AH37+AI37+AJ37)/8</f>
        <v/>
      </c>
      <c r="AM37">
        <f>IF(AK37&gt;=2,(AK37-2)/8,0)</f>
        <v/>
      </c>
    </row>
    <row r="38">
      <c r="T38">
        <f>SUM(C38:R38)</f>
        <v/>
      </c>
      <c r="U38" s="6">
        <f>ROUND(T38/11.5,2)</f>
        <v/>
      </c>
      <c r="V38" s="7">
        <f>IF(B38="","",IF(AB38,0,ROUND(AL38,2)))</f>
        <v/>
      </c>
      <c r="W38" s="7">
        <f>IF(B38="","",IF(AB38,0,MIN(5,ROUND(AL38+AM38,2))))</f>
        <v/>
      </c>
      <c r="X38" s="8">
        <f>IF(B38="","",IF(W38&gt;=5,"A+",IF(W38&gt;=4,"A",IF(W38&gt;=3.5,"A-",IF(W38&gt;=3,"B",IF(W38&gt;=2,"C",IF(W38&gt;=1,"D","F")))))))</f>
        <v/>
      </c>
      <c r="Y38">
        <f>NOT(OR(AND(J38&gt;=10,K38&gt;=23,L38&gt;=10,M38&gt;=23),AND(J38+L38&gt;=20,K38+M38&gt;=46)))</f>
        <v/>
      </c>
      <c r="Z38">
        <f>OR(N38&lt;10,O38&lt;23)</f>
        <v/>
      </c>
      <c r="AA38">
        <f>OR(P38&lt;10,Q38&lt;23)</f>
        <v/>
      </c>
      <c r="AB38">
        <f>OR((C38+D38)&lt;66,(E38+F38)&lt;66,G38&lt;33,(H38+I38)&lt;66,Y38,Z38,AA38,R38&lt;8.25)</f>
        <v/>
      </c>
      <c r="AC38">
        <f>IF(C38+D38&lt;66,0,IF((C38+D38)/2&gt;=80,5,IF((C38+D38)/2&gt;=70,4,IF((C38+D38)/2&gt;=60,3.5,IF((C38+D38)/2&gt;=50,3,IF((C38+D38)/2&gt;=40,2,IF((C38+D38)/2&gt;=33,1,0)))))))</f>
        <v/>
      </c>
      <c r="AD38">
        <f>IF(E38+F38&lt;66,0,IF((E38+F38)/2&gt;=80,5,IF((E38+F38)/2&gt;=70,4,IF((E38+F38)/2&gt;=60,3.5,IF((E38+F38)/2&gt;=50,3,IF((E38+F38)/2&gt;=40,2,IF((E38+F38)/2&gt;=33,1,0)))))))</f>
        <v/>
      </c>
      <c r="AE38">
        <f>IF(G38&lt;33,0,IF(G38&gt;=80,5,IF(G38&gt;=70,4,IF(G38&gt;=60,3.5,IF(G38&gt;=50,3,IF(G38&gt;=40,2,IF(G38&gt;=33,1,0)))))))</f>
        <v/>
      </c>
      <c r="AF38">
        <f>IF(H38+I38&lt;66,0,IF((H38+I38)/2&gt;=80,5,IF((H38+I38)/2&gt;=70,4,IF((H38+I38)/2&gt;=60,3.5,IF((H38+I38)/2&gt;=50,3,IF((H38+I38)/2&gt;=40,2,IF((H38+I38)/2&gt;=33,1,0)))))))</f>
        <v/>
      </c>
      <c r="AG38">
        <f>IF(Y38,0,IF((J38+K38+L38+M38)/2&gt;=80,5,IF((J38+K38+L38+M38)/2&gt;=70,4,IF((J38+K38+L38+M38)/2&gt;=60,3.5,IF((J38+K38+L38+M38)/2&gt;=50,3,IF((J38+K38+L38+M38)/2&gt;=40,2,IF((J38+K38+L38+M38)/2&gt;=33,1,0)))))))</f>
        <v/>
      </c>
      <c r="AH38">
        <f>IF(Z38,0,IF(N38+O38&gt;=80,5,IF(N38+O38&gt;=70,4,IF(N38+O38&gt;=60,3.5,IF(N38+O38&gt;=50,3,IF(N38+O38&gt;=40,2,IF(N38+O38&gt;=33,1,0)))))))</f>
        <v/>
      </c>
      <c r="AI38">
        <f>IF(AA38,0,IF(P38+Q38&gt;=80,5,IF(P38+Q38&gt;=70,4,IF(P38+Q38&gt;=60,3.5,IF(P38+Q38&gt;=50,3,IF(P38+Q38&gt;=40,2,IF(P38+Q38&gt;=33,1,0)))))))</f>
        <v/>
      </c>
      <c r="AJ38">
        <f>IF(R38&lt;8.25,0,IF(R38*2&gt;=80,5,IF(R38*2&gt;=70,4,IF(R38*2&gt;=60,3.5,IF(R38*2&gt;=50,3,IF(R38*2&gt;=40,2,IF(R38*2&gt;=33,1,0)))))))</f>
        <v/>
      </c>
      <c r="AK38">
        <f>IF(S38&lt;33,0,IF(S38&gt;=80,5,IF(S38&gt;=70,4,IF(S38&gt;=60,3.5,IF(S38&gt;=50,3,IF(S38&gt;=40,2,IF(S38&gt;=33,1,0)))))))</f>
        <v/>
      </c>
      <c r="AL38">
        <f>(AC38+AD38+AE38+AF38+AG38+AH38+AI38+AJ38)/8</f>
        <v/>
      </c>
      <c r="AM38">
        <f>IF(AK38&gt;=2,(AK38-2)/8,0)</f>
        <v/>
      </c>
    </row>
    <row r="39">
      <c r="T39">
        <f>SUM(C39:R39)</f>
        <v/>
      </c>
      <c r="U39" s="6">
        <f>ROUND(T39/11.5,2)</f>
        <v/>
      </c>
      <c r="V39" s="7">
        <f>IF(B39="","",IF(AB39,0,ROUND(AL39,2)))</f>
        <v/>
      </c>
      <c r="W39" s="7">
        <f>IF(B39="","",IF(AB39,0,MIN(5,ROUND(AL39+AM39,2))))</f>
        <v/>
      </c>
      <c r="X39" s="8">
        <f>IF(B39="","",IF(W39&gt;=5,"A+",IF(W39&gt;=4,"A",IF(W39&gt;=3.5,"A-",IF(W39&gt;=3,"B",IF(W39&gt;=2,"C",IF(W39&gt;=1,"D","F")))))))</f>
        <v/>
      </c>
      <c r="Y39">
        <f>NOT(OR(AND(J39&gt;=10,K39&gt;=23,L39&gt;=10,M39&gt;=23),AND(J39+L39&gt;=20,K39+M39&gt;=46)))</f>
        <v/>
      </c>
      <c r="Z39">
        <f>OR(N39&lt;10,O39&lt;23)</f>
        <v/>
      </c>
      <c r="AA39">
        <f>OR(P39&lt;10,Q39&lt;23)</f>
        <v/>
      </c>
      <c r="AB39">
        <f>OR((C39+D39)&lt;66,(E39+F39)&lt;66,G39&lt;33,(H39+I39)&lt;66,Y39,Z39,AA39,R39&lt;8.25)</f>
        <v/>
      </c>
      <c r="AC39">
        <f>IF(C39+D39&lt;66,0,IF((C39+D39)/2&gt;=80,5,IF((C39+D39)/2&gt;=70,4,IF((C39+D39)/2&gt;=60,3.5,IF((C39+D39)/2&gt;=50,3,IF((C39+D39)/2&gt;=40,2,IF((C39+D39)/2&gt;=33,1,0)))))))</f>
        <v/>
      </c>
      <c r="AD39">
        <f>IF(E39+F39&lt;66,0,IF((E39+F39)/2&gt;=80,5,IF((E39+F39)/2&gt;=70,4,IF((E39+F39)/2&gt;=60,3.5,IF((E39+F39)/2&gt;=50,3,IF((E39+F39)/2&gt;=40,2,IF((E39+F39)/2&gt;=33,1,0)))))))</f>
        <v/>
      </c>
      <c r="AE39">
        <f>IF(G39&lt;33,0,IF(G39&gt;=80,5,IF(G39&gt;=70,4,IF(G39&gt;=60,3.5,IF(G39&gt;=50,3,IF(G39&gt;=40,2,IF(G39&gt;=33,1,0)))))))</f>
        <v/>
      </c>
      <c r="AF39">
        <f>IF(H39+I39&lt;66,0,IF((H39+I39)/2&gt;=80,5,IF((H39+I39)/2&gt;=70,4,IF((H39+I39)/2&gt;=60,3.5,IF((H39+I39)/2&gt;=50,3,IF((H39+I39)/2&gt;=40,2,IF((H39+I39)/2&gt;=33,1,0)))))))</f>
        <v/>
      </c>
      <c r="AG39">
        <f>IF(Y39,0,IF((J39+K39+L39+M39)/2&gt;=80,5,IF((J39+K39+L39+M39)/2&gt;=70,4,IF((J39+K39+L39+M39)/2&gt;=60,3.5,IF((J39+K39+L39+M39)/2&gt;=50,3,IF((J39+K39+L39+M39)/2&gt;=40,2,IF((J39+K39+L39+M39)/2&gt;=33,1,0)))))))</f>
        <v/>
      </c>
      <c r="AH39">
        <f>IF(Z39,0,IF(N39+O39&gt;=80,5,IF(N39+O39&gt;=70,4,IF(N39+O39&gt;=60,3.5,IF(N39+O39&gt;=50,3,IF(N39+O39&gt;=40,2,IF(N39+O39&gt;=33,1,0)))))))</f>
        <v/>
      </c>
      <c r="AI39">
        <f>IF(AA39,0,IF(P39+Q39&gt;=80,5,IF(P39+Q39&gt;=70,4,IF(P39+Q39&gt;=60,3.5,IF(P39+Q39&gt;=50,3,IF(P39+Q39&gt;=40,2,IF(P39+Q39&gt;=33,1,0)))))))</f>
        <v/>
      </c>
      <c r="AJ39">
        <f>IF(R39&lt;8.25,0,IF(R39*2&gt;=80,5,IF(R39*2&gt;=70,4,IF(R39*2&gt;=60,3.5,IF(R39*2&gt;=50,3,IF(R39*2&gt;=40,2,IF(R39*2&gt;=33,1,0)))))))</f>
        <v/>
      </c>
      <c r="AK39">
        <f>IF(S39&lt;33,0,IF(S39&gt;=80,5,IF(S39&gt;=70,4,IF(S39&gt;=60,3.5,IF(S39&gt;=50,3,IF(S39&gt;=40,2,IF(S39&gt;=33,1,0)))))))</f>
        <v/>
      </c>
      <c r="AL39">
        <f>(AC39+AD39+AE39+AF39+AG39+AH39+AI39+AJ39)/8</f>
        <v/>
      </c>
      <c r="AM39">
        <f>IF(AK39&gt;=2,(AK39-2)/8,0)</f>
        <v/>
      </c>
    </row>
    <row r="40">
      <c r="T40">
        <f>SUM(C40:R40)</f>
        <v/>
      </c>
      <c r="U40" s="6">
        <f>ROUND(T40/11.5,2)</f>
        <v/>
      </c>
      <c r="V40" s="7">
        <f>IF(B40="","",IF(AB40,0,ROUND(AL40,2)))</f>
        <v/>
      </c>
      <c r="W40" s="7">
        <f>IF(B40="","",IF(AB40,0,MIN(5,ROUND(AL40+AM40,2))))</f>
        <v/>
      </c>
      <c r="X40" s="8">
        <f>IF(B40="","",IF(W40&gt;=5,"A+",IF(W40&gt;=4,"A",IF(W40&gt;=3.5,"A-",IF(W40&gt;=3,"B",IF(W40&gt;=2,"C",IF(W40&gt;=1,"D","F")))))))</f>
        <v/>
      </c>
      <c r="Y40">
        <f>NOT(OR(AND(J40&gt;=10,K40&gt;=23,L40&gt;=10,M40&gt;=23),AND(J40+L40&gt;=20,K40+M40&gt;=46)))</f>
        <v/>
      </c>
      <c r="Z40">
        <f>OR(N40&lt;10,O40&lt;23)</f>
        <v/>
      </c>
      <c r="AA40">
        <f>OR(P40&lt;10,Q40&lt;23)</f>
        <v/>
      </c>
      <c r="AB40">
        <f>OR((C40+D40)&lt;66,(E40+F40)&lt;66,G40&lt;33,(H40+I40)&lt;66,Y40,Z40,AA40,R40&lt;8.25)</f>
        <v/>
      </c>
      <c r="AC40">
        <f>IF(C40+D40&lt;66,0,IF((C40+D40)/2&gt;=80,5,IF((C40+D40)/2&gt;=70,4,IF((C40+D40)/2&gt;=60,3.5,IF((C40+D40)/2&gt;=50,3,IF((C40+D40)/2&gt;=40,2,IF((C40+D40)/2&gt;=33,1,0)))))))</f>
        <v/>
      </c>
      <c r="AD40">
        <f>IF(E40+F40&lt;66,0,IF((E40+F40)/2&gt;=80,5,IF((E40+F40)/2&gt;=70,4,IF((E40+F40)/2&gt;=60,3.5,IF((E40+F40)/2&gt;=50,3,IF((E40+F40)/2&gt;=40,2,IF((E40+F40)/2&gt;=33,1,0)))))))</f>
        <v/>
      </c>
      <c r="AE40">
        <f>IF(G40&lt;33,0,IF(G40&gt;=80,5,IF(G40&gt;=70,4,IF(G40&gt;=60,3.5,IF(G40&gt;=50,3,IF(G40&gt;=40,2,IF(G40&gt;=33,1,0)))))))</f>
        <v/>
      </c>
      <c r="AF40">
        <f>IF(H40+I40&lt;66,0,IF((H40+I40)/2&gt;=80,5,IF((H40+I40)/2&gt;=70,4,IF((H40+I40)/2&gt;=60,3.5,IF((H40+I40)/2&gt;=50,3,IF((H40+I40)/2&gt;=40,2,IF((H40+I40)/2&gt;=33,1,0)))))))</f>
        <v/>
      </c>
      <c r="AG40">
        <f>IF(Y40,0,IF((J40+K40+L40+M40)/2&gt;=80,5,IF((J40+K40+L40+M40)/2&gt;=70,4,IF((J40+K40+L40+M40)/2&gt;=60,3.5,IF((J40+K40+L40+M40)/2&gt;=50,3,IF((J40+K40+L40+M40)/2&gt;=40,2,IF((J40+K40+L40+M40)/2&gt;=33,1,0)))))))</f>
        <v/>
      </c>
      <c r="AH40">
        <f>IF(Z40,0,IF(N40+O40&gt;=80,5,IF(N40+O40&gt;=70,4,IF(N40+O40&gt;=60,3.5,IF(N40+O40&gt;=50,3,IF(N40+O40&gt;=40,2,IF(N40+O40&gt;=33,1,0)))))))</f>
        <v/>
      </c>
      <c r="AI40">
        <f>IF(AA40,0,IF(P40+Q40&gt;=80,5,IF(P40+Q40&gt;=70,4,IF(P40+Q40&gt;=60,3.5,IF(P40+Q40&gt;=50,3,IF(P40+Q40&gt;=40,2,IF(P40+Q40&gt;=33,1,0)))))))</f>
        <v/>
      </c>
      <c r="AJ40">
        <f>IF(R40&lt;8.25,0,IF(R40*2&gt;=80,5,IF(R40*2&gt;=70,4,IF(R40*2&gt;=60,3.5,IF(R40*2&gt;=50,3,IF(R40*2&gt;=40,2,IF(R40*2&gt;=33,1,0)))))))</f>
        <v/>
      </c>
      <c r="AK40">
        <f>IF(S40&lt;33,0,IF(S40&gt;=80,5,IF(S40&gt;=70,4,IF(S40&gt;=60,3.5,IF(S40&gt;=50,3,IF(S40&gt;=40,2,IF(S40&gt;=33,1,0)))))))</f>
        <v/>
      </c>
      <c r="AL40">
        <f>(AC40+AD40+AE40+AF40+AG40+AH40+AI40+AJ40)/8</f>
        <v/>
      </c>
      <c r="AM40">
        <f>IF(AK40&gt;=2,(AK40-2)/8,0)</f>
        <v/>
      </c>
    </row>
    <row r="41">
      <c r="T41">
        <f>SUM(C41:R41)</f>
        <v/>
      </c>
      <c r="U41" s="6">
        <f>ROUND(T41/11.5,2)</f>
        <v/>
      </c>
      <c r="V41" s="7">
        <f>IF(B41="","",IF(AB41,0,ROUND(AL41,2)))</f>
        <v/>
      </c>
      <c r="W41" s="7">
        <f>IF(B41="","",IF(AB41,0,MIN(5,ROUND(AL41+AM41,2))))</f>
        <v/>
      </c>
      <c r="X41" s="8">
        <f>IF(B41="","",IF(W41&gt;=5,"A+",IF(W41&gt;=4,"A",IF(W41&gt;=3.5,"A-",IF(W41&gt;=3,"B",IF(W41&gt;=2,"C",IF(W41&gt;=1,"D","F")))))))</f>
        <v/>
      </c>
      <c r="Y41">
        <f>NOT(OR(AND(J41&gt;=10,K41&gt;=23,L41&gt;=10,M41&gt;=23),AND(J41+L41&gt;=20,K41+M41&gt;=46)))</f>
        <v/>
      </c>
      <c r="Z41">
        <f>OR(N41&lt;10,O41&lt;23)</f>
        <v/>
      </c>
      <c r="AA41">
        <f>OR(P41&lt;10,Q41&lt;23)</f>
        <v/>
      </c>
      <c r="AB41">
        <f>OR((C41+D41)&lt;66,(E41+F41)&lt;66,G41&lt;33,(H41+I41)&lt;66,Y41,Z41,AA41,R41&lt;8.25)</f>
        <v/>
      </c>
      <c r="AC41">
        <f>IF(C41+D41&lt;66,0,IF((C41+D41)/2&gt;=80,5,IF((C41+D41)/2&gt;=70,4,IF((C41+D41)/2&gt;=60,3.5,IF((C41+D41)/2&gt;=50,3,IF((C41+D41)/2&gt;=40,2,IF((C41+D41)/2&gt;=33,1,0)))))))</f>
        <v/>
      </c>
      <c r="AD41">
        <f>IF(E41+F41&lt;66,0,IF((E41+F41)/2&gt;=80,5,IF((E41+F41)/2&gt;=70,4,IF((E41+F41)/2&gt;=60,3.5,IF((E41+F41)/2&gt;=50,3,IF((E41+F41)/2&gt;=40,2,IF((E41+F41)/2&gt;=33,1,0)))))))</f>
        <v/>
      </c>
      <c r="AE41">
        <f>IF(G41&lt;33,0,IF(G41&gt;=80,5,IF(G41&gt;=70,4,IF(G41&gt;=60,3.5,IF(G41&gt;=50,3,IF(G41&gt;=40,2,IF(G41&gt;=33,1,0)))))))</f>
        <v/>
      </c>
      <c r="AF41">
        <f>IF(H41+I41&lt;66,0,IF((H41+I41)/2&gt;=80,5,IF((H41+I41)/2&gt;=70,4,IF((H41+I41)/2&gt;=60,3.5,IF((H41+I41)/2&gt;=50,3,IF((H41+I41)/2&gt;=40,2,IF((H41+I41)/2&gt;=33,1,0)))))))</f>
        <v/>
      </c>
      <c r="AG41">
        <f>IF(Y41,0,IF((J41+K41+L41+M41)/2&gt;=80,5,IF((J41+K41+L41+M41)/2&gt;=70,4,IF((J41+K41+L41+M41)/2&gt;=60,3.5,IF((J41+K41+L41+M41)/2&gt;=50,3,IF((J41+K41+L41+M41)/2&gt;=40,2,IF((J41+K41+L41+M41)/2&gt;=33,1,0)))))))</f>
        <v/>
      </c>
      <c r="AH41">
        <f>IF(Z41,0,IF(N41+O41&gt;=80,5,IF(N41+O41&gt;=70,4,IF(N41+O41&gt;=60,3.5,IF(N41+O41&gt;=50,3,IF(N41+O41&gt;=40,2,IF(N41+O41&gt;=33,1,0)))))))</f>
        <v/>
      </c>
      <c r="AI41">
        <f>IF(AA41,0,IF(P41+Q41&gt;=80,5,IF(P41+Q41&gt;=70,4,IF(P41+Q41&gt;=60,3.5,IF(P41+Q41&gt;=50,3,IF(P41+Q41&gt;=40,2,IF(P41+Q41&gt;=33,1,0)))))))</f>
        <v/>
      </c>
      <c r="AJ41">
        <f>IF(R41&lt;8.25,0,IF(R41*2&gt;=80,5,IF(R41*2&gt;=70,4,IF(R41*2&gt;=60,3.5,IF(R41*2&gt;=50,3,IF(R41*2&gt;=40,2,IF(R41*2&gt;=33,1,0)))))))</f>
        <v/>
      </c>
      <c r="AK41">
        <f>IF(S41&lt;33,0,IF(S41&gt;=80,5,IF(S41&gt;=70,4,IF(S41&gt;=60,3.5,IF(S41&gt;=50,3,IF(S41&gt;=40,2,IF(S41&gt;=33,1,0)))))))</f>
        <v/>
      </c>
      <c r="AL41">
        <f>(AC41+AD41+AE41+AF41+AG41+AH41+AI41+AJ41)/8</f>
        <v/>
      </c>
      <c r="AM41">
        <f>IF(AK41&gt;=2,(AK41-2)/8,0)</f>
        <v/>
      </c>
    </row>
    <row r="42">
      <c r="T42">
        <f>SUM(C42:R42)</f>
        <v/>
      </c>
      <c r="U42" s="6">
        <f>ROUND(T42/11.5,2)</f>
        <v/>
      </c>
      <c r="V42" s="7">
        <f>IF(B42="","",IF(AB42,0,ROUND(AL42,2)))</f>
        <v/>
      </c>
      <c r="W42" s="7">
        <f>IF(B42="","",IF(AB42,0,MIN(5,ROUND(AL42+AM42,2))))</f>
        <v/>
      </c>
      <c r="X42" s="8">
        <f>IF(B42="","",IF(W42&gt;=5,"A+",IF(W42&gt;=4,"A",IF(W42&gt;=3.5,"A-",IF(W42&gt;=3,"B",IF(W42&gt;=2,"C",IF(W42&gt;=1,"D","F")))))))</f>
        <v/>
      </c>
      <c r="Y42">
        <f>NOT(OR(AND(J42&gt;=10,K42&gt;=23,L42&gt;=10,M42&gt;=23),AND(J42+L42&gt;=20,K42+M42&gt;=46)))</f>
        <v/>
      </c>
      <c r="Z42">
        <f>OR(N42&lt;10,O42&lt;23)</f>
        <v/>
      </c>
      <c r="AA42">
        <f>OR(P42&lt;10,Q42&lt;23)</f>
        <v/>
      </c>
      <c r="AB42">
        <f>OR((C42+D42)&lt;66,(E42+F42)&lt;66,G42&lt;33,(H42+I42)&lt;66,Y42,Z42,AA42,R42&lt;8.25)</f>
        <v/>
      </c>
      <c r="AC42">
        <f>IF(C42+D42&lt;66,0,IF((C42+D42)/2&gt;=80,5,IF((C42+D42)/2&gt;=70,4,IF((C42+D42)/2&gt;=60,3.5,IF((C42+D42)/2&gt;=50,3,IF((C42+D42)/2&gt;=40,2,IF((C42+D42)/2&gt;=33,1,0)))))))</f>
        <v/>
      </c>
      <c r="AD42">
        <f>IF(E42+F42&lt;66,0,IF((E42+F42)/2&gt;=80,5,IF((E42+F42)/2&gt;=70,4,IF((E42+F42)/2&gt;=60,3.5,IF((E42+F42)/2&gt;=50,3,IF((E42+F42)/2&gt;=40,2,IF((E42+F42)/2&gt;=33,1,0)))))))</f>
        <v/>
      </c>
      <c r="AE42">
        <f>IF(G42&lt;33,0,IF(G42&gt;=80,5,IF(G42&gt;=70,4,IF(G42&gt;=60,3.5,IF(G42&gt;=50,3,IF(G42&gt;=40,2,IF(G42&gt;=33,1,0)))))))</f>
        <v/>
      </c>
      <c r="AF42">
        <f>IF(H42+I42&lt;66,0,IF((H42+I42)/2&gt;=80,5,IF((H42+I42)/2&gt;=70,4,IF((H42+I42)/2&gt;=60,3.5,IF((H42+I42)/2&gt;=50,3,IF((H42+I42)/2&gt;=40,2,IF((H42+I42)/2&gt;=33,1,0)))))))</f>
        <v/>
      </c>
      <c r="AG42">
        <f>IF(Y42,0,IF((J42+K42+L42+M42)/2&gt;=80,5,IF((J42+K42+L42+M42)/2&gt;=70,4,IF((J42+K42+L42+M42)/2&gt;=60,3.5,IF((J42+K42+L42+M42)/2&gt;=50,3,IF((J42+K42+L42+M42)/2&gt;=40,2,IF((J42+K42+L42+M42)/2&gt;=33,1,0)))))))</f>
        <v/>
      </c>
      <c r="AH42">
        <f>IF(Z42,0,IF(N42+O42&gt;=80,5,IF(N42+O42&gt;=70,4,IF(N42+O42&gt;=60,3.5,IF(N42+O42&gt;=50,3,IF(N42+O42&gt;=40,2,IF(N42+O42&gt;=33,1,0)))))))</f>
        <v/>
      </c>
      <c r="AI42">
        <f>IF(AA42,0,IF(P42+Q42&gt;=80,5,IF(P42+Q42&gt;=70,4,IF(P42+Q42&gt;=60,3.5,IF(P42+Q42&gt;=50,3,IF(P42+Q42&gt;=40,2,IF(P42+Q42&gt;=33,1,0)))))))</f>
        <v/>
      </c>
      <c r="AJ42">
        <f>IF(R42&lt;8.25,0,IF(R42*2&gt;=80,5,IF(R42*2&gt;=70,4,IF(R42*2&gt;=60,3.5,IF(R42*2&gt;=50,3,IF(R42*2&gt;=40,2,IF(R42*2&gt;=33,1,0)))))))</f>
        <v/>
      </c>
      <c r="AK42">
        <f>IF(S42&lt;33,0,IF(S42&gt;=80,5,IF(S42&gt;=70,4,IF(S42&gt;=60,3.5,IF(S42&gt;=50,3,IF(S42&gt;=40,2,IF(S42&gt;=33,1,0)))))))</f>
        <v/>
      </c>
      <c r="AL42">
        <f>(AC42+AD42+AE42+AF42+AG42+AH42+AI42+AJ42)/8</f>
        <v/>
      </c>
      <c r="AM42">
        <f>IF(AK42&gt;=2,(AK42-2)/8,0)</f>
        <v/>
      </c>
    </row>
    <row r="43">
      <c r="T43">
        <f>SUM(C43:R43)</f>
        <v/>
      </c>
      <c r="U43" s="6">
        <f>ROUND(T43/11.5,2)</f>
        <v/>
      </c>
      <c r="V43" s="7">
        <f>IF(B43="","",IF(AB43,0,ROUND(AL43,2)))</f>
        <v/>
      </c>
      <c r="W43" s="7">
        <f>IF(B43="","",IF(AB43,0,MIN(5,ROUND(AL43+AM43,2))))</f>
        <v/>
      </c>
      <c r="X43" s="8">
        <f>IF(B43="","",IF(W43&gt;=5,"A+",IF(W43&gt;=4,"A",IF(W43&gt;=3.5,"A-",IF(W43&gt;=3,"B",IF(W43&gt;=2,"C",IF(W43&gt;=1,"D","F")))))))</f>
        <v/>
      </c>
      <c r="Y43">
        <f>NOT(OR(AND(J43&gt;=10,K43&gt;=23,L43&gt;=10,M43&gt;=23),AND(J43+L43&gt;=20,K43+M43&gt;=46)))</f>
        <v/>
      </c>
      <c r="Z43">
        <f>OR(N43&lt;10,O43&lt;23)</f>
        <v/>
      </c>
      <c r="AA43">
        <f>OR(P43&lt;10,Q43&lt;23)</f>
        <v/>
      </c>
      <c r="AB43">
        <f>OR((C43+D43)&lt;66,(E43+F43)&lt;66,G43&lt;33,(H43+I43)&lt;66,Y43,Z43,AA43,R43&lt;8.25)</f>
        <v/>
      </c>
      <c r="AC43">
        <f>IF(C43+D43&lt;66,0,IF((C43+D43)/2&gt;=80,5,IF((C43+D43)/2&gt;=70,4,IF((C43+D43)/2&gt;=60,3.5,IF((C43+D43)/2&gt;=50,3,IF((C43+D43)/2&gt;=40,2,IF((C43+D43)/2&gt;=33,1,0)))))))</f>
        <v/>
      </c>
      <c r="AD43">
        <f>IF(E43+F43&lt;66,0,IF((E43+F43)/2&gt;=80,5,IF((E43+F43)/2&gt;=70,4,IF((E43+F43)/2&gt;=60,3.5,IF((E43+F43)/2&gt;=50,3,IF((E43+F43)/2&gt;=40,2,IF((E43+F43)/2&gt;=33,1,0)))))))</f>
        <v/>
      </c>
      <c r="AE43">
        <f>IF(G43&lt;33,0,IF(G43&gt;=80,5,IF(G43&gt;=70,4,IF(G43&gt;=60,3.5,IF(G43&gt;=50,3,IF(G43&gt;=40,2,IF(G43&gt;=33,1,0)))))))</f>
        <v/>
      </c>
      <c r="AF43">
        <f>IF(H43+I43&lt;66,0,IF((H43+I43)/2&gt;=80,5,IF((H43+I43)/2&gt;=70,4,IF((H43+I43)/2&gt;=60,3.5,IF((H43+I43)/2&gt;=50,3,IF((H43+I43)/2&gt;=40,2,IF((H43+I43)/2&gt;=33,1,0)))))))</f>
        <v/>
      </c>
      <c r="AG43">
        <f>IF(Y43,0,IF((J43+K43+L43+M43)/2&gt;=80,5,IF((J43+K43+L43+M43)/2&gt;=70,4,IF((J43+K43+L43+M43)/2&gt;=60,3.5,IF((J43+K43+L43+M43)/2&gt;=50,3,IF((J43+K43+L43+M43)/2&gt;=40,2,IF((J43+K43+L43+M43)/2&gt;=33,1,0)))))))</f>
        <v/>
      </c>
      <c r="AH43">
        <f>IF(Z43,0,IF(N43+O43&gt;=80,5,IF(N43+O43&gt;=70,4,IF(N43+O43&gt;=60,3.5,IF(N43+O43&gt;=50,3,IF(N43+O43&gt;=40,2,IF(N43+O43&gt;=33,1,0)))))))</f>
        <v/>
      </c>
      <c r="AI43">
        <f>IF(AA43,0,IF(P43+Q43&gt;=80,5,IF(P43+Q43&gt;=70,4,IF(P43+Q43&gt;=60,3.5,IF(P43+Q43&gt;=50,3,IF(P43+Q43&gt;=40,2,IF(P43+Q43&gt;=33,1,0)))))))</f>
        <v/>
      </c>
      <c r="AJ43">
        <f>IF(R43&lt;8.25,0,IF(R43*2&gt;=80,5,IF(R43*2&gt;=70,4,IF(R43*2&gt;=60,3.5,IF(R43*2&gt;=50,3,IF(R43*2&gt;=40,2,IF(R43*2&gt;=33,1,0)))))))</f>
        <v/>
      </c>
      <c r="AK43">
        <f>IF(S43&lt;33,0,IF(S43&gt;=80,5,IF(S43&gt;=70,4,IF(S43&gt;=60,3.5,IF(S43&gt;=50,3,IF(S43&gt;=40,2,IF(S43&gt;=33,1,0)))))))</f>
        <v/>
      </c>
      <c r="AL43">
        <f>(AC43+AD43+AE43+AF43+AG43+AH43+AI43+AJ43)/8</f>
        <v/>
      </c>
      <c r="AM43">
        <f>IF(AK43&gt;=2,(AK43-2)/8,0)</f>
        <v/>
      </c>
    </row>
    <row r="44">
      <c r="T44">
        <f>SUM(C44:R44)</f>
        <v/>
      </c>
      <c r="U44" s="6">
        <f>ROUND(T44/11.5,2)</f>
        <v/>
      </c>
      <c r="V44" s="7">
        <f>IF(B44="","",IF(AB44,0,ROUND(AL44,2)))</f>
        <v/>
      </c>
      <c r="W44" s="7">
        <f>IF(B44="","",IF(AB44,0,MIN(5,ROUND(AL44+AM44,2))))</f>
        <v/>
      </c>
      <c r="X44" s="8">
        <f>IF(B44="","",IF(W44&gt;=5,"A+",IF(W44&gt;=4,"A",IF(W44&gt;=3.5,"A-",IF(W44&gt;=3,"B",IF(W44&gt;=2,"C",IF(W44&gt;=1,"D","F")))))))</f>
        <v/>
      </c>
      <c r="Y44">
        <f>NOT(OR(AND(J44&gt;=10,K44&gt;=23,L44&gt;=10,M44&gt;=23),AND(J44+L44&gt;=20,K44+M44&gt;=46)))</f>
        <v/>
      </c>
      <c r="Z44">
        <f>OR(N44&lt;10,O44&lt;23)</f>
        <v/>
      </c>
      <c r="AA44">
        <f>OR(P44&lt;10,Q44&lt;23)</f>
        <v/>
      </c>
      <c r="AB44">
        <f>OR((C44+D44)&lt;66,(E44+F44)&lt;66,G44&lt;33,(H44+I44)&lt;66,Y44,Z44,AA44,R44&lt;8.25)</f>
        <v/>
      </c>
      <c r="AC44">
        <f>IF(C44+D44&lt;66,0,IF((C44+D44)/2&gt;=80,5,IF((C44+D44)/2&gt;=70,4,IF((C44+D44)/2&gt;=60,3.5,IF((C44+D44)/2&gt;=50,3,IF((C44+D44)/2&gt;=40,2,IF((C44+D44)/2&gt;=33,1,0)))))))</f>
        <v/>
      </c>
      <c r="AD44">
        <f>IF(E44+F44&lt;66,0,IF((E44+F44)/2&gt;=80,5,IF((E44+F44)/2&gt;=70,4,IF((E44+F44)/2&gt;=60,3.5,IF((E44+F44)/2&gt;=50,3,IF((E44+F44)/2&gt;=40,2,IF((E44+F44)/2&gt;=33,1,0)))))))</f>
        <v/>
      </c>
      <c r="AE44">
        <f>IF(G44&lt;33,0,IF(G44&gt;=80,5,IF(G44&gt;=70,4,IF(G44&gt;=60,3.5,IF(G44&gt;=50,3,IF(G44&gt;=40,2,IF(G44&gt;=33,1,0)))))))</f>
        <v/>
      </c>
      <c r="AF44">
        <f>IF(H44+I44&lt;66,0,IF((H44+I44)/2&gt;=80,5,IF((H44+I44)/2&gt;=70,4,IF((H44+I44)/2&gt;=60,3.5,IF((H44+I44)/2&gt;=50,3,IF((H44+I44)/2&gt;=40,2,IF((H44+I44)/2&gt;=33,1,0)))))))</f>
        <v/>
      </c>
      <c r="AG44">
        <f>IF(Y44,0,IF((J44+K44+L44+M44)/2&gt;=80,5,IF((J44+K44+L44+M44)/2&gt;=70,4,IF((J44+K44+L44+M44)/2&gt;=60,3.5,IF((J44+K44+L44+M44)/2&gt;=50,3,IF((J44+K44+L44+M44)/2&gt;=40,2,IF((J44+K44+L44+M44)/2&gt;=33,1,0)))))))</f>
        <v/>
      </c>
      <c r="AH44">
        <f>IF(Z44,0,IF(N44+O44&gt;=80,5,IF(N44+O44&gt;=70,4,IF(N44+O44&gt;=60,3.5,IF(N44+O44&gt;=50,3,IF(N44+O44&gt;=40,2,IF(N44+O44&gt;=33,1,0)))))))</f>
        <v/>
      </c>
      <c r="AI44">
        <f>IF(AA44,0,IF(P44+Q44&gt;=80,5,IF(P44+Q44&gt;=70,4,IF(P44+Q44&gt;=60,3.5,IF(P44+Q44&gt;=50,3,IF(P44+Q44&gt;=40,2,IF(P44+Q44&gt;=33,1,0)))))))</f>
        <v/>
      </c>
      <c r="AJ44">
        <f>IF(R44&lt;8.25,0,IF(R44*2&gt;=80,5,IF(R44*2&gt;=70,4,IF(R44*2&gt;=60,3.5,IF(R44*2&gt;=50,3,IF(R44*2&gt;=40,2,IF(R44*2&gt;=33,1,0)))))))</f>
        <v/>
      </c>
      <c r="AK44">
        <f>IF(S44&lt;33,0,IF(S44&gt;=80,5,IF(S44&gt;=70,4,IF(S44&gt;=60,3.5,IF(S44&gt;=50,3,IF(S44&gt;=40,2,IF(S44&gt;=33,1,0)))))))</f>
        <v/>
      </c>
      <c r="AL44">
        <f>(AC44+AD44+AE44+AF44+AG44+AH44+AI44+AJ44)/8</f>
        <v/>
      </c>
      <c r="AM44">
        <f>IF(AK44&gt;=2,(AK44-2)/8,0)</f>
        <v/>
      </c>
    </row>
    <row r="45">
      <c r="T45">
        <f>SUM(C45:R45)</f>
        <v/>
      </c>
      <c r="U45" s="6">
        <f>ROUND(T45/11.5,2)</f>
        <v/>
      </c>
      <c r="V45" s="7">
        <f>IF(B45="","",IF(AB45,0,ROUND(AL45,2)))</f>
        <v/>
      </c>
      <c r="W45" s="7">
        <f>IF(B45="","",IF(AB45,0,MIN(5,ROUND(AL45+AM45,2))))</f>
        <v/>
      </c>
      <c r="X45" s="8">
        <f>IF(B45="","",IF(W45&gt;=5,"A+",IF(W45&gt;=4,"A",IF(W45&gt;=3.5,"A-",IF(W45&gt;=3,"B",IF(W45&gt;=2,"C",IF(W45&gt;=1,"D","F")))))))</f>
        <v/>
      </c>
      <c r="Y45">
        <f>NOT(OR(AND(J45&gt;=10,K45&gt;=23,L45&gt;=10,M45&gt;=23),AND(J45+L45&gt;=20,K45+M45&gt;=46)))</f>
        <v/>
      </c>
      <c r="Z45">
        <f>OR(N45&lt;10,O45&lt;23)</f>
        <v/>
      </c>
      <c r="AA45">
        <f>OR(P45&lt;10,Q45&lt;23)</f>
        <v/>
      </c>
      <c r="AB45">
        <f>OR((C45+D45)&lt;66,(E45+F45)&lt;66,G45&lt;33,(H45+I45)&lt;66,Y45,Z45,AA45,R45&lt;8.25)</f>
        <v/>
      </c>
      <c r="AC45">
        <f>IF(C45+D45&lt;66,0,IF((C45+D45)/2&gt;=80,5,IF((C45+D45)/2&gt;=70,4,IF((C45+D45)/2&gt;=60,3.5,IF((C45+D45)/2&gt;=50,3,IF((C45+D45)/2&gt;=40,2,IF((C45+D45)/2&gt;=33,1,0)))))))</f>
        <v/>
      </c>
      <c r="AD45">
        <f>IF(E45+F45&lt;66,0,IF((E45+F45)/2&gt;=80,5,IF((E45+F45)/2&gt;=70,4,IF((E45+F45)/2&gt;=60,3.5,IF((E45+F45)/2&gt;=50,3,IF((E45+F45)/2&gt;=40,2,IF((E45+F45)/2&gt;=33,1,0)))))))</f>
        <v/>
      </c>
      <c r="AE45">
        <f>IF(G45&lt;33,0,IF(G45&gt;=80,5,IF(G45&gt;=70,4,IF(G45&gt;=60,3.5,IF(G45&gt;=50,3,IF(G45&gt;=40,2,IF(G45&gt;=33,1,0)))))))</f>
        <v/>
      </c>
      <c r="AF45">
        <f>IF(H45+I45&lt;66,0,IF((H45+I45)/2&gt;=80,5,IF((H45+I45)/2&gt;=70,4,IF((H45+I45)/2&gt;=60,3.5,IF((H45+I45)/2&gt;=50,3,IF((H45+I45)/2&gt;=40,2,IF((H45+I45)/2&gt;=33,1,0)))))))</f>
        <v/>
      </c>
      <c r="AG45">
        <f>IF(Y45,0,IF((J45+K45+L45+M45)/2&gt;=80,5,IF((J45+K45+L45+M45)/2&gt;=70,4,IF((J45+K45+L45+M45)/2&gt;=60,3.5,IF((J45+K45+L45+M45)/2&gt;=50,3,IF((J45+K45+L45+M45)/2&gt;=40,2,IF((J45+K45+L45+M45)/2&gt;=33,1,0)))))))</f>
        <v/>
      </c>
      <c r="AH45">
        <f>IF(Z45,0,IF(N45+O45&gt;=80,5,IF(N45+O45&gt;=70,4,IF(N45+O45&gt;=60,3.5,IF(N45+O45&gt;=50,3,IF(N45+O45&gt;=40,2,IF(N45+O45&gt;=33,1,0)))))))</f>
        <v/>
      </c>
      <c r="AI45">
        <f>IF(AA45,0,IF(P45+Q45&gt;=80,5,IF(P45+Q45&gt;=70,4,IF(P45+Q45&gt;=60,3.5,IF(P45+Q45&gt;=50,3,IF(P45+Q45&gt;=40,2,IF(P45+Q45&gt;=33,1,0)))))))</f>
        <v/>
      </c>
      <c r="AJ45">
        <f>IF(R45&lt;8.25,0,IF(R45*2&gt;=80,5,IF(R45*2&gt;=70,4,IF(R45*2&gt;=60,3.5,IF(R45*2&gt;=50,3,IF(R45*2&gt;=40,2,IF(R45*2&gt;=33,1,0)))))))</f>
        <v/>
      </c>
      <c r="AK45">
        <f>IF(S45&lt;33,0,IF(S45&gt;=80,5,IF(S45&gt;=70,4,IF(S45&gt;=60,3.5,IF(S45&gt;=50,3,IF(S45&gt;=40,2,IF(S45&gt;=33,1,0)))))))</f>
        <v/>
      </c>
      <c r="AL45">
        <f>(AC45+AD45+AE45+AF45+AG45+AH45+AI45+AJ45)/8</f>
        <v/>
      </c>
      <c r="AM45">
        <f>IF(AK45&gt;=2,(AK45-2)/8,0)</f>
        <v/>
      </c>
    </row>
    <row r="46">
      <c r="T46">
        <f>SUM(C46:R46)</f>
        <v/>
      </c>
      <c r="U46" s="6">
        <f>ROUND(T46/11.5,2)</f>
        <v/>
      </c>
      <c r="V46" s="7">
        <f>IF(B46="","",IF(AB46,0,ROUND(AL46,2)))</f>
        <v/>
      </c>
      <c r="W46" s="7">
        <f>IF(B46="","",IF(AB46,0,MIN(5,ROUND(AL46+AM46,2))))</f>
        <v/>
      </c>
      <c r="X46" s="8">
        <f>IF(B46="","",IF(W46&gt;=5,"A+",IF(W46&gt;=4,"A",IF(W46&gt;=3.5,"A-",IF(W46&gt;=3,"B",IF(W46&gt;=2,"C",IF(W46&gt;=1,"D","F")))))))</f>
        <v/>
      </c>
      <c r="Y46">
        <f>NOT(OR(AND(J46&gt;=10,K46&gt;=23,L46&gt;=10,M46&gt;=23),AND(J46+L46&gt;=20,K46+M46&gt;=46)))</f>
        <v/>
      </c>
      <c r="Z46">
        <f>OR(N46&lt;10,O46&lt;23)</f>
        <v/>
      </c>
      <c r="AA46">
        <f>OR(P46&lt;10,Q46&lt;23)</f>
        <v/>
      </c>
      <c r="AB46">
        <f>OR((C46+D46)&lt;66,(E46+F46)&lt;66,G46&lt;33,(H46+I46)&lt;66,Y46,Z46,AA46,R46&lt;8.25)</f>
        <v/>
      </c>
      <c r="AC46">
        <f>IF(C46+D46&lt;66,0,IF((C46+D46)/2&gt;=80,5,IF((C46+D46)/2&gt;=70,4,IF((C46+D46)/2&gt;=60,3.5,IF((C46+D46)/2&gt;=50,3,IF((C46+D46)/2&gt;=40,2,IF((C46+D46)/2&gt;=33,1,0)))))))</f>
        <v/>
      </c>
      <c r="AD46">
        <f>IF(E46+F46&lt;66,0,IF((E46+F46)/2&gt;=80,5,IF((E46+F46)/2&gt;=70,4,IF((E46+F46)/2&gt;=60,3.5,IF((E46+F46)/2&gt;=50,3,IF((E46+F46)/2&gt;=40,2,IF((E46+F46)/2&gt;=33,1,0)))))))</f>
        <v/>
      </c>
      <c r="AE46">
        <f>IF(G46&lt;33,0,IF(G46&gt;=80,5,IF(G46&gt;=70,4,IF(G46&gt;=60,3.5,IF(G46&gt;=50,3,IF(G46&gt;=40,2,IF(G46&gt;=33,1,0)))))))</f>
        <v/>
      </c>
      <c r="AF46">
        <f>IF(H46+I46&lt;66,0,IF((H46+I46)/2&gt;=80,5,IF((H46+I46)/2&gt;=70,4,IF((H46+I46)/2&gt;=60,3.5,IF((H46+I46)/2&gt;=50,3,IF((H46+I46)/2&gt;=40,2,IF((H46+I46)/2&gt;=33,1,0)))))))</f>
        <v/>
      </c>
      <c r="AG46">
        <f>IF(Y46,0,IF((J46+K46+L46+M46)/2&gt;=80,5,IF((J46+K46+L46+M46)/2&gt;=70,4,IF((J46+K46+L46+M46)/2&gt;=60,3.5,IF((J46+K46+L46+M46)/2&gt;=50,3,IF((J46+K46+L46+M46)/2&gt;=40,2,IF((J46+K46+L46+M46)/2&gt;=33,1,0)))))))</f>
        <v/>
      </c>
      <c r="AH46">
        <f>IF(Z46,0,IF(N46+O46&gt;=80,5,IF(N46+O46&gt;=70,4,IF(N46+O46&gt;=60,3.5,IF(N46+O46&gt;=50,3,IF(N46+O46&gt;=40,2,IF(N46+O46&gt;=33,1,0)))))))</f>
        <v/>
      </c>
      <c r="AI46">
        <f>IF(AA46,0,IF(P46+Q46&gt;=80,5,IF(P46+Q46&gt;=70,4,IF(P46+Q46&gt;=60,3.5,IF(P46+Q46&gt;=50,3,IF(P46+Q46&gt;=40,2,IF(P46+Q46&gt;=33,1,0)))))))</f>
        <v/>
      </c>
      <c r="AJ46">
        <f>IF(R46&lt;8.25,0,IF(R46*2&gt;=80,5,IF(R46*2&gt;=70,4,IF(R46*2&gt;=60,3.5,IF(R46*2&gt;=50,3,IF(R46*2&gt;=40,2,IF(R46*2&gt;=33,1,0)))))))</f>
        <v/>
      </c>
      <c r="AK46">
        <f>IF(S46&lt;33,0,IF(S46&gt;=80,5,IF(S46&gt;=70,4,IF(S46&gt;=60,3.5,IF(S46&gt;=50,3,IF(S46&gt;=40,2,IF(S46&gt;=33,1,0)))))))</f>
        <v/>
      </c>
      <c r="AL46">
        <f>(AC46+AD46+AE46+AF46+AG46+AH46+AI46+AJ46)/8</f>
        <v/>
      </c>
      <c r="AM46">
        <f>IF(AK46&gt;=2,(AK46-2)/8,0)</f>
        <v/>
      </c>
    </row>
    <row r="47">
      <c r="T47">
        <f>SUM(C47:R47)</f>
        <v/>
      </c>
      <c r="U47" s="6">
        <f>ROUND(T47/11.5,2)</f>
        <v/>
      </c>
      <c r="V47" s="7">
        <f>IF(B47="","",IF(AB47,0,ROUND(AL47,2)))</f>
        <v/>
      </c>
      <c r="W47" s="7">
        <f>IF(B47="","",IF(AB47,0,MIN(5,ROUND(AL47+AM47,2))))</f>
        <v/>
      </c>
      <c r="X47" s="8">
        <f>IF(B47="","",IF(W47&gt;=5,"A+",IF(W47&gt;=4,"A",IF(W47&gt;=3.5,"A-",IF(W47&gt;=3,"B",IF(W47&gt;=2,"C",IF(W47&gt;=1,"D","F")))))))</f>
        <v/>
      </c>
      <c r="Y47">
        <f>NOT(OR(AND(J47&gt;=10,K47&gt;=23,L47&gt;=10,M47&gt;=23),AND(J47+L47&gt;=20,K47+M47&gt;=46)))</f>
        <v/>
      </c>
      <c r="Z47">
        <f>OR(N47&lt;10,O47&lt;23)</f>
        <v/>
      </c>
      <c r="AA47">
        <f>OR(P47&lt;10,Q47&lt;23)</f>
        <v/>
      </c>
      <c r="AB47">
        <f>OR((C47+D47)&lt;66,(E47+F47)&lt;66,G47&lt;33,(H47+I47)&lt;66,Y47,Z47,AA47,R47&lt;8.25)</f>
        <v/>
      </c>
      <c r="AC47">
        <f>IF(C47+D47&lt;66,0,IF((C47+D47)/2&gt;=80,5,IF((C47+D47)/2&gt;=70,4,IF((C47+D47)/2&gt;=60,3.5,IF((C47+D47)/2&gt;=50,3,IF((C47+D47)/2&gt;=40,2,IF((C47+D47)/2&gt;=33,1,0)))))))</f>
        <v/>
      </c>
      <c r="AD47">
        <f>IF(E47+F47&lt;66,0,IF((E47+F47)/2&gt;=80,5,IF((E47+F47)/2&gt;=70,4,IF((E47+F47)/2&gt;=60,3.5,IF((E47+F47)/2&gt;=50,3,IF((E47+F47)/2&gt;=40,2,IF((E47+F47)/2&gt;=33,1,0)))))))</f>
        <v/>
      </c>
      <c r="AE47">
        <f>IF(G47&lt;33,0,IF(G47&gt;=80,5,IF(G47&gt;=70,4,IF(G47&gt;=60,3.5,IF(G47&gt;=50,3,IF(G47&gt;=40,2,IF(G47&gt;=33,1,0)))))))</f>
        <v/>
      </c>
      <c r="AF47">
        <f>IF(H47+I47&lt;66,0,IF((H47+I47)/2&gt;=80,5,IF((H47+I47)/2&gt;=70,4,IF((H47+I47)/2&gt;=60,3.5,IF((H47+I47)/2&gt;=50,3,IF((H47+I47)/2&gt;=40,2,IF((H47+I47)/2&gt;=33,1,0)))))))</f>
        <v/>
      </c>
      <c r="AG47">
        <f>IF(Y47,0,IF((J47+K47+L47+M47)/2&gt;=80,5,IF((J47+K47+L47+M47)/2&gt;=70,4,IF((J47+K47+L47+M47)/2&gt;=60,3.5,IF((J47+K47+L47+M47)/2&gt;=50,3,IF((J47+K47+L47+M47)/2&gt;=40,2,IF((J47+K47+L47+M47)/2&gt;=33,1,0)))))))</f>
        <v/>
      </c>
      <c r="AH47">
        <f>IF(Z47,0,IF(N47+O47&gt;=80,5,IF(N47+O47&gt;=70,4,IF(N47+O47&gt;=60,3.5,IF(N47+O47&gt;=50,3,IF(N47+O47&gt;=40,2,IF(N47+O47&gt;=33,1,0)))))))</f>
        <v/>
      </c>
      <c r="AI47">
        <f>IF(AA47,0,IF(P47+Q47&gt;=80,5,IF(P47+Q47&gt;=70,4,IF(P47+Q47&gt;=60,3.5,IF(P47+Q47&gt;=50,3,IF(P47+Q47&gt;=40,2,IF(P47+Q47&gt;=33,1,0)))))))</f>
        <v/>
      </c>
      <c r="AJ47">
        <f>IF(R47&lt;8.25,0,IF(R47*2&gt;=80,5,IF(R47*2&gt;=70,4,IF(R47*2&gt;=60,3.5,IF(R47*2&gt;=50,3,IF(R47*2&gt;=40,2,IF(R47*2&gt;=33,1,0)))))))</f>
        <v/>
      </c>
      <c r="AK47">
        <f>IF(S47&lt;33,0,IF(S47&gt;=80,5,IF(S47&gt;=70,4,IF(S47&gt;=60,3.5,IF(S47&gt;=50,3,IF(S47&gt;=40,2,IF(S47&gt;=33,1,0)))))))</f>
        <v/>
      </c>
      <c r="AL47">
        <f>(AC47+AD47+AE47+AF47+AG47+AH47+AI47+AJ47)/8</f>
        <v/>
      </c>
      <c r="AM47">
        <f>IF(AK47&gt;=2,(AK47-2)/8,0)</f>
        <v/>
      </c>
    </row>
    <row r="48">
      <c r="T48">
        <f>SUM(C48:R48)</f>
        <v/>
      </c>
      <c r="U48" s="6">
        <f>ROUND(T48/11.5,2)</f>
        <v/>
      </c>
      <c r="V48" s="7">
        <f>IF(B48="","",IF(AB48,0,ROUND(AL48,2)))</f>
        <v/>
      </c>
      <c r="W48" s="7">
        <f>IF(B48="","",IF(AB48,0,MIN(5,ROUND(AL48+AM48,2))))</f>
        <v/>
      </c>
      <c r="X48" s="8">
        <f>IF(B48="","",IF(W48&gt;=5,"A+",IF(W48&gt;=4,"A",IF(W48&gt;=3.5,"A-",IF(W48&gt;=3,"B",IF(W48&gt;=2,"C",IF(W48&gt;=1,"D","F")))))))</f>
        <v/>
      </c>
      <c r="Y48">
        <f>NOT(OR(AND(J48&gt;=10,K48&gt;=23,L48&gt;=10,M48&gt;=23),AND(J48+L48&gt;=20,K48+M48&gt;=46)))</f>
        <v/>
      </c>
      <c r="Z48">
        <f>OR(N48&lt;10,O48&lt;23)</f>
        <v/>
      </c>
      <c r="AA48">
        <f>OR(P48&lt;10,Q48&lt;23)</f>
        <v/>
      </c>
      <c r="AB48">
        <f>OR((C48+D48)&lt;66,(E48+F48)&lt;66,G48&lt;33,(H48+I48)&lt;66,Y48,Z48,AA48,R48&lt;8.25)</f>
        <v/>
      </c>
      <c r="AC48">
        <f>IF(C48+D48&lt;66,0,IF((C48+D48)/2&gt;=80,5,IF((C48+D48)/2&gt;=70,4,IF((C48+D48)/2&gt;=60,3.5,IF((C48+D48)/2&gt;=50,3,IF((C48+D48)/2&gt;=40,2,IF((C48+D48)/2&gt;=33,1,0)))))))</f>
        <v/>
      </c>
      <c r="AD48">
        <f>IF(E48+F48&lt;66,0,IF((E48+F48)/2&gt;=80,5,IF((E48+F48)/2&gt;=70,4,IF((E48+F48)/2&gt;=60,3.5,IF((E48+F48)/2&gt;=50,3,IF((E48+F48)/2&gt;=40,2,IF((E48+F48)/2&gt;=33,1,0)))))))</f>
        <v/>
      </c>
      <c r="AE48">
        <f>IF(G48&lt;33,0,IF(G48&gt;=80,5,IF(G48&gt;=70,4,IF(G48&gt;=60,3.5,IF(G48&gt;=50,3,IF(G48&gt;=40,2,IF(G48&gt;=33,1,0)))))))</f>
        <v/>
      </c>
      <c r="AF48">
        <f>IF(H48+I48&lt;66,0,IF((H48+I48)/2&gt;=80,5,IF((H48+I48)/2&gt;=70,4,IF((H48+I48)/2&gt;=60,3.5,IF((H48+I48)/2&gt;=50,3,IF((H48+I48)/2&gt;=40,2,IF((H48+I48)/2&gt;=33,1,0)))))))</f>
        <v/>
      </c>
      <c r="AG48">
        <f>IF(Y48,0,IF((J48+K48+L48+M48)/2&gt;=80,5,IF((J48+K48+L48+M48)/2&gt;=70,4,IF((J48+K48+L48+M48)/2&gt;=60,3.5,IF((J48+K48+L48+M48)/2&gt;=50,3,IF((J48+K48+L48+M48)/2&gt;=40,2,IF((J48+K48+L48+M48)/2&gt;=33,1,0)))))))</f>
        <v/>
      </c>
      <c r="AH48">
        <f>IF(Z48,0,IF(N48+O48&gt;=80,5,IF(N48+O48&gt;=70,4,IF(N48+O48&gt;=60,3.5,IF(N48+O48&gt;=50,3,IF(N48+O48&gt;=40,2,IF(N48+O48&gt;=33,1,0)))))))</f>
        <v/>
      </c>
      <c r="AI48">
        <f>IF(AA48,0,IF(P48+Q48&gt;=80,5,IF(P48+Q48&gt;=70,4,IF(P48+Q48&gt;=60,3.5,IF(P48+Q48&gt;=50,3,IF(P48+Q48&gt;=40,2,IF(P48+Q48&gt;=33,1,0)))))))</f>
        <v/>
      </c>
      <c r="AJ48">
        <f>IF(R48&lt;8.25,0,IF(R48*2&gt;=80,5,IF(R48*2&gt;=70,4,IF(R48*2&gt;=60,3.5,IF(R48*2&gt;=50,3,IF(R48*2&gt;=40,2,IF(R48*2&gt;=33,1,0)))))))</f>
        <v/>
      </c>
      <c r="AK48">
        <f>IF(S48&lt;33,0,IF(S48&gt;=80,5,IF(S48&gt;=70,4,IF(S48&gt;=60,3.5,IF(S48&gt;=50,3,IF(S48&gt;=40,2,IF(S48&gt;=33,1,0)))))))</f>
        <v/>
      </c>
      <c r="AL48">
        <f>(AC48+AD48+AE48+AF48+AG48+AH48+AI48+AJ48)/8</f>
        <v/>
      </c>
      <c r="AM48">
        <f>IF(AK48&gt;=2,(AK48-2)/8,0)</f>
        <v/>
      </c>
    </row>
    <row r="49">
      <c r="T49">
        <f>SUM(C49:R49)</f>
        <v/>
      </c>
      <c r="U49" s="6">
        <f>ROUND(T49/11.5,2)</f>
        <v/>
      </c>
      <c r="V49" s="7">
        <f>IF(B49="","",IF(AB49,0,ROUND(AL49,2)))</f>
        <v/>
      </c>
      <c r="W49" s="7">
        <f>IF(B49="","",IF(AB49,0,MIN(5,ROUND(AL49+AM49,2))))</f>
        <v/>
      </c>
      <c r="X49" s="8">
        <f>IF(B49="","",IF(W49&gt;=5,"A+",IF(W49&gt;=4,"A",IF(W49&gt;=3.5,"A-",IF(W49&gt;=3,"B",IF(W49&gt;=2,"C",IF(W49&gt;=1,"D","F")))))))</f>
        <v/>
      </c>
      <c r="Y49">
        <f>NOT(OR(AND(J49&gt;=10,K49&gt;=23,L49&gt;=10,M49&gt;=23),AND(J49+L49&gt;=20,K49+M49&gt;=46)))</f>
        <v/>
      </c>
      <c r="Z49">
        <f>OR(N49&lt;10,O49&lt;23)</f>
        <v/>
      </c>
      <c r="AA49">
        <f>OR(P49&lt;10,Q49&lt;23)</f>
        <v/>
      </c>
      <c r="AB49">
        <f>OR((C49+D49)&lt;66,(E49+F49)&lt;66,G49&lt;33,(H49+I49)&lt;66,Y49,Z49,AA49,R49&lt;8.25)</f>
        <v/>
      </c>
      <c r="AC49">
        <f>IF(C49+D49&lt;66,0,IF((C49+D49)/2&gt;=80,5,IF((C49+D49)/2&gt;=70,4,IF((C49+D49)/2&gt;=60,3.5,IF((C49+D49)/2&gt;=50,3,IF((C49+D49)/2&gt;=40,2,IF((C49+D49)/2&gt;=33,1,0)))))))</f>
        <v/>
      </c>
      <c r="AD49">
        <f>IF(E49+F49&lt;66,0,IF((E49+F49)/2&gt;=80,5,IF((E49+F49)/2&gt;=70,4,IF((E49+F49)/2&gt;=60,3.5,IF((E49+F49)/2&gt;=50,3,IF((E49+F49)/2&gt;=40,2,IF((E49+F49)/2&gt;=33,1,0)))))))</f>
        <v/>
      </c>
      <c r="AE49">
        <f>IF(G49&lt;33,0,IF(G49&gt;=80,5,IF(G49&gt;=70,4,IF(G49&gt;=60,3.5,IF(G49&gt;=50,3,IF(G49&gt;=40,2,IF(G49&gt;=33,1,0)))))))</f>
        <v/>
      </c>
      <c r="AF49">
        <f>IF(H49+I49&lt;66,0,IF((H49+I49)/2&gt;=80,5,IF((H49+I49)/2&gt;=70,4,IF((H49+I49)/2&gt;=60,3.5,IF((H49+I49)/2&gt;=50,3,IF((H49+I49)/2&gt;=40,2,IF((H49+I49)/2&gt;=33,1,0)))))))</f>
        <v/>
      </c>
      <c r="AG49">
        <f>IF(Y49,0,IF((J49+K49+L49+M49)/2&gt;=80,5,IF((J49+K49+L49+M49)/2&gt;=70,4,IF((J49+K49+L49+M49)/2&gt;=60,3.5,IF((J49+K49+L49+M49)/2&gt;=50,3,IF((J49+K49+L49+M49)/2&gt;=40,2,IF((J49+K49+L49+M49)/2&gt;=33,1,0)))))))</f>
        <v/>
      </c>
      <c r="AH49">
        <f>IF(Z49,0,IF(N49+O49&gt;=80,5,IF(N49+O49&gt;=70,4,IF(N49+O49&gt;=60,3.5,IF(N49+O49&gt;=50,3,IF(N49+O49&gt;=40,2,IF(N49+O49&gt;=33,1,0)))))))</f>
        <v/>
      </c>
      <c r="AI49">
        <f>IF(AA49,0,IF(P49+Q49&gt;=80,5,IF(P49+Q49&gt;=70,4,IF(P49+Q49&gt;=60,3.5,IF(P49+Q49&gt;=50,3,IF(P49+Q49&gt;=40,2,IF(P49+Q49&gt;=33,1,0)))))))</f>
        <v/>
      </c>
      <c r="AJ49">
        <f>IF(R49&lt;8.25,0,IF(R49*2&gt;=80,5,IF(R49*2&gt;=70,4,IF(R49*2&gt;=60,3.5,IF(R49*2&gt;=50,3,IF(R49*2&gt;=40,2,IF(R49*2&gt;=33,1,0)))))))</f>
        <v/>
      </c>
      <c r="AK49">
        <f>IF(S49&lt;33,0,IF(S49&gt;=80,5,IF(S49&gt;=70,4,IF(S49&gt;=60,3.5,IF(S49&gt;=50,3,IF(S49&gt;=40,2,IF(S49&gt;=33,1,0)))))))</f>
        <v/>
      </c>
      <c r="AL49">
        <f>(AC49+AD49+AE49+AF49+AG49+AH49+AI49+AJ49)/8</f>
        <v/>
      </c>
      <c r="AM49">
        <f>IF(AK49&gt;=2,(AK49-2)/8,0)</f>
        <v/>
      </c>
    </row>
    <row r="50">
      <c r="T50">
        <f>SUM(C50:R50)</f>
        <v/>
      </c>
      <c r="U50" s="6">
        <f>ROUND(T50/11.5,2)</f>
        <v/>
      </c>
      <c r="V50" s="7">
        <f>IF(B50="","",IF(AB50,0,ROUND(AL50,2)))</f>
        <v/>
      </c>
      <c r="W50" s="7">
        <f>IF(B50="","",IF(AB50,0,MIN(5,ROUND(AL50+AM50,2))))</f>
        <v/>
      </c>
      <c r="X50" s="8">
        <f>IF(B50="","",IF(W50&gt;=5,"A+",IF(W50&gt;=4,"A",IF(W50&gt;=3.5,"A-",IF(W50&gt;=3,"B",IF(W50&gt;=2,"C",IF(W50&gt;=1,"D","F")))))))</f>
        <v/>
      </c>
      <c r="Y50">
        <f>NOT(OR(AND(J50&gt;=10,K50&gt;=23,L50&gt;=10,M50&gt;=23),AND(J50+L50&gt;=20,K50+M50&gt;=46)))</f>
        <v/>
      </c>
      <c r="Z50">
        <f>OR(N50&lt;10,O50&lt;23)</f>
        <v/>
      </c>
      <c r="AA50">
        <f>OR(P50&lt;10,Q50&lt;23)</f>
        <v/>
      </c>
      <c r="AB50">
        <f>OR((C50+D50)&lt;66,(E50+F50)&lt;66,G50&lt;33,(H50+I50)&lt;66,Y50,Z50,AA50,R50&lt;8.25)</f>
        <v/>
      </c>
      <c r="AC50">
        <f>IF(C50+D50&lt;66,0,IF((C50+D50)/2&gt;=80,5,IF((C50+D50)/2&gt;=70,4,IF((C50+D50)/2&gt;=60,3.5,IF((C50+D50)/2&gt;=50,3,IF((C50+D50)/2&gt;=40,2,IF((C50+D50)/2&gt;=33,1,0)))))))</f>
        <v/>
      </c>
      <c r="AD50">
        <f>IF(E50+F50&lt;66,0,IF((E50+F50)/2&gt;=80,5,IF((E50+F50)/2&gt;=70,4,IF((E50+F50)/2&gt;=60,3.5,IF((E50+F50)/2&gt;=50,3,IF((E50+F50)/2&gt;=40,2,IF((E50+F50)/2&gt;=33,1,0)))))))</f>
        <v/>
      </c>
      <c r="AE50">
        <f>IF(G50&lt;33,0,IF(G50&gt;=80,5,IF(G50&gt;=70,4,IF(G50&gt;=60,3.5,IF(G50&gt;=50,3,IF(G50&gt;=40,2,IF(G50&gt;=33,1,0)))))))</f>
        <v/>
      </c>
      <c r="AF50">
        <f>IF(H50+I50&lt;66,0,IF((H50+I50)/2&gt;=80,5,IF((H50+I50)/2&gt;=70,4,IF((H50+I50)/2&gt;=60,3.5,IF((H50+I50)/2&gt;=50,3,IF((H50+I50)/2&gt;=40,2,IF((H50+I50)/2&gt;=33,1,0)))))))</f>
        <v/>
      </c>
      <c r="AG50">
        <f>IF(Y50,0,IF((J50+K50+L50+M50)/2&gt;=80,5,IF((J50+K50+L50+M50)/2&gt;=70,4,IF((J50+K50+L50+M50)/2&gt;=60,3.5,IF((J50+K50+L50+M50)/2&gt;=50,3,IF((J50+K50+L50+M50)/2&gt;=40,2,IF((J50+K50+L50+M50)/2&gt;=33,1,0)))))))</f>
        <v/>
      </c>
      <c r="AH50">
        <f>IF(Z50,0,IF(N50+O50&gt;=80,5,IF(N50+O50&gt;=70,4,IF(N50+O50&gt;=60,3.5,IF(N50+O50&gt;=50,3,IF(N50+O50&gt;=40,2,IF(N50+O50&gt;=33,1,0)))))))</f>
        <v/>
      </c>
      <c r="AI50">
        <f>IF(AA50,0,IF(P50+Q50&gt;=80,5,IF(P50+Q50&gt;=70,4,IF(P50+Q50&gt;=60,3.5,IF(P50+Q50&gt;=50,3,IF(P50+Q50&gt;=40,2,IF(P50+Q50&gt;=33,1,0)))))))</f>
        <v/>
      </c>
      <c r="AJ50">
        <f>IF(R50&lt;8.25,0,IF(R50*2&gt;=80,5,IF(R50*2&gt;=70,4,IF(R50*2&gt;=60,3.5,IF(R50*2&gt;=50,3,IF(R50*2&gt;=40,2,IF(R50*2&gt;=33,1,0)))))))</f>
        <v/>
      </c>
      <c r="AK50">
        <f>IF(S50&lt;33,0,IF(S50&gt;=80,5,IF(S50&gt;=70,4,IF(S50&gt;=60,3.5,IF(S50&gt;=50,3,IF(S50&gt;=40,2,IF(S50&gt;=33,1,0)))))))</f>
        <v/>
      </c>
      <c r="AL50">
        <f>(AC50+AD50+AE50+AF50+AG50+AH50+AI50+AJ50)/8</f>
        <v/>
      </c>
      <c r="AM50">
        <f>IF(AK50&gt;=2,(AK50-2)/8,0)</f>
        <v/>
      </c>
    </row>
    <row r="51">
      <c r="T51">
        <f>SUM(C51:R51)</f>
        <v/>
      </c>
      <c r="U51" s="6">
        <f>ROUND(T51/11.5,2)</f>
        <v/>
      </c>
      <c r="V51" s="7">
        <f>IF(B51="","",IF(AB51,0,ROUND(AL51,2)))</f>
        <v/>
      </c>
      <c r="W51" s="7">
        <f>IF(B51="","",IF(AB51,0,MIN(5,ROUND(AL51+AM51,2))))</f>
        <v/>
      </c>
      <c r="X51" s="8">
        <f>IF(B51="","",IF(W51&gt;=5,"A+",IF(W51&gt;=4,"A",IF(W51&gt;=3.5,"A-",IF(W51&gt;=3,"B",IF(W51&gt;=2,"C",IF(W51&gt;=1,"D","F")))))))</f>
        <v/>
      </c>
      <c r="Y51">
        <f>NOT(OR(AND(J51&gt;=10,K51&gt;=23,L51&gt;=10,M51&gt;=23),AND(J51+L51&gt;=20,K51+M51&gt;=46)))</f>
        <v/>
      </c>
      <c r="Z51">
        <f>OR(N51&lt;10,O51&lt;23)</f>
        <v/>
      </c>
      <c r="AA51">
        <f>OR(P51&lt;10,Q51&lt;23)</f>
        <v/>
      </c>
      <c r="AB51">
        <f>OR((C51+D51)&lt;66,(E51+F51)&lt;66,G51&lt;33,(H51+I51)&lt;66,Y51,Z51,AA51,R51&lt;8.25)</f>
        <v/>
      </c>
      <c r="AC51">
        <f>IF(C51+D51&lt;66,0,IF((C51+D51)/2&gt;=80,5,IF((C51+D51)/2&gt;=70,4,IF((C51+D51)/2&gt;=60,3.5,IF((C51+D51)/2&gt;=50,3,IF((C51+D51)/2&gt;=40,2,IF((C51+D51)/2&gt;=33,1,0)))))))</f>
        <v/>
      </c>
      <c r="AD51">
        <f>IF(E51+F51&lt;66,0,IF((E51+F51)/2&gt;=80,5,IF((E51+F51)/2&gt;=70,4,IF((E51+F51)/2&gt;=60,3.5,IF((E51+F51)/2&gt;=50,3,IF((E51+F51)/2&gt;=40,2,IF((E51+F51)/2&gt;=33,1,0)))))))</f>
        <v/>
      </c>
      <c r="AE51">
        <f>IF(G51&lt;33,0,IF(G51&gt;=80,5,IF(G51&gt;=70,4,IF(G51&gt;=60,3.5,IF(G51&gt;=50,3,IF(G51&gt;=40,2,IF(G51&gt;=33,1,0)))))))</f>
        <v/>
      </c>
      <c r="AF51">
        <f>IF(H51+I51&lt;66,0,IF((H51+I51)/2&gt;=80,5,IF((H51+I51)/2&gt;=70,4,IF((H51+I51)/2&gt;=60,3.5,IF((H51+I51)/2&gt;=50,3,IF((H51+I51)/2&gt;=40,2,IF((H51+I51)/2&gt;=33,1,0)))))))</f>
        <v/>
      </c>
      <c r="AG51">
        <f>IF(Y51,0,IF((J51+K51+L51+M51)/2&gt;=80,5,IF((J51+K51+L51+M51)/2&gt;=70,4,IF((J51+K51+L51+M51)/2&gt;=60,3.5,IF((J51+K51+L51+M51)/2&gt;=50,3,IF((J51+K51+L51+M51)/2&gt;=40,2,IF((J51+K51+L51+M51)/2&gt;=33,1,0)))))))</f>
        <v/>
      </c>
      <c r="AH51">
        <f>IF(Z51,0,IF(N51+O51&gt;=80,5,IF(N51+O51&gt;=70,4,IF(N51+O51&gt;=60,3.5,IF(N51+O51&gt;=50,3,IF(N51+O51&gt;=40,2,IF(N51+O51&gt;=33,1,0)))))))</f>
        <v/>
      </c>
      <c r="AI51">
        <f>IF(AA51,0,IF(P51+Q51&gt;=80,5,IF(P51+Q51&gt;=70,4,IF(P51+Q51&gt;=60,3.5,IF(P51+Q51&gt;=50,3,IF(P51+Q51&gt;=40,2,IF(P51+Q51&gt;=33,1,0)))))))</f>
        <v/>
      </c>
      <c r="AJ51">
        <f>IF(R51&lt;8.25,0,IF(R51*2&gt;=80,5,IF(R51*2&gt;=70,4,IF(R51*2&gt;=60,3.5,IF(R51*2&gt;=50,3,IF(R51*2&gt;=40,2,IF(R51*2&gt;=33,1,0)))))))</f>
        <v/>
      </c>
      <c r="AK51">
        <f>IF(S51&lt;33,0,IF(S51&gt;=80,5,IF(S51&gt;=70,4,IF(S51&gt;=60,3.5,IF(S51&gt;=50,3,IF(S51&gt;=40,2,IF(S51&gt;=33,1,0)))))))</f>
        <v/>
      </c>
      <c r="AL51">
        <f>(AC51+AD51+AE51+AF51+AG51+AH51+AI51+AJ51)/8</f>
        <v/>
      </c>
      <c r="AM51">
        <f>IF(AK51&gt;=2,(AK51-2)/8,0)</f>
        <v/>
      </c>
    </row>
    <row r="52">
      <c r="T52">
        <f>SUM(C52:R52)</f>
        <v/>
      </c>
      <c r="U52" s="6">
        <f>ROUND(T52/11.5,2)</f>
        <v/>
      </c>
      <c r="V52" s="7">
        <f>IF(B52="","",IF(AB52,0,ROUND(AL52,2)))</f>
        <v/>
      </c>
      <c r="W52" s="7">
        <f>IF(B52="","",IF(AB52,0,MIN(5,ROUND(AL52+AM52,2))))</f>
        <v/>
      </c>
      <c r="X52" s="8">
        <f>IF(B52="","",IF(W52&gt;=5,"A+",IF(W52&gt;=4,"A",IF(W52&gt;=3.5,"A-",IF(W52&gt;=3,"B",IF(W52&gt;=2,"C",IF(W52&gt;=1,"D","F")))))))</f>
        <v/>
      </c>
      <c r="Y52">
        <f>NOT(OR(AND(J52&gt;=10,K52&gt;=23,L52&gt;=10,M52&gt;=23),AND(J52+L52&gt;=20,K52+M52&gt;=46)))</f>
        <v/>
      </c>
      <c r="Z52">
        <f>OR(N52&lt;10,O52&lt;23)</f>
        <v/>
      </c>
      <c r="AA52">
        <f>OR(P52&lt;10,Q52&lt;23)</f>
        <v/>
      </c>
      <c r="AB52">
        <f>OR((C52+D52)&lt;66,(E52+F52)&lt;66,G52&lt;33,(H52+I52)&lt;66,Y52,Z52,AA52,R52&lt;8.25)</f>
        <v/>
      </c>
      <c r="AC52">
        <f>IF(C52+D52&lt;66,0,IF((C52+D52)/2&gt;=80,5,IF((C52+D52)/2&gt;=70,4,IF((C52+D52)/2&gt;=60,3.5,IF((C52+D52)/2&gt;=50,3,IF((C52+D52)/2&gt;=40,2,IF((C52+D52)/2&gt;=33,1,0)))))))</f>
        <v/>
      </c>
      <c r="AD52">
        <f>IF(E52+F52&lt;66,0,IF((E52+F52)/2&gt;=80,5,IF((E52+F52)/2&gt;=70,4,IF((E52+F52)/2&gt;=60,3.5,IF((E52+F52)/2&gt;=50,3,IF((E52+F52)/2&gt;=40,2,IF((E52+F52)/2&gt;=33,1,0)))))))</f>
        <v/>
      </c>
      <c r="AE52">
        <f>IF(G52&lt;33,0,IF(G52&gt;=80,5,IF(G52&gt;=70,4,IF(G52&gt;=60,3.5,IF(G52&gt;=50,3,IF(G52&gt;=40,2,IF(G52&gt;=33,1,0)))))))</f>
        <v/>
      </c>
      <c r="AF52">
        <f>IF(H52+I52&lt;66,0,IF((H52+I52)/2&gt;=80,5,IF((H52+I52)/2&gt;=70,4,IF((H52+I52)/2&gt;=60,3.5,IF((H52+I52)/2&gt;=50,3,IF((H52+I52)/2&gt;=40,2,IF((H52+I52)/2&gt;=33,1,0)))))))</f>
        <v/>
      </c>
      <c r="AG52">
        <f>IF(Y52,0,IF((J52+K52+L52+M52)/2&gt;=80,5,IF((J52+K52+L52+M52)/2&gt;=70,4,IF((J52+K52+L52+M52)/2&gt;=60,3.5,IF((J52+K52+L52+M52)/2&gt;=50,3,IF((J52+K52+L52+M52)/2&gt;=40,2,IF((J52+K52+L52+M52)/2&gt;=33,1,0)))))))</f>
        <v/>
      </c>
      <c r="AH52">
        <f>IF(Z52,0,IF(N52+O52&gt;=80,5,IF(N52+O52&gt;=70,4,IF(N52+O52&gt;=60,3.5,IF(N52+O52&gt;=50,3,IF(N52+O52&gt;=40,2,IF(N52+O52&gt;=33,1,0)))))))</f>
        <v/>
      </c>
      <c r="AI52">
        <f>IF(AA52,0,IF(P52+Q52&gt;=80,5,IF(P52+Q52&gt;=70,4,IF(P52+Q52&gt;=60,3.5,IF(P52+Q52&gt;=50,3,IF(P52+Q52&gt;=40,2,IF(P52+Q52&gt;=33,1,0)))))))</f>
        <v/>
      </c>
      <c r="AJ52">
        <f>IF(R52&lt;8.25,0,IF(R52*2&gt;=80,5,IF(R52*2&gt;=70,4,IF(R52*2&gt;=60,3.5,IF(R52*2&gt;=50,3,IF(R52*2&gt;=40,2,IF(R52*2&gt;=33,1,0)))))))</f>
        <v/>
      </c>
      <c r="AK52">
        <f>IF(S52&lt;33,0,IF(S52&gt;=80,5,IF(S52&gt;=70,4,IF(S52&gt;=60,3.5,IF(S52&gt;=50,3,IF(S52&gt;=40,2,IF(S52&gt;=33,1,0)))))))</f>
        <v/>
      </c>
      <c r="AL52">
        <f>(AC52+AD52+AE52+AF52+AG52+AH52+AI52+AJ52)/8</f>
        <v/>
      </c>
      <c r="AM52">
        <f>IF(AK52&gt;=2,(AK52-2)/8,0)</f>
        <v/>
      </c>
    </row>
    <row r="53">
      <c r="T53">
        <f>SUM(C53:R53)</f>
        <v/>
      </c>
      <c r="U53" s="6">
        <f>ROUND(T53/11.5,2)</f>
        <v/>
      </c>
      <c r="V53" s="7">
        <f>IF(B53="","",IF(AB53,0,ROUND(AL53,2)))</f>
        <v/>
      </c>
      <c r="W53" s="7">
        <f>IF(B53="","",IF(AB53,0,MIN(5,ROUND(AL53+AM53,2))))</f>
        <v/>
      </c>
      <c r="X53" s="8">
        <f>IF(B53="","",IF(W53&gt;=5,"A+",IF(W53&gt;=4,"A",IF(W53&gt;=3.5,"A-",IF(W53&gt;=3,"B",IF(W53&gt;=2,"C",IF(W53&gt;=1,"D","F")))))))</f>
        <v/>
      </c>
      <c r="Y53">
        <f>NOT(OR(AND(J53&gt;=10,K53&gt;=23,L53&gt;=10,M53&gt;=23),AND(J53+L53&gt;=20,K53+M53&gt;=46)))</f>
        <v/>
      </c>
      <c r="Z53">
        <f>OR(N53&lt;10,O53&lt;23)</f>
        <v/>
      </c>
      <c r="AA53">
        <f>OR(P53&lt;10,Q53&lt;23)</f>
        <v/>
      </c>
      <c r="AB53">
        <f>OR((C53+D53)&lt;66,(E53+F53)&lt;66,G53&lt;33,(H53+I53)&lt;66,Y53,Z53,AA53,R53&lt;8.25)</f>
        <v/>
      </c>
      <c r="AC53">
        <f>IF(C53+D53&lt;66,0,IF((C53+D53)/2&gt;=80,5,IF((C53+D53)/2&gt;=70,4,IF((C53+D53)/2&gt;=60,3.5,IF((C53+D53)/2&gt;=50,3,IF((C53+D53)/2&gt;=40,2,IF((C53+D53)/2&gt;=33,1,0)))))))</f>
        <v/>
      </c>
      <c r="AD53">
        <f>IF(E53+F53&lt;66,0,IF((E53+F53)/2&gt;=80,5,IF((E53+F53)/2&gt;=70,4,IF((E53+F53)/2&gt;=60,3.5,IF((E53+F53)/2&gt;=50,3,IF((E53+F53)/2&gt;=40,2,IF((E53+F53)/2&gt;=33,1,0)))))))</f>
        <v/>
      </c>
      <c r="AE53">
        <f>IF(G53&lt;33,0,IF(G53&gt;=80,5,IF(G53&gt;=70,4,IF(G53&gt;=60,3.5,IF(G53&gt;=50,3,IF(G53&gt;=40,2,IF(G53&gt;=33,1,0)))))))</f>
        <v/>
      </c>
      <c r="AF53">
        <f>IF(H53+I53&lt;66,0,IF((H53+I53)/2&gt;=80,5,IF((H53+I53)/2&gt;=70,4,IF((H53+I53)/2&gt;=60,3.5,IF((H53+I53)/2&gt;=50,3,IF((H53+I53)/2&gt;=40,2,IF((H53+I53)/2&gt;=33,1,0)))))))</f>
        <v/>
      </c>
      <c r="AG53">
        <f>IF(Y53,0,IF((J53+K53+L53+M53)/2&gt;=80,5,IF((J53+K53+L53+M53)/2&gt;=70,4,IF((J53+K53+L53+M53)/2&gt;=60,3.5,IF((J53+K53+L53+M53)/2&gt;=50,3,IF((J53+K53+L53+M53)/2&gt;=40,2,IF((J53+K53+L53+M53)/2&gt;=33,1,0)))))))</f>
        <v/>
      </c>
      <c r="AH53">
        <f>IF(Z53,0,IF(N53+O53&gt;=80,5,IF(N53+O53&gt;=70,4,IF(N53+O53&gt;=60,3.5,IF(N53+O53&gt;=50,3,IF(N53+O53&gt;=40,2,IF(N53+O53&gt;=33,1,0)))))))</f>
        <v/>
      </c>
      <c r="AI53">
        <f>IF(AA53,0,IF(P53+Q53&gt;=80,5,IF(P53+Q53&gt;=70,4,IF(P53+Q53&gt;=60,3.5,IF(P53+Q53&gt;=50,3,IF(P53+Q53&gt;=40,2,IF(P53+Q53&gt;=33,1,0)))))))</f>
        <v/>
      </c>
      <c r="AJ53">
        <f>IF(R53&lt;8.25,0,IF(R53*2&gt;=80,5,IF(R53*2&gt;=70,4,IF(R53*2&gt;=60,3.5,IF(R53*2&gt;=50,3,IF(R53*2&gt;=40,2,IF(R53*2&gt;=33,1,0)))))))</f>
        <v/>
      </c>
      <c r="AK53">
        <f>IF(S53&lt;33,0,IF(S53&gt;=80,5,IF(S53&gt;=70,4,IF(S53&gt;=60,3.5,IF(S53&gt;=50,3,IF(S53&gt;=40,2,IF(S53&gt;=33,1,0)))))))</f>
        <v/>
      </c>
      <c r="AL53">
        <f>(AC53+AD53+AE53+AF53+AG53+AH53+AI53+AJ53)/8</f>
        <v/>
      </c>
      <c r="AM53">
        <f>IF(AK53&gt;=2,(AK53-2)/8,0)</f>
        <v/>
      </c>
    </row>
    <row r="54">
      <c r="T54">
        <f>SUM(C54:R54)</f>
        <v/>
      </c>
      <c r="U54" s="6">
        <f>ROUND(T54/11.5,2)</f>
        <v/>
      </c>
      <c r="V54" s="7">
        <f>IF(B54="","",IF(AB54,0,ROUND(AL54,2)))</f>
        <v/>
      </c>
      <c r="W54" s="7">
        <f>IF(B54="","",IF(AB54,0,MIN(5,ROUND(AL54+AM54,2))))</f>
        <v/>
      </c>
      <c r="X54" s="8">
        <f>IF(B54="","",IF(W54&gt;=5,"A+",IF(W54&gt;=4,"A",IF(W54&gt;=3.5,"A-",IF(W54&gt;=3,"B",IF(W54&gt;=2,"C",IF(W54&gt;=1,"D","F")))))))</f>
        <v/>
      </c>
      <c r="Y54">
        <f>NOT(OR(AND(J54&gt;=10,K54&gt;=23,L54&gt;=10,M54&gt;=23),AND(J54+L54&gt;=20,K54+M54&gt;=46)))</f>
        <v/>
      </c>
      <c r="Z54">
        <f>OR(N54&lt;10,O54&lt;23)</f>
        <v/>
      </c>
      <c r="AA54">
        <f>OR(P54&lt;10,Q54&lt;23)</f>
        <v/>
      </c>
      <c r="AB54">
        <f>OR((C54+D54)&lt;66,(E54+F54)&lt;66,G54&lt;33,(H54+I54)&lt;66,Y54,Z54,AA54,R54&lt;8.25)</f>
        <v/>
      </c>
      <c r="AC54">
        <f>IF(C54+D54&lt;66,0,IF((C54+D54)/2&gt;=80,5,IF((C54+D54)/2&gt;=70,4,IF((C54+D54)/2&gt;=60,3.5,IF((C54+D54)/2&gt;=50,3,IF((C54+D54)/2&gt;=40,2,IF((C54+D54)/2&gt;=33,1,0)))))))</f>
        <v/>
      </c>
      <c r="AD54">
        <f>IF(E54+F54&lt;66,0,IF((E54+F54)/2&gt;=80,5,IF((E54+F54)/2&gt;=70,4,IF((E54+F54)/2&gt;=60,3.5,IF((E54+F54)/2&gt;=50,3,IF((E54+F54)/2&gt;=40,2,IF((E54+F54)/2&gt;=33,1,0)))))))</f>
        <v/>
      </c>
      <c r="AE54">
        <f>IF(G54&lt;33,0,IF(G54&gt;=80,5,IF(G54&gt;=70,4,IF(G54&gt;=60,3.5,IF(G54&gt;=50,3,IF(G54&gt;=40,2,IF(G54&gt;=33,1,0)))))))</f>
        <v/>
      </c>
      <c r="AF54">
        <f>IF(H54+I54&lt;66,0,IF((H54+I54)/2&gt;=80,5,IF((H54+I54)/2&gt;=70,4,IF((H54+I54)/2&gt;=60,3.5,IF((H54+I54)/2&gt;=50,3,IF((H54+I54)/2&gt;=40,2,IF((H54+I54)/2&gt;=33,1,0)))))))</f>
        <v/>
      </c>
      <c r="AG54">
        <f>IF(Y54,0,IF((J54+K54+L54+M54)/2&gt;=80,5,IF((J54+K54+L54+M54)/2&gt;=70,4,IF((J54+K54+L54+M54)/2&gt;=60,3.5,IF((J54+K54+L54+M54)/2&gt;=50,3,IF((J54+K54+L54+M54)/2&gt;=40,2,IF((J54+K54+L54+M54)/2&gt;=33,1,0)))))))</f>
        <v/>
      </c>
      <c r="AH54">
        <f>IF(Z54,0,IF(N54+O54&gt;=80,5,IF(N54+O54&gt;=70,4,IF(N54+O54&gt;=60,3.5,IF(N54+O54&gt;=50,3,IF(N54+O54&gt;=40,2,IF(N54+O54&gt;=33,1,0)))))))</f>
        <v/>
      </c>
      <c r="AI54">
        <f>IF(AA54,0,IF(P54+Q54&gt;=80,5,IF(P54+Q54&gt;=70,4,IF(P54+Q54&gt;=60,3.5,IF(P54+Q54&gt;=50,3,IF(P54+Q54&gt;=40,2,IF(P54+Q54&gt;=33,1,0)))))))</f>
        <v/>
      </c>
      <c r="AJ54">
        <f>IF(R54&lt;8.25,0,IF(R54*2&gt;=80,5,IF(R54*2&gt;=70,4,IF(R54*2&gt;=60,3.5,IF(R54*2&gt;=50,3,IF(R54*2&gt;=40,2,IF(R54*2&gt;=33,1,0)))))))</f>
        <v/>
      </c>
      <c r="AK54">
        <f>IF(S54&lt;33,0,IF(S54&gt;=80,5,IF(S54&gt;=70,4,IF(S54&gt;=60,3.5,IF(S54&gt;=50,3,IF(S54&gt;=40,2,IF(S54&gt;=33,1,0)))))))</f>
        <v/>
      </c>
      <c r="AL54">
        <f>(AC54+AD54+AE54+AF54+AG54+AH54+AI54+AJ54)/8</f>
        <v/>
      </c>
      <c r="AM54">
        <f>IF(AK54&gt;=2,(AK54-2)/8,0)</f>
        <v/>
      </c>
    </row>
    <row r="55">
      <c r="T55">
        <f>SUM(C55:R55)</f>
        <v/>
      </c>
      <c r="U55" s="6">
        <f>ROUND(T55/11.5,2)</f>
        <v/>
      </c>
      <c r="V55" s="7">
        <f>IF(B55="","",IF(AB55,0,ROUND(AL55,2)))</f>
        <v/>
      </c>
      <c r="W55" s="7">
        <f>IF(B55="","",IF(AB55,0,MIN(5,ROUND(AL55+AM55,2))))</f>
        <v/>
      </c>
      <c r="X55" s="8">
        <f>IF(B55="","",IF(W55&gt;=5,"A+",IF(W55&gt;=4,"A",IF(W55&gt;=3.5,"A-",IF(W55&gt;=3,"B",IF(W55&gt;=2,"C",IF(W55&gt;=1,"D","F")))))))</f>
        <v/>
      </c>
      <c r="Y55">
        <f>NOT(OR(AND(J55&gt;=10,K55&gt;=23,L55&gt;=10,M55&gt;=23),AND(J55+L55&gt;=20,K55+M55&gt;=46)))</f>
        <v/>
      </c>
      <c r="Z55">
        <f>OR(N55&lt;10,O55&lt;23)</f>
        <v/>
      </c>
      <c r="AA55">
        <f>OR(P55&lt;10,Q55&lt;23)</f>
        <v/>
      </c>
      <c r="AB55">
        <f>OR((C55+D55)&lt;66,(E55+F55)&lt;66,G55&lt;33,(H55+I55)&lt;66,Y55,Z55,AA55,R55&lt;8.25)</f>
        <v/>
      </c>
      <c r="AC55">
        <f>IF(C55+D55&lt;66,0,IF((C55+D55)/2&gt;=80,5,IF((C55+D55)/2&gt;=70,4,IF((C55+D55)/2&gt;=60,3.5,IF((C55+D55)/2&gt;=50,3,IF((C55+D55)/2&gt;=40,2,IF((C55+D55)/2&gt;=33,1,0)))))))</f>
        <v/>
      </c>
      <c r="AD55">
        <f>IF(E55+F55&lt;66,0,IF((E55+F55)/2&gt;=80,5,IF((E55+F55)/2&gt;=70,4,IF((E55+F55)/2&gt;=60,3.5,IF((E55+F55)/2&gt;=50,3,IF((E55+F55)/2&gt;=40,2,IF((E55+F55)/2&gt;=33,1,0)))))))</f>
        <v/>
      </c>
      <c r="AE55">
        <f>IF(G55&lt;33,0,IF(G55&gt;=80,5,IF(G55&gt;=70,4,IF(G55&gt;=60,3.5,IF(G55&gt;=50,3,IF(G55&gt;=40,2,IF(G55&gt;=33,1,0)))))))</f>
        <v/>
      </c>
      <c r="AF55">
        <f>IF(H55+I55&lt;66,0,IF((H55+I55)/2&gt;=80,5,IF((H55+I55)/2&gt;=70,4,IF((H55+I55)/2&gt;=60,3.5,IF((H55+I55)/2&gt;=50,3,IF((H55+I55)/2&gt;=40,2,IF((H55+I55)/2&gt;=33,1,0)))))))</f>
        <v/>
      </c>
      <c r="AG55">
        <f>IF(Y55,0,IF((J55+K55+L55+M55)/2&gt;=80,5,IF((J55+K55+L55+M55)/2&gt;=70,4,IF((J55+K55+L55+M55)/2&gt;=60,3.5,IF((J55+K55+L55+M55)/2&gt;=50,3,IF((J55+K55+L55+M55)/2&gt;=40,2,IF((J55+K55+L55+M55)/2&gt;=33,1,0)))))))</f>
        <v/>
      </c>
      <c r="AH55">
        <f>IF(Z55,0,IF(N55+O55&gt;=80,5,IF(N55+O55&gt;=70,4,IF(N55+O55&gt;=60,3.5,IF(N55+O55&gt;=50,3,IF(N55+O55&gt;=40,2,IF(N55+O55&gt;=33,1,0)))))))</f>
        <v/>
      </c>
      <c r="AI55">
        <f>IF(AA55,0,IF(P55+Q55&gt;=80,5,IF(P55+Q55&gt;=70,4,IF(P55+Q55&gt;=60,3.5,IF(P55+Q55&gt;=50,3,IF(P55+Q55&gt;=40,2,IF(P55+Q55&gt;=33,1,0)))))))</f>
        <v/>
      </c>
      <c r="AJ55">
        <f>IF(R55&lt;8.25,0,IF(R55*2&gt;=80,5,IF(R55*2&gt;=70,4,IF(R55*2&gt;=60,3.5,IF(R55*2&gt;=50,3,IF(R55*2&gt;=40,2,IF(R55*2&gt;=33,1,0)))))))</f>
        <v/>
      </c>
      <c r="AK55">
        <f>IF(S55&lt;33,0,IF(S55&gt;=80,5,IF(S55&gt;=70,4,IF(S55&gt;=60,3.5,IF(S55&gt;=50,3,IF(S55&gt;=40,2,IF(S55&gt;=33,1,0)))))))</f>
        <v/>
      </c>
      <c r="AL55">
        <f>(AC55+AD55+AE55+AF55+AG55+AH55+AI55+AJ55)/8</f>
        <v/>
      </c>
      <c r="AM55">
        <f>IF(AK55&gt;=2,(AK55-2)/8,0)</f>
        <v/>
      </c>
    </row>
    <row r="56">
      <c r="T56">
        <f>SUM(C56:R56)</f>
        <v/>
      </c>
      <c r="U56" s="6">
        <f>ROUND(T56/11.5,2)</f>
        <v/>
      </c>
      <c r="V56" s="7">
        <f>IF(B56="","",IF(AB56,0,ROUND(AL56,2)))</f>
        <v/>
      </c>
      <c r="W56" s="7">
        <f>IF(B56="","",IF(AB56,0,MIN(5,ROUND(AL56+AM56,2))))</f>
        <v/>
      </c>
      <c r="X56" s="8">
        <f>IF(B56="","",IF(W56&gt;=5,"A+",IF(W56&gt;=4,"A",IF(W56&gt;=3.5,"A-",IF(W56&gt;=3,"B",IF(W56&gt;=2,"C",IF(W56&gt;=1,"D","F")))))))</f>
        <v/>
      </c>
      <c r="Y56">
        <f>NOT(OR(AND(J56&gt;=10,K56&gt;=23,L56&gt;=10,M56&gt;=23),AND(J56+L56&gt;=20,K56+M56&gt;=46)))</f>
        <v/>
      </c>
      <c r="Z56">
        <f>OR(N56&lt;10,O56&lt;23)</f>
        <v/>
      </c>
      <c r="AA56">
        <f>OR(P56&lt;10,Q56&lt;23)</f>
        <v/>
      </c>
      <c r="AB56">
        <f>OR((C56+D56)&lt;66,(E56+F56)&lt;66,G56&lt;33,(H56+I56)&lt;66,Y56,Z56,AA56,R56&lt;8.25)</f>
        <v/>
      </c>
      <c r="AC56">
        <f>IF(C56+D56&lt;66,0,IF((C56+D56)/2&gt;=80,5,IF((C56+D56)/2&gt;=70,4,IF((C56+D56)/2&gt;=60,3.5,IF((C56+D56)/2&gt;=50,3,IF((C56+D56)/2&gt;=40,2,IF((C56+D56)/2&gt;=33,1,0)))))))</f>
        <v/>
      </c>
      <c r="AD56">
        <f>IF(E56+F56&lt;66,0,IF((E56+F56)/2&gt;=80,5,IF((E56+F56)/2&gt;=70,4,IF((E56+F56)/2&gt;=60,3.5,IF((E56+F56)/2&gt;=50,3,IF((E56+F56)/2&gt;=40,2,IF((E56+F56)/2&gt;=33,1,0)))))))</f>
        <v/>
      </c>
      <c r="AE56">
        <f>IF(G56&lt;33,0,IF(G56&gt;=80,5,IF(G56&gt;=70,4,IF(G56&gt;=60,3.5,IF(G56&gt;=50,3,IF(G56&gt;=40,2,IF(G56&gt;=33,1,0)))))))</f>
        <v/>
      </c>
      <c r="AF56">
        <f>IF(H56+I56&lt;66,0,IF((H56+I56)/2&gt;=80,5,IF((H56+I56)/2&gt;=70,4,IF((H56+I56)/2&gt;=60,3.5,IF((H56+I56)/2&gt;=50,3,IF((H56+I56)/2&gt;=40,2,IF((H56+I56)/2&gt;=33,1,0)))))))</f>
        <v/>
      </c>
      <c r="AG56">
        <f>IF(Y56,0,IF((J56+K56+L56+M56)/2&gt;=80,5,IF((J56+K56+L56+M56)/2&gt;=70,4,IF((J56+K56+L56+M56)/2&gt;=60,3.5,IF((J56+K56+L56+M56)/2&gt;=50,3,IF((J56+K56+L56+M56)/2&gt;=40,2,IF((J56+K56+L56+M56)/2&gt;=33,1,0)))))))</f>
        <v/>
      </c>
      <c r="AH56">
        <f>IF(Z56,0,IF(N56+O56&gt;=80,5,IF(N56+O56&gt;=70,4,IF(N56+O56&gt;=60,3.5,IF(N56+O56&gt;=50,3,IF(N56+O56&gt;=40,2,IF(N56+O56&gt;=33,1,0)))))))</f>
        <v/>
      </c>
      <c r="AI56">
        <f>IF(AA56,0,IF(P56+Q56&gt;=80,5,IF(P56+Q56&gt;=70,4,IF(P56+Q56&gt;=60,3.5,IF(P56+Q56&gt;=50,3,IF(P56+Q56&gt;=40,2,IF(P56+Q56&gt;=33,1,0)))))))</f>
        <v/>
      </c>
      <c r="AJ56">
        <f>IF(R56&lt;8.25,0,IF(R56*2&gt;=80,5,IF(R56*2&gt;=70,4,IF(R56*2&gt;=60,3.5,IF(R56*2&gt;=50,3,IF(R56*2&gt;=40,2,IF(R56*2&gt;=33,1,0)))))))</f>
        <v/>
      </c>
      <c r="AK56">
        <f>IF(S56&lt;33,0,IF(S56&gt;=80,5,IF(S56&gt;=70,4,IF(S56&gt;=60,3.5,IF(S56&gt;=50,3,IF(S56&gt;=40,2,IF(S56&gt;=33,1,0)))))))</f>
        <v/>
      </c>
      <c r="AL56">
        <f>(AC56+AD56+AE56+AF56+AG56+AH56+AI56+AJ56)/8</f>
        <v/>
      </c>
      <c r="AM56">
        <f>IF(AK56&gt;=2,(AK56-2)/8,0)</f>
        <v/>
      </c>
    </row>
    <row r="57">
      <c r="T57">
        <f>SUM(C57:R57)</f>
        <v/>
      </c>
      <c r="U57" s="6">
        <f>ROUND(T57/11.5,2)</f>
        <v/>
      </c>
      <c r="V57" s="7">
        <f>IF(B57="","",IF(AB57,0,ROUND(AL57,2)))</f>
        <v/>
      </c>
      <c r="W57" s="7">
        <f>IF(B57="","",IF(AB57,0,MIN(5,ROUND(AL57+AM57,2))))</f>
        <v/>
      </c>
      <c r="X57" s="8">
        <f>IF(B57="","",IF(W57&gt;=5,"A+",IF(W57&gt;=4,"A",IF(W57&gt;=3.5,"A-",IF(W57&gt;=3,"B",IF(W57&gt;=2,"C",IF(W57&gt;=1,"D","F")))))))</f>
        <v/>
      </c>
      <c r="Y57">
        <f>NOT(OR(AND(J57&gt;=10,K57&gt;=23,L57&gt;=10,M57&gt;=23),AND(J57+L57&gt;=20,K57+M57&gt;=46)))</f>
        <v/>
      </c>
      <c r="Z57">
        <f>OR(N57&lt;10,O57&lt;23)</f>
        <v/>
      </c>
      <c r="AA57">
        <f>OR(P57&lt;10,Q57&lt;23)</f>
        <v/>
      </c>
      <c r="AB57">
        <f>OR((C57+D57)&lt;66,(E57+F57)&lt;66,G57&lt;33,(H57+I57)&lt;66,Y57,Z57,AA57,R57&lt;8.25)</f>
        <v/>
      </c>
      <c r="AC57">
        <f>IF(C57+D57&lt;66,0,IF((C57+D57)/2&gt;=80,5,IF((C57+D57)/2&gt;=70,4,IF((C57+D57)/2&gt;=60,3.5,IF((C57+D57)/2&gt;=50,3,IF((C57+D57)/2&gt;=40,2,IF((C57+D57)/2&gt;=33,1,0)))))))</f>
        <v/>
      </c>
      <c r="AD57">
        <f>IF(E57+F57&lt;66,0,IF((E57+F57)/2&gt;=80,5,IF((E57+F57)/2&gt;=70,4,IF((E57+F57)/2&gt;=60,3.5,IF((E57+F57)/2&gt;=50,3,IF((E57+F57)/2&gt;=40,2,IF((E57+F57)/2&gt;=33,1,0)))))))</f>
        <v/>
      </c>
      <c r="AE57">
        <f>IF(G57&lt;33,0,IF(G57&gt;=80,5,IF(G57&gt;=70,4,IF(G57&gt;=60,3.5,IF(G57&gt;=50,3,IF(G57&gt;=40,2,IF(G57&gt;=33,1,0)))))))</f>
        <v/>
      </c>
      <c r="AF57">
        <f>IF(H57+I57&lt;66,0,IF((H57+I57)/2&gt;=80,5,IF((H57+I57)/2&gt;=70,4,IF((H57+I57)/2&gt;=60,3.5,IF((H57+I57)/2&gt;=50,3,IF((H57+I57)/2&gt;=40,2,IF((H57+I57)/2&gt;=33,1,0)))))))</f>
        <v/>
      </c>
      <c r="AG57">
        <f>IF(Y57,0,IF((J57+K57+L57+M57)/2&gt;=80,5,IF((J57+K57+L57+M57)/2&gt;=70,4,IF((J57+K57+L57+M57)/2&gt;=60,3.5,IF((J57+K57+L57+M57)/2&gt;=50,3,IF((J57+K57+L57+M57)/2&gt;=40,2,IF((J57+K57+L57+M57)/2&gt;=33,1,0)))))))</f>
        <v/>
      </c>
      <c r="AH57">
        <f>IF(Z57,0,IF(N57+O57&gt;=80,5,IF(N57+O57&gt;=70,4,IF(N57+O57&gt;=60,3.5,IF(N57+O57&gt;=50,3,IF(N57+O57&gt;=40,2,IF(N57+O57&gt;=33,1,0)))))))</f>
        <v/>
      </c>
      <c r="AI57">
        <f>IF(AA57,0,IF(P57+Q57&gt;=80,5,IF(P57+Q57&gt;=70,4,IF(P57+Q57&gt;=60,3.5,IF(P57+Q57&gt;=50,3,IF(P57+Q57&gt;=40,2,IF(P57+Q57&gt;=33,1,0)))))))</f>
        <v/>
      </c>
      <c r="AJ57">
        <f>IF(R57&lt;8.25,0,IF(R57*2&gt;=80,5,IF(R57*2&gt;=70,4,IF(R57*2&gt;=60,3.5,IF(R57*2&gt;=50,3,IF(R57*2&gt;=40,2,IF(R57*2&gt;=33,1,0)))))))</f>
        <v/>
      </c>
      <c r="AK57">
        <f>IF(S57&lt;33,0,IF(S57&gt;=80,5,IF(S57&gt;=70,4,IF(S57&gt;=60,3.5,IF(S57&gt;=50,3,IF(S57&gt;=40,2,IF(S57&gt;=33,1,0)))))))</f>
        <v/>
      </c>
      <c r="AL57">
        <f>(AC57+AD57+AE57+AF57+AG57+AH57+AI57+AJ57)/8</f>
        <v/>
      </c>
      <c r="AM57">
        <f>IF(AK57&gt;=2,(AK57-2)/8,0)</f>
        <v/>
      </c>
    </row>
    <row r="58">
      <c r="T58">
        <f>SUM(C58:R58)</f>
        <v/>
      </c>
      <c r="U58" s="6">
        <f>ROUND(T58/11.5,2)</f>
        <v/>
      </c>
      <c r="V58" s="7">
        <f>IF(B58="","",IF(AB58,0,ROUND(AL58,2)))</f>
        <v/>
      </c>
      <c r="W58" s="7">
        <f>IF(B58="","",IF(AB58,0,MIN(5,ROUND(AL58+AM58,2))))</f>
        <v/>
      </c>
      <c r="X58" s="8">
        <f>IF(B58="","",IF(W58&gt;=5,"A+",IF(W58&gt;=4,"A",IF(W58&gt;=3.5,"A-",IF(W58&gt;=3,"B",IF(W58&gt;=2,"C",IF(W58&gt;=1,"D","F")))))))</f>
        <v/>
      </c>
      <c r="Y58">
        <f>NOT(OR(AND(J58&gt;=10,K58&gt;=23,L58&gt;=10,M58&gt;=23),AND(J58+L58&gt;=20,K58+M58&gt;=46)))</f>
        <v/>
      </c>
      <c r="Z58">
        <f>OR(N58&lt;10,O58&lt;23)</f>
        <v/>
      </c>
      <c r="AA58">
        <f>OR(P58&lt;10,Q58&lt;23)</f>
        <v/>
      </c>
      <c r="AB58">
        <f>OR((C58+D58)&lt;66,(E58+F58)&lt;66,G58&lt;33,(H58+I58)&lt;66,Y58,Z58,AA58,R58&lt;8.25)</f>
        <v/>
      </c>
      <c r="AC58">
        <f>IF(C58+D58&lt;66,0,IF((C58+D58)/2&gt;=80,5,IF((C58+D58)/2&gt;=70,4,IF((C58+D58)/2&gt;=60,3.5,IF((C58+D58)/2&gt;=50,3,IF((C58+D58)/2&gt;=40,2,IF((C58+D58)/2&gt;=33,1,0)))))))</f>
        <v/>
      </c>
      <c r="AD58">
        <f>IF(E58+F58&lt;66,0,IF((E58+F58)/2&gt;=80,5,IF((E58+F58)/2&gt;=70,4,IF((E58+F58)/2&gt;=60,3.5,IF((E58+F58)/2&gt;=50,3,IF((E58+F58)/2&gt;=40,2,IF((E58+F58)/2&gt;=33,1,0)))))))</f>
        <v/>
      </c>
      <c r="AE58">
        <f>IF(G58&lt;33,0,IF(G58&gt;=80,5,IF(G58&gt;=70,4,IF(G58&gt;=60,3.5,IF(G58&gt;=50,3,IF(G58&gt;=40,2,IF(G58&gt;=33,1,0)))))))</f>
        <v/>
      </c>
      <c r="AF58">
        <f>IF(H58+I58&lt;66,0,IF((H58+I58)/2&gt;=80,5,IF((H58+I58)/2&gt;=70,4,IF((H58+I58)/2&gt;=60,3.5,IF((H58+I58)/2&gt;=50,3,IF((H58+I58)/2&gt;=40,2,IF((H58+I58)/2&gt;=33,1,0)))))))</f>
        <v/>
      </c>
      <c r="AG58">
        <f>IF(Y58,0,IF((J58+K58+L58+M58)/2&gt;=80,5,IF((J58+K58+L58+M58)/2&gt;=70,4,IF((J58+K58+L58+M58)/2&gt;=60,3.5,IF((J58+K58+L58+M58)/2&gt;=50,3,IF((J58+K58+L58+M58)/2&gt;=40,2,IF((J58+K58+L58+M58)/2&gt;=33,1,0)))))))</f>
        <v/>
      </c>
      <c r="AH58">
        <f>IF(Z58,0,IF(N58+O58&gt;=80,5,IF(N58+O58&gt;=70,4,IF(N58+O58&gt;=60,3.5,IF(N58+O58&gt;=50,3,IF(N58+O58&gt;=40,2,IF(N58+O58&gt;=33,1,0)))))))</f>
        <v/>
      </c>
      <c r="AI58">
        <f>IF(AA58,0,IF(P58+Q58&gt;=80,5,IF(P58+Q58&gt;=70,4,IF(P58+Q58&gt;=60,3.5,IF(P58+Q58&gt;=50,3,IF(P58+Q58&gt;=40,2,IF(P58+Q58&gt;=33,1,0)))))))</f>
        <v/>
      </c>
      <c r="AJ58">
        <f>IF(R58&lt;8.25,0,IF(R58*2&gt;=80,5,IF(R58*2&gt;=70,4,IF(R58*2&gt;=60,3.5,IF(R58*2&gt;=50,3,IF(R58*2&gt;=40,2,IF(R58*2&gt;=33,1,0)))))))</f>
        <v/>
      </c>
      <c r="AK58">
        <f>IF(S58&lt;33,0,IF(S58&gt;=80,5,IF(S58&gt;=70,4,IF(S58&gt;=60,3.5,IF(S58&gt;=50,3,IF(S58&gt;=40,2,IF(S58&gt;=33,1,0)))))))</f>
        <v/>
      </c>
      <c r="AL58">
        <f>(AC58+AD58+AE58+AF58+AG58+AH58+AI58+AJ58)/8</f>
        <v/>
      </c>
      <c r="AM58">
        <f>IF(AK58&gt;=2,(AK58-2)/8,0)</f>
        <v/>
      </c>
    </row>
    <row r="59">
      <c r="T59">
        <f>SUM(C59:R59)</f>
        <v/>
      </c>
      <c r="U59" s="6">
        <f>ROUND(T59/11.5,2)</f>
        <v/>
      </c>
      <c r="V59" s="7">
        <f>IF(B59="","",IF(AB59,0,ROUND(AL59,2)))</f>
        <v/>
      </c>
      <c r="W59" s="7">
        <f>IF(B59="","",IF(AB59,0,MIN(5,ROUND(AL59+AM59,2))))</f>
        <v/>
      </c>
      <c r="X59" s="8">
        <f>IF(B59="","",IF(W59&gt;=5,"A+",IF(W59&gt;=4,"A",IF(W59&gt;=3.5,"A-",IF(W59&gt;=3,"B",IF(W59&gt;=2,"C",IF(W59&gt;=1,"D","F")))))))</f>
        <v/>
      </c>
      <c r="Y59">
        <f>NOT(OR(AND(J59&gt;=10,K59&gt;=23,L59&gt;=10,M59&gt;=23),AND(J59+L59&gt;=20,K59+M59&gt;=46)))</f>
        <v/>
      </c>
      <c r="Z59">
        <f>OR(N59&lt;10,O59&lt;23)</f>
        <v/>
      </c>
      <c r="AA59">
        <f>OR(P59&lt;10,Q59&lt;23)</f>
        <v/>
      </c>
      <c r="AB59">
        <f>OR((C59+D59)&lt;66,(E59+F59)&lt;66,G59&lt;33,(H59+I59)&lt;66,Y59,Z59,AA59,R59&lt;8.25)</f>
        <v/>
      </c>
      <c r="AC59">
        <f>IF(C59+D59&lt;66,0,IF((C59+D59)/2&gt;=80,5,IF((C59+D59)/2&gt;=70,4,IF((C59+D59)/2&gt;=60,3.5,IF((C59+D59)/2&gt;=50,3,IF((C59+D59)/2&gt;=40,2,IF((C59+D59)/2&gt;=33,1,0)))))))</f>
        <v/>
      </c>
      <c r="AD59">
        <f>IF(E59+F59&lt;66,0,IF((E59+F59)/2&gt;=80,5,IF((E59+F59)/2&gt;=70,4,IF((E59+F59)/2&gt;=60,3.5,IF((E59+F59)/2&gt;=50,3,IF((E59+F59)/2&gt;=40,2,IF((E59+F59)/2&gt;=33,1,0)))))))</f>
        <v/>
      </c>
      <c r="AE59">
        <f>IF(G59&lt;33,0,IF(G59&gt;=80,5,IF(G59&gt;=70,4,IF(G59&gt;=60,3.5,IF(G59&gt;=50,3,IF(G59&gt;=40,2,IF(G59&gt;=33,1,0)))))))</f>
        <v/>
      </c>
      <c r="AF59">
        <f>IF(H59+I59&lt;66,0,IF((H59+I59)/2&gt;=80,5,IF((H59+I59)/2&gt;=70,4,IF((H59+I59)/2&gt;=60,3.5,IF((H59+I59)/2&gt;=50,3,IF((H59+I59)/2&gt;=40,2,IF((H59+I59)/2&gt;=33,1,0)))))))</f>
        <v/>
      </c>
      <c r="AG59">
        <f>IF(Y59,0,IF((J59+K59+L59+M59)/2&gt;=80,5,IF((J59+K59+L59+M59)/2&gt;=70,4,IF((J59+K59+L59+M59)/2&gt;=60,3.5,IF((J59+K59+L59+M59)/2&gt;=50,3,IF((J59+K59+L59+M59)/2&gt;=40,2,IF((J59+K59+L59+M59)/2&gt;=33,1,0)))))))</f>
        <v/>
      </c>
      <c r="AH59">
        <f>IF(Z59,0,IF(N59+O59&gt;=80,5,IF(N59+O59&gt;=70,4,IF(N59+O59&gt;=60,3.5,IF(N59+O59&gt;=50,3,IF(N59+O59&gt;=40,2,IF(N59+O59&gt;=33,1,0)))))))</f>
        <v/>
      </c>
      <c r="AI59">
        <f>IF(AA59,0,IF(P59+Q59&gt;=80,5,IF(P59+Q59&gt;=70,4,IF(P59+Q59&gt;=60,3.5,IF(P59+Q59&gt;=50,3,IF(P59+Q59&gt;=40,2,IF(P59+Q59&gt;=33,1,0)))))))</f>
        <v/>
      </c>
      <c r="AJ59">
        <f>IF(R59&lt;8.25,0,IF(R59*2&gt;=80,5,IF(R59*2&gt;=70,4,IF(R59*2&gt;=60,3.5,IF(R59*2&gt;=50,3,IF(R59*2&gt;=40,2,IF(R59*2&gt;=33,1,0)))))))</f>
        <v/>
      </c>
      <c r="AK59">
        <f>IF(S59&lt;33,0,IF(S59&gt;=80,5,IF(S59&gt;=70,4,IF(S59&gt;=60,3.5,IF(S59&gt;=50,3,IF(S59&gt;=40,2,IF(S59&gt;=33,1,0)))))))</f>
        <v/>
      </c>
      <c r="AL59">
        <f>(AC59+AD59+AE59+AF59+AG59+AH59+AI59+AJ59)/8</f>
        <v/>
      </c>
      <c r="AM59">
        <f>IF(AK59&gt;=2,(AK59-2)/8,0)</f>
        <v/>
      </c>
    </row>
    <row r="60">
      <c r="T60">
        <f>SUM(C60:R60)</f>
        <v/>
      </c>
      <c r="U60" s="6">
        <f>ROUND(T60/11.5,2)</f>
        <v/>
      </c>
      <c r="V60" s="7">
        <f>IF(B60="","",IF(AB60,0,ROUND(AL60,2)))</f>
        <v/>
      </c>
      <c r="W60" s="7">
        <f>IF(B60="","",IF(AB60,0,MIN(5,ROUND(AL60+AM60,2))))</f>
        <v/>
      </c>
      <c r="X60" s="8">
        <f>IF(B60="","",IF(W60&gt;=5,"A+",IF(W60&gt;=4,"A",IF(W60&gt;=3.5,"A-",IF(W60&gt;=3,"B",IF(W60&gt;=2,"C",IF(W60&gt;=1,"D","F")))))))</f>
        <v/>
      </c>
      <c r="Y60">
        <f>NOT(OR(AND(J60&gt;=10,K60&gt;=23,L60&gt;=10,M60&gt;=23),AND(J60+L60&gt;=20,K60+M60&gt;=46)))</f>
        <v/>
      </c>
      <c r="Z60">
        <f>OR(N60&lt;10,O60&lt;23)</f>
        <v/>
      </c>
      <c r="AA60">
        <f>OR(P60&lt;10,Q60&lt;23)</f>
        <v/>
      </c>
      <c r="AB60">
        <f>OR((C60+D60)&lt;66,(E60+F60)&lt;66,G60&lt;33,(H60+I60)&lt;66,Y60,Z60,AA60,R60&lt;8.25)</f>
        <v/>
      </c>
      <c r="AC60">
        <f>IF(C60+D60&lt;66,0,IF((C60+D60)/2&gt;=80,5,IF((C60+D60)/2&gt;=70,4,IF((C60+D60)/2&gt;=60,3.5,IF((C60+D60)/2&gt;=50,3,IF((C60+D60)/2&gt;=40,2,IF((C60+D60)/2&gt;=33,1,0)))))))</f>
        <v/>
      </c>
      <c r="AD60">
        <f>IF(E60+F60&lt;66,0,IF((E60+F60)/2&gt;=80,5,IF((E60+F60)/2&gt;=70,4,IF((E60+F60)/2&gt;=60,3.5,IF((E60+F60)/2&gt;=50,3,IF((E60+F60)/2&gt;=40,2,IF((E60+F60)/2&gt;=33,1,0)))))))</f>
        <v/>
      </c>
      <c r="AE60">
        <f>IF(G60&lt;33,0,IF(G60&gt;=80,5,IF(G60&gt;=70,4,IF(G60&gt;=60,3.5,IF(G60&gt;=50,3,IF(G60&gt;=40,2,IF(G60&gt;=33,1,0)))))))</f>
        <v/>
      </c>
      <c r="AF60">
        <f>IF(H60+I60&lt;66,0,IF((H60+I60)/2&gt;=80,5,IF((H60+I60)/2&gt;=70,4,IF((H60+I60)/2&gt;=60,3.5,IF((H60+I60)/2&gt;=50,3,IF((H60+I60)/2&gt;=40,2,IF((H60+I60)/2&gt;=33,1,0)))))))</f>
        <v/>
      </c>
      <c r="AG60">
        <f>IF(Y60,0,IF((J60+K60+L60+M60)/2&gt;=80,5,IF((J60+K60+L60+M60)/2&gt;=70,4,IF((J60+K60+L60+M60)/2&gt;=60,3.5,IF((J60+K60+L60+M60)/2&gt;=50,3,IF((J60+K60+L60+M60)/2&gt;=40,2,IF((J60+K60+L60+M60)/2&gt;=33,1,0)))))))</f>
        <v/>
      </c>
      <c r="AH60">
        <f>IF(Z60,0,IF(N60+O60&gt;=80,5,IF(N60+O60&gt;=70,4,IF(N60+O60&gt;=60,3.5,IF(N60+O60&gt;=50,3,IF(N60+O60&gt;=40,2,IF(N60+O60&gt;=33,1,0)))))))</f>
        <v/>
      </c>
      <c r="AI60">
        <f>IF(AA60,0,IF(P60+Q60&gt;=80,5,IF(P60+Q60&gt;=70,4,IF(P60+Q60&gt;=60,3.5,IF(P60+Q60&gt;=50,3,IF(P60+Q60&gt;=40,2,IF(P60+Q60&gt;=33,1,0)))))))</f>
        <v/>
      </c>
      <c r="AJ60">
        <f>IF(R60&lt;8.25,0,IF(R60*2&gt;=80,5,IF(R60*2&gt;=70,4,IF(R60*2&gt;=60,3.5,IF(R60*2&gt;=50,3,IF(R60*2&gt;=40,2,IF(R60*2&gt;=33,1,0)))))))</f>
        <v/>
      </c>
      <c r="AK60">
        <f>IF(S60&lt;33,0,IF(S60&gt;=80,5,IF(S60&gt;=70,4,IF(S60&gt;=60,3.5,IF(S60&gt;=50,3,IF(S60&gt;=40,2,IF(S60&gt;=33,1,0)))))))</f>
        <v/>
      </c>
      <c r="AL60">
        <f>(AC60+AD60+AE60+AF60+AG60+AH60+AI60+AJ60)/8</f>
        <v/>
      </c>
      <c r="AM60">
        <f>IF(AK60&gt;=2,(AK60-2)/8,0)</f>
        <v/>
      </c>
    </row>
    <row r="61">
      <c r="T61">
        <f>SUM(C61:R61)</f>
        <v/>
      </c>
      <c r="U61" s="6">
        <f>ROUND(T61/11.5,2)</f>
        <v/>
      </c>
      <c r="V61" s="7">
        <f>IF(B61="","",IF(AB61,0,ROUND(AL61,2)))</f>
        <v/>
      </c>
      <c r="W61" s="7">
        <f>IF(B61="","",IF(AB61,0,MIN(5,ROUND(AL61+AM61,2))))</f>
        <v/>
      </c>
      <c r="X61" s="8">
        <f>IF(B61="","",IF(W61&gt;=5,"A+",IF(W61&gt;=4,"A",IF(W61&gt;=3.5,"A-",IF(W61&gt;=3,"B",IF(W61&gt;=2,"C",IF(W61&gt;=1,"D","F")))))))</f>
        <v/>
      </c>
      <c r="Y61">
        <f>NOT(OR(AND(J61&gt;=10,K61&gt;=23,L61&gt;=10,M61&gt;=23),AND(J61+L61&gt;=20,K61+M61&gt;=46)))</f>
        <v/>
      </c>
      <c r="Z61">
        <f>OR(N61&lt;10,O61&lt;23)</f>
        <v/>
      </c>
      <c r="AA61">
        <f>OR(P61&lt;10,Q61&lt;23)</f>
        <v/>
      </c>
      <c r="AB61">
        <f>OR((C61+D61)&lt;66,(E61+F61)&lt;66,G61&lt;33,(H61+I61)&lt;66,Y61,Z61,AA61,R61&lt;8.25)</f>
        <v/>
      </c>
      <c r="AC61">
        <f>IF(C61+D61&lt;66,0,IF((C61+D61)/2&gt;=80,5,IF((C61+D61)/2&gt;=70,4,IF((C61+D61)/2&gt;=60,3.5,IF((C61+D61)/2&gt;=50,3,IF((C61+D61)/2&gt;=40,2,IF((C61+D61)/2&gt;=33,1,0)))))))</f>
        <v/>
      </c>
      <c r="AD61">
        <f>IF(E61+F61&lt;66,0,IF((E61+F61)/2&gt;=80,5,IF((E61+F61)/2&gt;=70,4,IF((E61+F61)/2&gt;=60,3.5,IF((E61+F61)/2&gt;=50,3,IF((E61+F61)/2&gt;=40,2,IF((E61+F61)/2&gt;=33,1,0)))))))</f>
        <v/>
      </c>
      <c r="AE61">
        <f>IF(G61&lt;33,0,IF(G61&gt;=80,5,IF(G61&gt;=70,4,IF(G61&gt;=60,3.5,IF(G61&gt;=50,3,IF(G61&gt;=40,2,IF(G61&gt;=33,1,0)))))))</f>
        <v/>
      </c>
      <c r="AF61">
        <f>IF(H61+I61&lt;66,0,IF((H61+I61)/2&gt;=80,5,IF((H61+I61)/2&gt;=70,4,IF((H61+I61)/2&gt;=60,3.5,IF((H61+I61)/2&gt;=50,3,IF((H61+I61)/2&gt;=40,2,IF((H61+I61)/2&gt;=33,1,0)))))))</f>
        <v/>
      </c>
      <c r="AG61">
        <f>IF(Y61,0,IF((J61+K61+L61+M61)/2&gt;=80,5,IF((J61+K61+L61+M61)/2&gt;=70,4,IF((J61+K61+L61+M61)/2&gt;=60,3.5,IF((J61+K61+L61+M61)/2&gt;=50,3,IF((J61+K61+L61+M61)/2&gt;=40,2,IF((J61+K61+L61+M61)/2&gt;=33,1,0)))))))</f>
        <v/>
      </c>
      <c r="AH61">
        <f>IF(Z61,0,IF(N61+O61&gt;=80,5,IF(N61+O61&gt;=70,4,IF(N61+O61&gt;=60,3.5,IF(N61+O61&gt;=50,3,IF(N61+O61&gt;=40,2,IF(N61+O61&gt;=33,1,0)))))))</f>
        <v/>
      </c>
      <c r="AI61">
        <f>IF(AA61,0,IF(P61+Q61&gt;=80,5,IF(P61+Q61&gt;=70,4,IF(P61+Q61&gt;=60,3.5,IF(P61+Q61&gt;=50,3,IF(P61+Q61&gt;=40,2,IF(P61+Q61&gt;=33,1,0)))))))</f>
        <v/>
      </c>
      <c r="AJ61">
        <f>IF(R61&lt;8.25,0,IF(R61*2&gt;=80,5,IF(R61*2&gt;=70,4,IF(R61*2&gt;=60,3.5,IF(R61*2&gt;=50,3,IF(R61*2&gt;=40,2,IF(R61*2&gt;=33,1,0)))))))</f>
        <v/>
      </c>
      <c r="AK61">
        <f>IF(S61&lt;33,0,IF(S61&gt;=80,5,IF(S61&gt;=70,4,IF(S61&gt;=60,3.5,IF(S61&gt;=50,3,IF(S61&gt;=40,2,IF(S61&gt;=33,1,0)))))))</f>
        <v/>
      </c>
      <c r="AL61">
        <f>(AC61+AD61+AE61+AF61+AG61+AH61+AI61+AJ61)/8</f>
        <v/>
      </c>
      <c r="AM61">
        <f>IF(AK61&gt;=2,(AK61-2)/8,0)</f>
        <v/>
      </c>
    </row>
    <row r="62">
      <c r="T62">
        <f>SUM(C62:R62)</f>
        <v/>
      </c>
      <c r="U62" s="6">
        <f>ROUND(T62/11.5,2)</f>
        <v/>
      </c>
      <c r="V62" s="7">
        <f>IF(B62="","",IF(AB62,0,ROUND(AL62,2)))</f>
        <v/>
      </c>
      <c r="W62" s="7">
        <f>IF(B62="","",IF(AB62,0,MIN(5,ROUND(AL62+AM62,2))))</f>
        <v/>
      </c>
      <c r="X62" s="8">
        <f>IF(B62="","",IF(W62&gt;=5,"A+",IF(W62&gt;=4,"A",IF(W62&gt;=3.5,"A-",IF(W62&gt;=3,"B",IF(W62&gt;=2,"C",IF(W62&gt;=1,"D","F")))))))</f>
        <v/>
      </c>
      <c r="Y62">
        <f>NOT(OR(AND(J62&gt;=10,K62&gt;=23,L62&gt;=10,M62&gt;=23),AND(J62+L62&gt;=20,K62+M62&gt;=46)))</f>
        <v/>
      </c>
      <c r="Z62">
        <f>OR(N62&lt;10,O62&lt;23)</f>
        <v/>
      </c>
      <c r="AA62">
        <f>OR(P62&lt;10,Q62&lt;23)</f>
        <v/>
      </c>
      <c r="AB62">
        <f>OR((C62+D62)&lt;66,(E62+F62)&lt;66,G62&lt;33,(H62+I62)&lt;66,Y62,Z62,AA62,R62&lt;8.25)</f>
        <v/>
      </c>
      <c r="AC62">
        <f>IF(C62+D62&lt;66,0,IF((C62+D62)/2&gt;=80,5,IF((C62+D62)/2&gt;=70,4,IF((C62+D62)/2&gt;=60,3.5,IF((C62+D62)/2&gt;=50,3,IF((C62+D62)/2&gt;=40,2,IF((C62+D62)/2&gt;=33,1,0)))))))</f>
        <v/>
      </c>
      <c r="AD62">
        <f>IF(E62+F62&lt;66,0,IF((E62+F62)/2&gt;=80,5,IF((E62+F62)/2&gt;=70,4,IF((E62+F62)/2&gt;=60,3.5,IF((E62+F62)/2&gt;=50,3,IF((E62+F62)/2&gt;=40,2,IF((E62+F62)/2&gt;=33,1,0)))))))</f>
        <v/>
      </c>
      <c r="AE62">
        <f>IF(G62&lt;33,0,IF(G62&gt;=80,5,IF(G62&gt;=70,4,IF(G62&gt;=60,3.5,IF(G62&gt;=50,3,IF(G62&gt;=40,2,IF(G62&gt;=33,1,0)))))))</f>
        <v/>
      </c>
      <c r="AF62">
        <f>IF(H62+I62&lt;66,0,IF((H62+I62)/2&gt;=80,5,IF((H62+I62)/2&gt;=70,4,IF((H62+I62)/2&gt;=60,3.5,IF((H62+I62)/2&gt;=50,3,IF((H62+I62)/2&gt;=40,2,IF((H62+I62)/2&gt;=33,1,0)))))))</f>
        <v/>
      </c>
      <c r="AG62">
        <f>IF(Y62,0,IF((J62+K62+L62+M62)/2&gt;=80,5,IF((J62+K62+L62+M62)/2&gt;=70,4,IF((J62+K62+L62+M62)/2&gt;=60,3.5,IF((J62+K62+L62+M62)/2&gt;=50,3,IF((J62+K62+L62+M62)/2&gt;=40,2,IF((J62+K62+L62+M62)/2&gt;=33,1,0)))))))</f>
        <v/>
      </c>
      <c r="AH62">
        <f>IF(Z62,0,IF(N62+O62&gt;=80,5,IF(N62+O62&gt;=70,4,IF(N62+O62&gt;=60,3.5,IF(N62+O62&gt;=50,3,IF(N62+O62&gt;=40,2,IF(N62+O62&gt;=33,1,0)))))))</f>
        <v/>
      </c>
      <c r="AI62">
        <f>IF(AA62,0,IF(P62+Q62&gt;=80,5,IF(P62+Q62&gt;=70,4,IF(P62+Q62&gt;=60,3.5,IF(P62+Q62&gt;=50,3,IF(P62+Q62&gt;=40,2,IF(P62+Q62&gt;=33,1,0)))))))</f>
        <v/>
      </c>
      <c r="AJ62">
        <f>IF(R62&lt;8.25,0,IF(R62*2&gt;=80,5,IF(R62*2&gt;=70,4,IF(R62*2&gt;=60,3.5,IF(R62*2&gt;=50,3,IF(R62*2&gt;=40,2,IF(R62*2&gt;=33,1,0)))))))</f>
        <v/>
      </c>
      <c r="AK62">
        <f>IF(S62&lt;33,0,IF(S62&gt;=80,5,IF(S62&gt;=70,4,IF(S62&gt;=60,3.5,IF(S62&gt;=50,3,IF(S62&gt;=40,2,IF(S62&gt;=33,1,0)))))))</f>
        <v/>
      </c>
      <c r="AL62">
        <f>(AC62+AD62+AE62+AF62+AG62+AH62+AI62+AJ62)/8</f>
        <v/>
      </c>
      <c r="AM62">
        <f>IF(AK62&gt;=2,(AK62-2)/8,0)</f>
        <v/>
      </c>
    </row>
    <row r="63">
      <c r="T63">
        <f>SUM(C63:R63)</f>
        <v/>
      </c>
      <c r="U63" s="6">
        <f>ROUND(T63/11.5,2)</f>
        <v/>
      </c>
      <c r="V63" s="7">
        <f>IF(B63="","",IF(AB63,0,ROUND(AL63,2)))</f>
        <v/>
      </c>
      <c r="W63" s="7">
        <f>IF(B63="","",IF(AB63,0,MIN(5,ROUND(AL63+AM63,2))))</f>
        <v/>
      </c>
      <c r="X63" s="8">
        <f>IF(B63="","",IF(W63&gt;=5,"A+",IF(W63&gt;=4,"A",IF(W63&gt;=3.5,"A-",IF(W63&gt;=3,"B",IF(W63&gt;=2,"C",IF(W63&gt;=1,"D","F")))))))</f>
        <v/>
      </c>
      <c r="Y63">
        <f>NOT(OR(AND(J63&gt;=10,K63&gt;=23,L63&gt;=10,M63&gt;=23),AND(J63+L63&gt;=20,K63+M63&gt;=46)))</f>
        <v/>
      </c>
      <c r="Z63">
        <f>OR(N63&lt;10,O63&lt;23)</f>
        <v/>
      </c>
      <c r="AA63">
        <f>OR(P63&lt;10,Q63&lt;23)</f>
        <v/>
      </c>
      <c r="AB63">
        <f>OR((C63+D63)&lt;66,(E63+F63)&lt;66,G63&lt;33,(H63+I63)&lt;66,Y63,Z63,AA63,R63&lt;8.25)</f>
        <v/>
      </c>
      <c r="AC63">
        <f>IF(C63+D63&lt;66,0,IF((C63+D63)/2&gt;=80,5,IF((C63+D63)/2&gt;=70,4,IF((C63+D63)/2&gt;=60,3.5,IF((C63+D63)/2&gt;=50,3,IF((C63+D63)/2&gt;=40,2,IF((C63+D63)/2&gt;=33,1,0)))))))</f>
        <v/>
      </c>
      <c r="AD63">
        <f>IF(E63+F63&lt;66,0,IF((E63+F63)/2&gt;=80,5,IF((E63+F63)/2&gt;=70,4,IF((E63+F63)/2&gt;=60,3.5,IF((E63+F63)/2&gt;=50,3,IF((E63+F63)/2&gt;=40,2,IF((E63+F63)/2&gt;=33,1,0)))))))</f>
        <v/>
      </c>
      <c r="AE63">
        <f>IF(G63&lt;33,0,IF(G63&gt;=80,5,IF(G63&gt;=70,4,IF(G63&gt;=60,3.5,IF(G63&gt;=50,3,IF(G63&gt;=40,2,IF(G63&gt;=33,1,0)))))))</f>
        <v/>
      </c>
      <c r="AF63">
        <f>IF(H63+I63&lt;66,0,IF((H63+I63)/2&gt;=80,5,IF((H63+I63)/2&gt;=70,4,IF((H63+I63)/2&gt;=60,3.5,IF((H63+I63)/2&gt;=50,3,IF((H63+I63)/2&gt;=40,2,IF((H63+I63)/2&gt;=33,1,0)))))))</f>
        <v/>
      </c>
      <c r="AG63">
        <f>IF(Y63,0,IF((J63+K63+L63+M63)/2&gt;=80,5,IF((J63+K63+L63+M63)/2&gt;=70,4,IF((J63+K63+L63+M63)/2&gt;=60,3.5,IF((J63+K63+L63+M63)/2&gt;=50,3,IF((J63+K63+L63+M63)/2&gt;=40,2,IF((J63+K63+L63+M63)/2&gt;=33,1,0)))))))</f>
        <v/>
      </c>
      <c r="AH63">
        <f>IF(Z63,0,IF(N63+O63&gt;=80,5,IF(N63+O63&gt;=70,4,IF(N63+O63&gt;=60,3.5,IF(N63+O63&gt;=50,3,IF(N63+O63&gt;=40,2,IF(N63+O63&gt;=33,1,0)))))))</f>
        <v/>
      </c>
      <c r="AI63">
        <f>IF(AA63,0,IF(P63+Q63&gt;=80,5,IF(P63+Q63&gt;=70,4,IF(P63+Q63&gt;=60,3.5,IF(P63+Q63&gt;=50,3,IF(P63+Q63&gt;=40,2,IF(P63+Q63&gt;=33,1,0)))))))</f>
        <v/>
      </c>
      <c r="AJ63">
        <f>IF(R63&lt;8.25,0,IF(R63*2&gt;=80,5,IF(R63*2&gt;=70,4,IF(R63*2&gt;=60,3.5,IF(R63*2&gt;=50,3,IF(R63*2&gt;=40,2,IF(R63*2&gt;=33,1,0)))))))</f>
        <v/>
      </c>
      <c r="AK63">
        <f>IF(S63&lt;33,0,IF(S63&gt;=80,5,IF(S63&gt;=70,4,IF(S63&gt;=60,3.5,IF(S63&gt;=50,3,IF(S63&gt;=40,2,IF(S63&gt;=33,1,0)))))))</f>
        <v/>
      </c>
      <c r="AL63">
        <f>(AC63+AD63+AE63+AF63+AG63+AH63+AI63+AJ63)/8</f>
        <v/>
      </c>
      <c r="AM63">
        <f>IF(AK63&gt;=2,(AK63-2)/8,0)</f>
        <v/>
      </c>
    </row>
    <row r="64">
      <c r="T64">
        <f>SUM(C64:R64)</f>
        <v/>
      </c>
      <c r="U64" s="6">
        <f>ROUND(T64/11.5,2)</f>
        <v/>
      </c>
      <c r="V64" s="7">
        <f>IF(B64="","",IF(AB64,0,ROUND(AL64,2)))</f>
        <v/>
      </c>
      <c r="W64" s="7">
        <f>IF(B64="","",IF(AB64,0,MIN(5,ROUND(AL64+AM64,2))))</f>
        <v/>
      </c>
      <c r="X64" s="8">
        <f>IF(B64="","",IF(W64&gt;=5,"A+",IF(W64&gt;=4,"A",IF(W64&gt;=3.5,"A-",IF(W64&gt;=3,"B",IF(W64&gt;=2,"C",IF(W64&gt;=1,"D","F")))))))</f>
        <v/>
      </c>
      <c r="Y64">
        <f>NOT(OR(AND(J64&gt;=10,K64&gt;=23,L64&gt;=10,M64&gt;=23),AND(J64+L64&gt;=20,K64+M64&gt;=46)))</f>
        <v/>
      </c>
      <c r="Z64">
        <f>OR(N64&lt;10,O64&lt;23)</f>
        <v/>
      </c>
      <c r="AA64">
        <f>OR(P64&lt;10,Q64&lt;23)</f>
        <v/>
      </c>
      <c r="AB64">
        <f>OR((C64+D64)&lt;66,(E64+F64)&lt;66,G64&lt;33,(H64+I64)&lt;66,Y64,Z64,AA64,R64&lt;8.25)</f>
        <v/>
      </c>
      <c r="AC64">
        <f>IF(C64+D64&lt;66,0,IF((C64+D64)/2&gt;=80,5,IF((C64+D64)/2&gt;=70,4,IF((C64+D64)/2&gt;=60,3.5,IF((C64+D64)/2&gt;=50,3,IF((C64+D64)/2&gt;=40,2,IF((C64+D64)/2&gt;=33,1,0)))))))</f>
        <v/>
      </c>
      <c r="AD64">
        <f>IF(E64+F64&lt;66,0,IF((E64+F64)/2&gt;=80,5,IF((E64+F64)/2&gt;=70,4,IF((E64+F64)/2&gt;=60,3.5,IF((E64+F64)/2&gt;=50,3,IF((E64+F64)/2&gt;=40,2,IF((E64+F64)/2&gt;=33,1,0)))))))</f>
        <v/>
      </c>
      <c r="AE64">
        <f>IF(G64&lt;33,0,IF(G64&gt;=80,5,IF(G64&gt;=70,4,IF(G64&gt;=60,3.5,IF(G64&gt;=50,3,IF(G64&gt;=40,2,IF(G64&gt;=33,1,0)))))))</f>
        <v/>
      </c>
      <c r="AF64">
        <f>IF(H64+I64&lt;66,0,IF((H64+I64)/2&gt;=80,5,IF((H64+I64)/2&gt;=70,4,IF((H64+I64)/2&gt;=60,3.5,IF((H64+I64)/2&gt;=50,3,IF((H64+I64)/2&gt;=40,2,IF((H64+I64)/2&gt;=33,1,0)))))))</f>
        <v/>
      </c>
      <c r="AG64">
        <f>IF(Y64,0,IF((J64+K64+L64+M64)/2&gt;=80,5,IF((J64+K64+L64+M64)/2&gt;=70,4,IF((J64+K64+L64+M64)/2&gt;=60,3.5,IF((J64+K64+L64+M64)/2&gt;=50,3,IF((J64+K64+L64+M64)/2&gt;=40,2,IF((J64+K64+L64+M64)/2&gt;=33,1,0)))))))</f>
        <v/>
      </c>
      <c r="AH64">
        <f>IF(Z64,0,IF(N64+O64&gt;=80,5,IF(N64+O64&gt;=70,4,IF(N64+O64&gt;=60,3.5,IF(N64+O64&gt;=50,3,IF(N64+O64&gt;=40,2,IF(N64+O64&gt;=33,1,0)))))))</f>
        <v/>
      </c>
      <c r="AI64">
        <f>IF(AA64,0,IF(P64+Q64&gt;=80,5,IF(P64+Q64&gt;=70,4,IF(P64+Q64&gt;=60,3.5,IF(P64+Q64&gt;=50,3,IF(P64+Q64&gt;=40,2,IF(P64+Q64&gt;=33,1,0)))))))</f>
        <v/>
      </c>
      <c r="AJ64">
        <f>IF(R64&lt;8.25,0,IF(R64*2&gt;=80,5,IF(R64*2&gt;=70,4,IF(R64*2&gt;=60,3.5,IF(R64*2&gt;=50,3,IF(R64*2&gt;=40,2,IF(R64*2&gt;=33,1,0)))))))</f>
        <v/>
      </c>
      <c r="AK64">
        <f>IF(S64&lt;33,0,IF(S64&gt;=80,5,IF(S64&gt;=70,4,IF(S64&gt;=60,3.5,IF(S64&gt;=50,3,IF(S64&gt;=40,2,IF(S64&gt;=33,1,0)))))))</f>
        <v/>
      </c>
      <c r="AL64">
        <f>(AC64+AD64+AE64+AF64+AG64+AH64+AI64+AJ64)/8</f>
        <v/>
      </c>
      <c r="AM64">
        <f>IF(AK64&gt;=2,(AK64-2)/8,0)</f>
        <v/>
      </c>
    </row>
    <row r="65">
      <c r="T65">
        <f>SUM(C65:R65)</f>
        <v/>
      </c>
      <c r="U65" s="6">
        <f>ROUND(T65/11.5,2)</f>
        <v/>
      </c>
      <c r="V65" s="7">
        <f>IF(B65="","",IF(AB65,0,ROUND(AL65,2)))</f>
        <v/>
      </c>
      <c r="W65" s="7">
        <f>IF(B65="","",IF(AB65,0,MIN(5,ROUND(AL65+AM65,2))))</f>
        <v/>
      </c>
      <c r="X65" s="8">
        <f>IF(B65="","",IF(W65&gt;=5,"A+",IF(W65&gt;=4,"A",IF(W65&gt;=3.5,"A-",IF(W65&gt;=3,"B",IF(W65&gt;=2,"C",IF(W65&gt;=1,"D","F")))))))</f>
        <v/>
      </c>
      <c r="Y65">
        <f>NOT(OR(AND(J65&gt;=10,K65&gt;=23,L65&gt;=10,M65&gt;=23),AND(J65+L65&gt;=20,K65+M65&gt;=46)))</f>
        <v/>
      </c>
      <c r="Z65">
        <f>OR(N65&lt;10,O65&lt;23)</f>
        <v/>
      </c>
      <c r="AA65">
        <f>OR(P65&lt;10,Q65&lt;23)</f>
        <v/>
      </c>
      <c r="AB65">
        <f>OR((C65+D65)&lt;66,(E65+F65)&lt;66,G65&lt;33,(H65+I65)&lt;66,Y65,Z65,AA65,R65&lt;8.25)</f>
        <v/>
      </c>
      <c r="AC65">
        <f>IF(C65+D65&lt;66,0,IF((C65+D65)/2&gt;=80,5,IF((C65+D65)/2&gt;=70,4,IF((C65+D65)/2&gt;=60,3.5,IF((C65+D65)/2&gt;=50,3,IF((C65+D65)/2&gt;=40,2,IF((C65+D65)/2&gt;=33,1,0)))))))</f>
        <v/>
      </c>
      <c r="AD65">
        <f>IF(E65+F65&lt;66,0,IF((E65+F65)/2&gt;=80,5,IF((E65+F65)/2&gt;=70,4,IF((E65+F65)/2&gt;=60,3.5,IF((E65+F65)/2&gt;=50,3,IF((E65+F65)/2&gt;=40,2,IF((E65+F65)/2&gt;=33,1,0)))))))</f>
        <v/>
      </c>
      <c r="AE65">
        <f>IF(G65&lt;33,0,IF(G65&gt;=80,5,IF(G65&gt;=70,4,IF(G65&gt;=60,3.5,IF(G65&gt;=50,3,IF(G65&gt;=40,2,IF(G65&gt;=33,1,0)))))))</f>
        <v/>
      </c>
      <c r="AF65">
        <f>IF(H65+I65&lt;66,0,IF((H65+I65)/2&gt;=80,5,IF((H65+I65)/2&gt;=70,4,IF((H65+I65)/2&gt;=60,3.5,IF((H65+I65)/2&gt;=50,3,IF((H65+I65)/2&gt;=40,2,IF((H65+I65)/2&gt;=33,1,0)))))))</f>
        <v/>
      </c>
      <c r="AG65">
        <f>IF(Y65,0,IF((J65+K65+L65+M65)/2&gt;=80,5,IF((J65+K65+L65+M65)/2&gt;=70,4,IF((J65+K65+L65+M65)/2&gt;=60,3.5,IF((J65+K65+L65+M65)/2&gt;=50,3,IF((J65+K65+L65+M65)/2&gt;=40,2,IF((J65+K65+L65+M65)/2&gt;=33,1,0)))))))</f>
        <v/>
      </c>
      <c r="AH65">
        <f>IF(Z65,0,IF(N65+O65&gt;=80,5,IF(N65+O65&gt;=70,4,IF(N65+O65&gt;=60,3.5,IF(N65+O65&gt;=50,3,IF(N65+O65&gt;=40,2,IF(N65+O65&gt;=33,1,0)))))))</f>
        <v/>
      </c>
      <c r="AI65">
        <f>IF(AA65,0,IF(P65+Q65&gt;=80,5,IF(P65+Q65&gt;=70,4,IF(P65+Q65&gt;=60,3.5,IF(P65+Q65&gt;=50,3,IF(P65+Q65&gt;=40,2,IF(P65+Q65&gt;=33,1,0)))))))</f>
        <v/>
      </c>
      <c r="AJ65">
        <f>IF(R65&lt;8.25,0,IF(R65*2&gt;=80,5,IF(R65*2&gt;=70,4,IF(R65*2&gt;=60,3.5,IF(R65*2&gt;=50,3,IF(R65*2&gt;=40,2,IF(R65*2&gt;=33,1,0)))))))</f>
        <v/>
      </c>
      <c r="AK65">
        <f>IF(S65&lt;33,0,IF(S65&gt;=80,5,IF(S65&gt;=70,4,IF(S65&gt;=60,3.5,IF(S65&gt;=50,3,IF(S65&gt;=40,2,IF(S65&gt;=33,1,0)))))))</f>
        <v/>
      </c>
      <c r="AL65">
        <f>(AC65+AD65+AE65+AF65+AG65+AH65+AI65+AJ65)/8</f>
        <v/>
      </c>
      <c r="AM65">
        <f>IF(AK65&gt;=2,(AK65-2)/8,0)</f>
        <v/>
      </c>
    </row>
    <row r="66">
      <c r="T66">
        <f>SUM(C66:R66)</f>
        <v/>
      </c>
      <c r="U66" s="6">
        <f>ROUND(T66/11.5,2)</f>
        <v/>
      </c>
      <c r="V66" s="7">
        <f>IF(B66="","",IF(AB66,0,ROUND(AL66,2)))</f>
        <v/>
      </c>
      <c r="W66" s="7">
        <f>IF(B66="","",IF(AB66,0,MIN(5,ROUND(AL66+AM66,2))))</f>
        <v/>
      </c>
      <c r="X66" s="8">
        <f>IF(B66="","",IF(W66&gt;=5,"A+",IF(W66&gt;=4,"A",IF(W66&gt;=3.5,"A-",IF(W66&gt;=3,"B",IF(W66&gt;=2,"C",IF(W66&gt;=1,"D","F")))))))</f>
        <v/>
      </c>
      <c r="Y66">
        <f>NOT(OR(AND(J66&gt;=10,K66&gt;=23,L66&gt;=10,M66&gt;=23),AND(J66+L66&gt;=20,K66+M66&gt;=46)))</f>
        <v/>
      </c>
      <c r="Z66">
        <f>OR(N66&lt;10,O66&lt;23)</f>
        <v/>
      </c>
      <c r="AA66">
        <f>OR(P66&lt;10,Q66&lt;23)</f>
        <v/>
      </c>
      <c r="AB66">
        <f>OR((C66+D66)&lt;66,(E66+F66)&lt;66,G66&lt;33,(H66+I66)&lt;66,Y66,Z66,AA66,R66&lt;8.25)</f>
        <v/>
      </c>
      <c r="AC66">
        <f>IF(C66+D66&lt;66,0,IF((C66+D66)/2&gt;=80,5,IF((C66+D66)/2&gt;=70,4,IF((C66+D66)/2&gt;=60,3.5,IF((C66+D66)/2&gt;=50,3,IF((C66+D66)/2&gt;=40,2,IF((C66+D66)/2&gt;=33,1,0)))))))</f>
        <v/>
      </c>
      <c r="AD66">
        <f>IF(E66+F66&lt;66,0,IF((E66+F66)/2&gt;=80,5,IF((E66+F66)/2&gt;=70,4,IF((E66+F66)/2&gt;=60,3.5,IF((E66+F66)/2&gt;=50,3,IF((E66+F66)/2&gt;=40,2,IF((E66+F66)/2&gt;=33,1,0)))))))</f>
        <v/>
      </c>
      <c r="AE66">
        <f>IF(G66&lt;33,0,IF(G66&gt;=80,5,IF(G66&gt;=70,4,IF(G66&gt;=60,3.5,IF(G66&gt;=50,3,IF(G66&gt;=40,2,IF(G66&gt;=33,1,0)))))))</f>
        <v/>
      </c>
      <c r="AF66">
        <f>IF(H66+I66&lt;66,0,IF((H66+I66)/2&gt;=80,5,IF((H66+I66)/2&gt;=70,4,IF((H66+I66)/2&gt;=60,3.5,IF((H66+I66)/2&gt;=50,3,IF((H66+I66)/2&gt;=40,2,IF((H66+I66)/2&gt;=33,1,0)))))))</f>
        <v/>
      </c>
      <c r="AG66">
        <f>IF(Y66,0,IF((J66+K66+L66+M66)/2&gt;=80,5,IF((J66+K66+L66+M66)/2&gt;=70,4,IF((J66+K66+L66+M66)/2&gt;=60,3.5,IF((J66+K66+L66+M66)/2&gt;=50,3,IF((J66+K66+L66+M66)/2&gt;=40,2,IF((J66+K66+L66+M66)/2&gt;=33,1,0)))))))</f>
        <v/>
      </c>
      <c r="AH66">
        <f>IF(Z66,0,IF(N66+O66&gt;=80,5,IF(N66+O66&gt;=70,4,IF(N66+O66&gt;=60,3.5,IF(N66+O66&gt;=50,3,IF(N66+O66&gt;=40,2,IF(N66+O66&gt;=33,1,0)))))))</f>
        <v/>
      </c>
      <c r="AI66">
        <f>IF(AA66,0,IF(P66+Q66&gt;=80,5,IF(P66+Q66&gt;=70,4,IF(P66+Q66&gt;=60,3.5,IF(P66+Q66&gt;=50,3,IF(P66+Q66&gt;=40,2,IF(P66+Q66&gt;=33,1,0)))))))</f>
        <v/>
      </c>
      <c r="AJ66">
        <f>IF(R66&lt;8.25,0,IF(R66*2&gt;=80,5,IF(R66*2&gt;=70,4,IF(R66*2&gt;=60,3.5,IF(R66*2&gt;=50,3,IF(R66*2&gt;=40,2,IF(R66*2&gt;=33,1,0)))))))</f>
        <v/>
      </c>
      <c r="AK66">
        <f>IF(S66&lt;33,0,IF(S66&gt;=80,5,IF(S66&gt;=70,4,IF(S66&gt;=60,3.5,IF(S66&gt;=50,3,IF(S66&gt;=40,2,IF(S66&gt;=33,1,0)))))))</f>
        <v/>
      </c>
      <c r="AL66">
        <f>(AC66+AD66+AE66+AF66+AG66+AH66+AI66+AJ66)/8</f>
        <v/>
      </c>
      <c r="AM66">
        <f>IF(AK66&gt;=2,(AK66-2)/8,0)</f>
        <v/>
      </c>
    </row>
    <row r="67">
      <c r="T67">
        <f>SUM(C67:R67)</f>
        <v/>
      </c>
      <c r="U67" s="6">
        <f>ROUND(T67/11.5,2)</f>
        <v/>
      </c>
      <c r="V67" s="7">
        <f>IF(B67="","",IF(AB67,0,ROUND(AL67,2)))</f>
        <v/>
      </c>
      <c r="W67" s="7">
        <f>IF(B67="","",IF(AB67,0,MIN(5,ROUND(AL67+AM67,2))))</f>
        <v/>
      </c>
      <c r="X67" s="8">
        <f>IF(B67="","",IF(W67&gt;=5,"A+",IF(W67&gt;=4,"A",IF(W67&gt;=3.5,"A-",IF(W67&gt;=3,"B",IF(W67&gt;=2,"C",IF(W67&gt;=1,"D","F")))))))</f>
        <v/>
      </c>
      <c r="Y67">
        <f>NOT(OR(AND(J67&gt;=10,K67&gt;=23,L67&gt;=10,M67&gt;=23),AND(J67+L67&gt;=20,K67+M67&gt;=46)))</f>
        <v/>
      </c>
      <c r="Z67">
        <f>OR(N67&lt;10,O67&lt;23)</f>
        <v/>
      </c>
      <c r="AA67">
        <f>OR(P67&lt;10,Q67&lt;23)</f>
        <v/>
      </c>
      <c r="AB67">
        <f>OR((C67+D67)&lt;66,(E67+F67)&lt;66,G67&lt;33,(H67+I67)&lt;66,Y67,Z67,AA67,R67&lt;8.25)</f>
        <v/>
      </c>
      <c r="AC67">
        <f>IF(C67+D67&lt;66,0,IF((C67+D67)/2&gt;=80,5,IF((C67+D67)/2&gt;=70,4,IF((C67+D67)/2&gt;=60,3.5,IF((C67+D67)/2&gt;=50,3,IF((C67+D67)/2&gt;=40,2,IF((C67+D67)/2&gt;=33,1,0)))))))</f>
        <v/>
      </c>
      <c r="AD67">
        <f>IF(E67+F67&lt;66,0,IF((E67+F67)/2&gt;=80,5,IF((E67+F67)/2&gt;=70,4,IF((E67+F67)/2&gt;=60,3.5,IF((E67+F67)/2&gt;=50,3,IF((E67+F67)/2&gt;=40,2,IF((E67+F67)/2&gt;=33,1,0)))))))</f>
        <v/>
      </c>
      <c r="AE67">
        <f>IF(G67&lt;33,0,IF(G67&gt;=80,5,IF(G67&gt;=70,4,IF(G67&gt;=60,3.5,IF(G67&gt;=50,3,IF(G67&gt;=40,2,IF(G67&gt;=33,1,0)))))))</f>
        <v/>
      </c>
      <c r="AF67">
        <f>IF(H67+I67&lt;66,0,IF((H67+I67)/2&gt;=80,5,IF((H67+I67)/2&gt;=70,4,IF((H67+I67)/2&gt;=60,3.5,IF((H67+I67)/2&gt;=50,3,IF((H67+I67)/2&gt;=40,2,IF((H67+I67)/2&gt;=33,1,0)))))))</f>
        <v/>
      </c>
      <c r="AG67">
        <f>IF(Y67,0,IF((J67+K67+L67+M67)/2&gt;=80,5,IF((J67+K67+L67+M67)/2&gt;=70,4,IF((J67+K67+L67+M67)/2&gt;=60,3.5,IF((J67+K67+L67+M67)/2&gt;=50,3,IF((J67+K67+L67+M67)/2&gt;=40,2,IF((J67+K67+L67+M67)/2&gt;=33,1,0)))))))</f>
        <v/>
      </c>
      <c r="AH67">
        <f>IF(Z67,0,IF(N67+O67&gt;=80,5,IF(N67+O67&gt;=70,4,IF(N67+O67&gt;=60,3.5,IF(N67+O67&gt;=50,3,IF(N67+O67&gt;=40,2,IF(N67+O67&gt;=33,1,0)))))))</f>
        <v/>
      </c>
      <c r="AI67">
        <f>IF(AA67,0,IF(P67+Q67&gt;=80,5,IF(P67+Q67&gt;=70,4,IF(P67+Q67&gt;=60,3.5,IF(P67+Q67&gt;=50,3,IF(P67+Q67&gt;=40,2,IF(P67+Q67&gt;=33,1,0)))))))</f>
        <v/>
      </c>
      <c r="AJ67">
        <f>IF(R67&lt;8.25,0,IF(R67*2&gt;=80,5,IF(R67*2&gt;=70,4,IF(R67*2&gt;=60,3.5,IF(R67*2&gt;=50,3,IF(R67*2&gt;=40,2,IF(R67*2&gt;=33,1,0)))))))</f>
        <v/>
      </c>
      <c r="AK67">
        <f>IF(S67&lt;33,0,IF(S67&gt;=80,5,IF(S67&gt;=70,4,IF(S67&gt;=60,3.5,IF(S67&gt;=50,3,IF(S67&gt;=40,2,IF(S67&gt;=33,1,0)))))))</f>
        <v/>
      </c>
      <c r="AL67">
        <f>(AC67+AD67+AE67+AF67+AG67+AH67+AI67+AJ67)/8</f>
        <v/>
      </c>
      <c r="AM67">
        <f>IF(AK67&gt;=2,(AK67-2)/8,0)</f>
        <v/>
      </c>
    </row>
    <row r="68">
      <c r="T68">
        <f>SUM(C68:R68)</f>
        <v/>
      </c>
      <c r="U68" s="6">
        <f>ROUND(T68/11.5,2)</f>
        <v/>
      </c>
      <c r="V68" s="7">
        <f>IF(B68="","",IF(AB68,0,ROUND(AL68,2)))</f>
        <v/>
      </c>
      <c r="W68" s="7">
        <f>IF(B68="","",IF(AB68,0,MIN(5,ROUND(AL68+AM68,2))))</f>
        <v/>
      </c>
      <c r="X68" s="8">
        <f>IF(B68="","",IF(W68&gt;=5,"A+",IF(W68&gt;=4,"A",IF(W68&gt;=3.5,"A-",IF(W68&gt;=3,"B",IF(W68&gt;=2,"C",IF(W68&gt;=1,"D","F")))))))</f>
        <v/>
      </c>
      <c r="Y68">
        <f>NOT(OR(AND(J68&gt;=10,K68&gt;=23,L68&gt;=10,M68&gt;=23),AND(J68+L68&gt;=20,K68+M68&gt;=46)))</f>
        <v/>
      </c>
      <c r="Z68">
        <f>OR(N68&lt;10,O68&lt;23)</f>
        <v/>
      </c>
      <c r="AA68">
        <f>OR(P68&lt;10,Q68&lt;23)</f>
        <v/>
      </c>
      <c r="AB68">
        <f>OR((C68+D68)&lt;66,(E68+F68)&lt;66,G68&lt;33,(H68+I68)&lt;66,Y68,Z68,AA68,R68&lt;8.25)</f>
        <v/>
      </c>
      <c r="AC68">
        <f>IF(C68+D68&lt;66,0,IF((C68+D68)/2&gt;=80,5,IF((C68+D68)/2&gt;=70,4,IF((C68+D68)/2&gt;=60,3.5,IF((C68+D68)/2&gt;=50,3,IF((C68+D68)/2&gt;=40,2,IF((C68+D68)/2&gt;=33,1,0)))))))</f>
        <v/>
      </c>
      <c r="AD68">
        <f>IF(E68+F68&lt;66,0,IF((E68+F68)/2&gt;=80,5,IF((E68+F68)/2&gt;=70,4,IF((E68+F68)/2&gt;=60,3.5,IF((E68+F68)/2&gt;=50,3,IF((E68+F68)/2&gt;=40,2,IF((E68+F68)/2&gt;=33,1,0)))))))</f>
        <v/>
      </c>
      <c r="AE68">
        <f>IF(G68&lt;33,0,IF(G68&gt;=80,5,IF(G68&gt;=70,4,IF(G68&gt;=60,3.5,IF(G68&gt;=50,3,IF(G68&gt;=40,2,IF(G68&gt;=33,1,0)))))))</f>
        <v/>
      </c>
      <c r="AF68">
        <f>IF(H68+I68&lt;66,0,IF((H68+I68)/2&gt;=80,5,IF((H68+I68)/2&gt;=70,4,IF((H68+I68)/2&gt;=60,3.5,IF((H68+I68)/2&gt;=50,3,IF((H68+I68)/2&gt;=40,2,IF((H68+I68)/2&gt;=33,1,0)))))))</f>
        <v/>
      </c>
      <c r="AG68">
        <f>IF(Y68,0,IF((J68+K68+L68+M68)/2&gt;=80,5,IF((J68+K68+L68+M68)/2&gt;=70,4,IF((J68+K68+L68+M68)/2&gt;=60,3.5,IF((J68+K68+L68+M68)/2&gt;=50,3,IF((J68+K68+L68+M68)/2&gt;=40,2,IF((J68+K68+L68+M68)/2&gt;=33,1,0)))))))</f>
        <v/>
      </c>
      <c r="AH68">
        <f>IF(Z68,0,IF(N68+O68&gt;=80,5,IF(N68+O68&gt;=70,4,IF(N68+O68&gt;=60,3.5,IF(N68+O68&gt;=50,3,IF(N68+O68&gt;=40,2,IF(N68+O68&gt;=33,1,0)))))))</f>
        <v/>
      </c>
      <c r="AI68">
        <f>IF(AA68,0,IF(P68+Q68&gt;=80,5,IF(P68+Q68&gt;=70,4,IF(P68+Q68&gt;=60,3.5,IF(P68+Q68&gt;=50,3,IF(P68+Q68&gt;=40,2,IF(P68+Q68&gt;=33,1,0)))))))</f>
        <v/>
      </c>
      <c r="AJ68">
        <f>IF(R68&lt;8.25,0,IF(R68*2&gt;=80,5,IF(R68*2&gt;=70,4,IF(R68*2&gt;=60,3.5,IF(R68*2&gt;=50,3,IF(R68*2&gt;=40,2,IF(R68*2&gt;=33,1,0)))))))</f>
        <v/>
      </c>
      <c r="AK68">
        <f>IF(S68&lt;33,0,IF(S68&gt;=80,5,IF(S68&gt;=70,4,IF(S68&gt;=60,3.5,IF(S68&gt;=50,3,IF(S68&gt;=40,2,IF(S68&gt;=33,1,0)))))))</f>
        <v/>
      </c>
      <c r="AL68">
        <f>(AC68+AD68+AE68+AF68+AG68+AH68+AI68+AJ68)/8</f>
        <v/>
      </c>
      <c r="AM68">
        <f>IF(AK68&gt;=2,(AK68-2)/8,0)</f>
        <v/>
      </c>
    </row>
    <row r="69">
      <c r="T69">
        <f>SUM(C69:R69)</f>
        <v/>
      </c>
      <c r="U69" s="6">
        <f>ROUND(T69/11.5,2)</f>
        <v/>
      </c>
      <c r="V69" s="7">
        <f>IF(B69="","",IF(AB69,0,ROUND(AL69,2)))</f>
        <v/>
      </c>
      <c r="W69" s="7">
        <f>IF(B69="","",IF(AB69,0,MIN(5,ROUND(AL69+AM69,2))))</f>
        <v/>
      </c>
      <c r="X69" s="8">
        <f>IF(B69="","",IF(W69&gt;=5,"A+",IF(W69&gt;=4,"A",IF(W69&gt;=3.5,"A-",IF(W69&gt;=3,"B",IF(W69&gt;=2,"C",IF(W69&gt;=1,"D","F")))))))</f>
        <v/>
      </c>
      <c r="Y69">
        <f>NOT(OR(AND(J69&gt;=10,K69&gt;=23,L69&gt;=10,M69&gt;=23),AND(J69+L69&gt;=20,K69+M69&gt;=46)))</f>
        <v/>
      </c>
      <c r="Z69">
        <f>OR(N69&lt;10,O69&lt;23)</f>
        <v/>
      </c>
      <c r="AA69">
        <f>OR(P69&lt;10,Q69&lt;23)</f>
        <v/>
      </c>
      <c r="AB69">
        <f>OR((C69+D69)&lt;66,(E69+F69)&lt;66,G69&lt;33,(H69+I69)&lt;66,Y69,Z69,AA69,R69&lt;8.25)</f>
        <v/>
      </c>
      <c r="AC69">
        <f>IF(C69+D69&lt;66,0,IF((C69+D69)/2&gt;=80,5,IF((C69+D69)/2&gt;=70,4,IF((C69+D69)/2&gt;=60,3.5,IF((C69+D69)/2&gt;=50,3,IF((C69+D69)/2&gt;=40,2,IF((C69+D69)/2&gt;=33,1,0)))))))</f>
        <v/>
      </c>
      <c r="AD69">
        <f>IF(E69+F69&lt;66,0,IF((E69+F69)/2&gt;=80,5,IF((E69+F69)/2&gt;=70,4,IF((E69+F69)/2&gt;=60,3.5,IF((E69+F69)/2&gt;=50,3,IF((E69+F69)/2&gt;=40,2,IF((E69+F69)/2&gt;=33,1,0)))))))</f>
        <v/>
      </c>
      <c r="AE69">
        <f>IF(G69&lt;33,0,IF(G69&gt;=80,5,IF(G69&gt;=70,4,IF(G69&gt;=60,3.5,IF(G69&gt;=50,3,IF(G69&gt;=40,2,IF(G69&gt;=33,1,0)))))))</f>
        <v/>
      </c>
      <c r="AF69">
        <f>IF(H69+I69&lt;66,0,IF((H69+I69)/2&gt;=80,5,IF((H69+I69)/2&gt;=70,4,IF((H69+I69)/2&gt;=60,3.5,IF((H69+I69)/2&gt;=50,3,IF((H69+I69)/2&gt;=40,2,IF((H69+I69)/2&gt;=33,1,0)))))))</f>
        <v/>
      </c>
      <c r="AG69">
        <f>IF(Y69,0,IF((J69+K69+L69+M69)/2&gt;=80,5,IF((J69+K69+L69+M69)/2&gt;=70,4,IF((J69+K69+L69+M69)/2&gt;=60,3.5,IF((J69+K69+L69+M69)/2&gt;=50,3,IF((J69+K69+L69+M69)/2&gt;=40,2,IF((J69+K69+L69+M69)/2&gt;=33,1,0)))))))</f>
        <v/>
      </c>
      <c r="AH69">
        <f>IF(Z69,0,IF(N69+O69&gt;=80,5,IF(N69+O69&gt;=70,4,IF(N69+O69&gt;=60,3.5,IF(N69+O69&gt;=50,3,IF(N69+O69&gt;=40,2,IF(N69+O69&gt;=33,1,0)))))))</f>
        <v/>
      </c>
      <c r="AI69">
        <f>IF(AA69,0,IF(P69+Q69&gt;=80,5,IF(P69+Q69&gt;=70,4,IF(P69+Q69&gt;=60,3.5,IF(P69+Q69&gt;=50,3,IF(P69+Q69&gt;=40,2,IF(P69+Q69&gt;=33,1,0)))))))</f>
        <v/>
      </c>
      <c r="AJ69">
        <f>IF(R69&lt;8.25,0,IF(R69*2&gt;=80,5,IF(R69*2&gt;=70,4,IF(R69*2&gt;=60,3.5,IF(R69*2&gt;=50,3,IF(R69*2&gt;=40,2,IF(R69*2&gt;=33,1,0)))))))</f>
        <v/>
      </c>
      <c r="AK69">
        <f>IF(S69&lt;33,0,IF(S69&gt;=80,5,IF(S69&gt;=70,4,IF(S69&gt;=60,3.5,IF(S69&gt;=50,3,IF(S69&gt;=40,2,IF(S69&gt;=33,1,0)))))))</f>
        <v/>
      </c>
      <c r="AL69">
        <f>(AC69+AD69+AE69+AF69+AG69+AH69+AI69+AJ69)/8</f>
        <v/>
      </c>
      <c r="AM69">
        <f>IF(AK69&gt;=2,(AK69-2)/8,0)</f>
        <v/>
      </c>
    </row>
    <row r="70">
      <c r="T70">
        <f>SUM(C70:R70)</f>
        <v/>
      </c>
      <c r="U70" s="6">
        <f>ROUND(T70/11.5,2)</f>
        <v/>
      </c>
      <c r="V70" s="7">
        <f>IF(B70="","",IF(AB70,0,ROUND(AL70,2)))</f>
        <v/>
      </c>
      <c r="W70" s="7">
        <f>IF(B70="","",IF(AB70,0,MIN(5,ROUND(AL70+AM70,2))))</f>
        <v/>
      </c>
      <c r="X70" s="8">
        <f>IF(B70="","",IF(W70&gt;=5,"A+",IF(W70&gt;=4,"A",IF(W70&gt;=3.5,"A-",IF(W70&gt;=3,"B",IF(W70&gt;=2,"C",IF(W70&gt;=1,"D","F")))))))</f>
        <v/>
      </c>
      <c r="Y70">
        <f>NOT(OR(AND(J70&gt;=10,K70&gt;=23,L70&gt;=10,M70&gt;=23),AND(J70+L70&gt;=20,K70+M70&gt;=46)))</f>
        <v/>
      </c>
      <c r="Z70">
        <f>OR(N70&lt;10,O70&lt;23)</f>
        <v/>
      </c>
      <c r="AA70">
        <f>OR(P70&lt;10,Q70&lt;23)</f>
        <v/>
      </c>
      <c r="AB70">
        <f>OR((C70+D70)&lt;66,(E70+F70)&lt;66,G70&lt;33,(H70+I70)&lt;66,Y70,Z70,AA70,R70&lt;8.25)</f>
        <v/>
      </c>
      <c r="AC70">
        <f>IF(C70+D70&lt;66,0,IF((C70+D70)/2&gt;=80,5,IF((C70+D70)/2&gt;=70,4,IF((C70+D70)/2&gt;=60,3.5,IF((C70+D70)/2&gt;=50,3,IF((C70+D70)/2&gt;=40,2,IF((C70+D70)/2&gt;=33,1,0)))))))</f>
        <v/>
      </c>
      <c r="AD70">
        <f>IF(E70+F70&lt;66,0,IF((E70+F70)/2&gt;=80,5,IF((E70+F70)/2&gt;=70,4,IF((E70+F70)/2&gt;=60,3.5,IF((E70+F70)/2&gt;=50,3,IF((E70+F70)/2&gt;=40,2,IF((E70+F70)/2&gt;=33,1,0)))))))</f>
        <v/>
      </c>
      <c r="AE70">
        <f>IF(G70&lt;33,0,IF(G70&gt;=80,5,IF(G70&gt;=70,4,IF(G70&gt;=60,3.5,IF(G70&gt;=50,3,IF(G70&gt;=40,2,IF(G70&gt;=33,1,0)))))))</f>
        <v/>
      </c>
      <c r="AF70">
        <f>IF(H70+I70&lt;66,0,IF((H70+I70)/2&gt;=80,5,IF((H70+I70)/2&gt;=70,4,IF((H70+I70)/2&gt;=60,3.5,IF((H70+I70)/2&gt;=50,3,IF((H70+I70)/2&gt;=40,2,IF((H70+I70)/2&gt;=33,1,0)))))))</f>
        <v/>
      </c>
      <c r="AG70">
        <f>IF(Y70,0,IF((J70+K70+L70+M70)/2&gt;=80,5,IF((J70+K70+L70+M70)/2&gt;=70,4,IF((J70+K70+L70+M70)/2&gt;=60,3.5,IF((J70+K70+L70+M70)/2&gt;=50,3,IF((J70+K70+L70+M70)/2&gt;=40,2,IF((J70+K70+L70+M70)/2&gt;=33,1,0)))))))</f>
        <v/>
      </c>
      <c r="AH70">
        <f>IF(Z70,0,IF(N70+O70&gt;=80,5,IF(N70+O70&gt;=70,4,IF(N70+O70&gt;=60,3.5,IF(N70+O70&gt;=50,3,IF(N70+O70&gt;=40,2,IF(N70+O70&gt;=33,1,0)))))))</f>
        <v/>
      </c>
      <c r="AI70">
        <f>IF(AA70,0,IF(P70+Q70&gt;=80,5,IF(P70+Q70&gt;=70,4,IF(P70+Q70&gt;=60,3.5,IF(P70+Q70&gt;=50,3,IF(P70+Q70&gt;=40,2,IF(P70+Q70&gt;=33,1,0)))))))</f>
        <v/>
      </c>
      <c r="AJ70">
        <f>IF(R70&lt;8.25,0,IF(R70*2&gt;=80,5,IF(R70*2&gt;=70,4,IF(R70*2&gt;=60,3.5,IF(R70*2&gt;=50,3,IF(R70*2&gt;=40,2,IF(R70*2&gt;=33,1,0)))))))</f>
        <v/>
      </c>
      <c r="AK70">
        <f>IF(S70&lt;33,0,IF(S70&gt;=80,5,IF(S70&gt;=70,4,IF(S70&gt;=60,3.5,IF(S70&gt;=50,3,IF(S70&gt;=40,2,IF(S70&gt;=33,1,0)))))))</f>
        <v/>
      </c>
      <c r="AL70">
        <f>(AC70+AD70+AE70+AF70+AG70+AH70+AI70+AJ70)/8</f>
        <v/>
      </c>
      <c r="AM70">
        <f>IF(AK70&gt;=2,(AK70-2)/8,0)</f>
        <v/>
      </c>
    </row>
    <row r="71">
      <c r="T71">
        <f>SUM(C71:R71)</f>
        <v/>
      </c>
      <c r="U71" s="6">
        <f>ROUND(T71/11.5,2)</f>
        <v/>
      </c>
      <c r="V71" s="7">
        <f>IF(B71="","",IF(AB71,0,ROUND(AL71,2)))</f>
        <v/>
      </c>
      <c r="W71" s="7">
        <f>IF(B71="","",IF(AB71,0,MIN(5,ROUND(AL71+AM71,2))))</f>
        <v/>
      </c>
      <c r="X71" s="8">
        <f>IF(B71="","",IF(W71&gt;=5,"A+",IF(W71&gt;=4,"A",IF(W71&gt;=3.5,"A-",IF(W71&gt;=3,"B",IF(W71&gt;=2,"C",IF(W71&gt;=1,"D","F")))))))</f>
        <v/>
      </c>
      <c r="Y71">
        <f>NOT(OR(AND(J71&gt;=10,K71&gt;=23,L71&gt;=10,M71&gt;=23),AND(J71+L71&gt;=20,K71+M71&gt;=46)))</f>
        <v/>
      </c>
      <c r="Z71">
        <f>OR(N71&lt;10,O71&lt;23)</f>
        <v/>
      </c>
      <c r="AA71">
        <f>OR(P71&lt;10,Q71&lt;23)</f>
        <v/>
      </c>
      <c r="AB71">
        <f>OR((C71+D71)&lt;66,(E71+F71)&lt;66,G71&lt;33,(H71+I71)&lt;66,Y71,Z71,AA71,R71&lt;8.25)</f>
        <v/>
      </c>
      <c r="AC71">
        <f>IF(C71+D71&lt;66,0,IF((C71+D71)/2&gt;=80,5,IF((C71+D71)/2&gt;=70,4,IF((C71+D71)/2&gt;=60,3.5,IF((C71+D71)/2&gt;=50,3,IF((C71+D71)/2&gt;=40,2,IF((C71+D71)/2&gt;=33,1,0)))))))</f>
        <v/>
      </c>
      <c r="AD71">
        <f>IF(E71+F71&lt;66,0,IF((E71+F71)/2&gt;=80,5,IF((E71+F71)/2&gt;=70,4,IF((E71+F71)/2&gt;=60,3.5,IF((E71+F71)/2&gt;=50,3,IF((E71+F71)/2&gt;=40,2,IF((E71+F71)/2&gt;=33,1,0)))))))</f>
        <v/>
      </c>
      <c r="AE71">
        <f>IF(G71&lt;33,0,IF(G71&gt;=80,5,IF(G71&gt;=70,4,IF(G71&gt;=60,3.5,IF(G71&gt;=50,3,IF(G71&gt;=40,2,IF(G71&gt;=33,1,0)))))))</f>
        <v/>
      </c>
      <c r="AF71">
        <f>IF(H71+I71&lt;66,0,IF((H71+I71)/2&gt;=80,5,IF((H71+I71)/2&gt;=70,4,IF((H71+I71)/2&gt;=60,3.5,IF((H71+I71)/2&gt;=50,3,IF((H71+I71)/2&gt;=40,2,IF((H71+I71)/2&gt;=33,1,0)))))))</f>
        <v/>
      </c>
      <c r="AG71">
        <f>IF(Y71,0,IF((J71+K71+L71+M71)/2&gt;=80,5,IF((J71+K71+L71+M71)/2&gt;=70,4,IF((J71+K71+L71+M71)/2&gt;=60,3.5,IF((J71+K71+L71+M71)/2&gt;=50,3,IF((J71+K71+L71+M71)/2&gt;=40,2,IF((J71+K71+L71+M71)/2&gt;=33,1,0)))))))</f>
        <v/>
      </c>
      <c r="AH71">
        <f>IF(Z71,0,IF(N71+O71&gt;=80,5,IF(N71+O71&gt;=70,4,IF(N71+O71&gt;=60,3.5,IF(N71+O71&gt;=50,3,IF(N71+O71&gt;=40,2,IF(N71+O71&gt;=33,1,0)))))))</f>
        <v/>
      </c>
      <c r="AI71">
        <f>IF(AA71,0,IF(P71+Q71&gt;=80,5,IF(P71+Q71&gt;=70,4,IF(P71+Q71&gt;=60,3.5,IF(P71+Q71&gt;=50,3,IF(P71+Q71&gt;=40,2,IF(P71+Q71&gt;=33,1,0)))))))</f>
        <v/>
      </c>
      <c r="AJ71">
        <f>IF(R71&lt;8.25,0,IF(R71*2&gt;=80,5,IF(R71*2&gt;=70,4,IF(R71*2&gt;=60,3.5,IF(R71*2&gt;=50,3,IF(R71*2&gt;=40,2,IF(R71*2&gt;=33,1,0)))))))</f>
        <v/>
      </c>
      <c r="AK71">
        <f>IF(S71&lt;33,0,IF(S71&gt;=80,5,IF(S71&gt;=70,4,IF(S71&gt;=60,3.5,IF(S71&gt;=50,3,IF(S71&gt;=40,2,IF(S71&gt;=33,1,0)))))))</f>
        <v/>
      </c>
      <c r="AL71">
        <f>(AC71+AD71+AE71+AF71+AG71+AH71+AI71+AJ71)/8</f>
        <v/>
      </c>
      <c r="AM71">
        <f>IF(AK71&gt;=2,(AK71-2)/8,0)</f>
        <v/>
      </c>
    </row>
    <row r="72">
      <c r="T72">
        <f>SUM(C72:R72)</f>
        <v/>
      </c>
      <c r="U72" s="6">
        <f>ROUND(T72/11.5,2)</f>
        <v/>
      </c>
      <c r="V72" s="7">
        <f>IF(B72="","",IF(AB72,0,ROUND(AL72,2)))</f>
        <v/>
      </c>
      <c r="W72" s="7">
        <f>IF(B72="","",IF(AB72,0,MIN(5,ROUND(AL72+AM72,2))))</f>
        <v/>
      </c>
      <c r="X72" s="8">
        <f>IF(B72="","",IF(W72&gt;=5,"A+",IF(W72&gt;=4,"A",IF(W72&gt;=3.5,"A-",IF(W72&gt;=3,"B",IF(W72&gt;=2,"C",IF(W72&gt;=1,"D","F")))))))</f>
        <v/>
      </c>
      <c r="Y72">
        <f>NOT(OR(AND(J72&gt;=10,K72&gt;=23,L72&gt;=10,M72&gt;=23),AND(J72+L72&gt;=20,K72+M72&gt;=46)))</f>
        <v/>
      </c>
      <c r="Z72">
        <f>OR(N72&lt;10,O72&lt;23)</f>
        <v/>
      </c>
      <c r="AA72">
        <f>OR(P72&lt;10,Q72&lt;23)</f>
        <v/>
      </c>
      <c r="AB72">
        <f>OR((C72+D72)&lt;66,(E72+F72)&lt;66,G72&lt;33,(H72+I72)&lt;66,Y72,Z72,AA72,R72&lt;8.25)</f>
        <v/>
      </c>
      <c r="AC72">
        <f>IF(C72+D72&lt;66,0,IF((C72+D72)/2&gt;=80,5,IF((C72+D72)/2&gt;=70,4,IF((C72+D72)/2&gt;=60,3.5,IF((C72+D72)/2&gt;=50,3,IF((C72+D72)/2&gt;=40,2,IF((C72+D72)/2&gt;=33,1,0)))))))</f>
        <v/>
      </c>
      <c r="AD72">
        <f>IF(E72+F72&lt;66,0,IF((E72+F72)/2&gt;=80,5,IF((E72+F72)/2&gt;=70,4,IF((E72+F72)/2&gt;=60,3.5,IF((E72+F72)/2&gt;=50,3,IF((E72+F72)/2&gt;=40,2,IF((E72+F72)/2&gt;=33,1,0)))))))</f>
        <v/>
      </c>
      <c r="AE72">
        <f>IF(G72&lt;33,0,IF(G72&gt;=80,5,IF(G72&gt;=70,4,IF(G72&gt;=60,3.5,IF(G72&gt;=50,3,IF(G72&gt;=40,2,IF(G72&gt;=33,1,0)))))))</f>
        <v/>
      </c>
      <c r="AF72">
        <f>IF(H72+I72&lt;66,0,IF((H72+I72)/2&gt;=80,5,IF((H72+I72)/2&gt;=70,4,IF((H72+I72)/2&gt;=60,3.5,IF((H72+I72)/2&gt;=50,3,IF((H72+I72)/2&gt;=40,2,IF((H72+I72)/2&gt;=33,1,0)))))))</f>
        <v/>
      </c>
      <c r="AG72">
        <f>IF(Y72,0,IF((J72+K72+L72+M72)/2&gt;=80,5,IF((J72+K72+L72+M72)/2&gt;=70,4,IF((J72+K72+L72+M72)/2&gt;=60,3.5,IF((J72+K72+L72+M72)/2&gt;=50,3,IF((J72+K72+L72+M72)/2&gt;=40,2,IF((J72+K72+L72+M72)/2&gt;=33,1,0)))))))</f>
        <v/>
      </c>
      <c r="AH72">
        <f>IF(Z72,0,IF(N72+O72&gt;=80,5,IF(N72+O72&gt;=70,4,IF(N72+O72&gt;=60,3.5,IF(N72+O72&gt;=50,3,IF(N72+O72&gt;=40,2,IF(N72+O72&gt;=33,1,0)))))))</f>
        <v/>
      </c>
      <c r="AI72">
        <f>IF(AA72,0,IF(P72+Q72&gt;=80,5,IF(P72+Q72&gt;=70,4,IF(P72+Q72&gt;=60,3.5,IF(P72+Q72&gt;=50,3,IF(P72+Q72&gt;=40,2,IF(P72+Q72&gt;=33,1,0)))))))</f>
        <v/>
      </c>
      <c r="AJ72">
        <f>IF(R72&lt;8.25,0,IF(R72*2&gt;=80,5,IF(R72*2&gt;=70,4,IF(R72*2&gt;=60,3.5,IF(R72*2&gt;=50,3,IF(R72*2&gt;=40,2,IF(R72*2&gt;=33,1,0)))))))</f>
        <v/>
      </c>
      <c r="AK72">
        <f>IF(S72&lt;33,0,IF(S72&gt;=80,5,IF(S72&gt;=70,4,IF(S72&gt;=60,3.5,IF(S72&gt;=50,3,IF(S72&gt;=40,2,IF(S72&gt;=33,1,0)))))))</f>
        <v/>
      </c>
      <c r="AL72">
        <f>(AC72+AD72+AE72+AF72+AG72+AH72+AI72+AJ72)/8</f>
        <v/>
      </c>
      <c r="AM72">
        <f>IF(AK72&gt;=2,(AK72-2)/8,0)</f>
        <v/>
      </c>
    </row>
    <row r="73">
      <c r="T73">
        <f>SUM(C73:R73)</f>
        <v/>
      </c>
      <c r="U73" s="6">
        <f>ROUND(T73/11.5,2)</f>
        <v/>
      </c>
      <c r="V73" s="7">
        <f>IF(B73="","",IF(AB73,0,ROUND(AL73,2)))</f>
        <v/>
      </c>
      <c r="W73" s="7">
        <f>IF(B73="","",IF(AB73,0,MIN(5,ROUND(AL73+AM73,2))))</f>
        <v/>
      </c>
      <c r="X73" s="8">
        <f>IF(B73="","",IF(W73&gt;=5,"A+",IF(W73&gt;=4,"A",IF(W73&gt;=3.5,"A-",IF(W73&gt;=3,"B",IF(W73&gt;=2,"C",IF(W73&gt;=1,"D","F")))))))</f>
        <v/>
      </c>
      <c r="Y73">
        <f>NOT(OR(AND(J73&gt;=10,K73&gt;=23,L73&gt;=10,M73&gt;=23),AND(J73+L73&gt;=20,K73+M73&gt;=46)))</f>
        <v/>
      </c>
      <c r="Z73">
        <f>OR(N73&lt;10,O73&lt;23)</f>
        <v/>
      </c>
      <c r="AA73">
        <f>OR(P73&lt;10,Q73&lt;23)</f>
        <v/>
      </c>
      <c r="AB73">
        <f>OR((C73+D73)&lt;66,(E73+F73)&lt;66,G73&lt;33,(H73+I73)&lt;66,Y73,Z73,AA73,R73&lt;8.25)</f>
        <v/>
      </c>
      <c r="AC73">
        <f>IF(C73+D73&lt;66,0,IF((C73+D73)/2&gt;=80,5,IF((C73+D73)/2&gt;=70,4,IF((C73+D73)/2&gt;=60,3.5,IF((C73+D73)/2&gt;=50,3,IF((C73+D73)/2&gt;=40,2,IF((C73+D73)/2&gt;=33,1,0)))))))</f>
        <v/>
      </c>
      <c r="AD73">
        <f>IF(E73+F73&lt;66,0,IF((E73+F73)/2&gt;=80,5,IF((E73+F73)/2&gt;=70,4,IF((E73+F73)/2&gt;=60,3.5,IF((E73+F73)/2&gt;=50,3,IF((E73+F73)/2&gt;=40,2,IF((E73+F73)/2&gt;=33,1,0)))))))</f>
        <v/>
      </c>
      <c r="AE73">
        <f>IF(G73&lt;33,0,IF(G73&gt;=80,5,IF(G73&gt;=70,4,IF(G73&gt;=60,3.5,IF(G73&gt;=50,3,IF(G73&gt;=40,2,IF(G73&gt;=33,1,0)))))))</f>
        <v/>
      </c>
      <c r="AF73">
        <f>IF(H73+I73&lt;66,0,IF((H73+I73)/2&gt;=80,5,IF((H73+I73)/2&gt;=70,4,IF((H73+I73)/2&gt;=60,3.5,IF((H73+I73)/2&gt;=50,3,IF((H73+I73)/2&gt;=40,2,IF((H73+I73)/2&gt;=33,1,0)))))))</f>
        <v/>
      </c>
      <c r="AG73">
        <f>IF(Y73,0,IF((J73+K73+L73+M73)/2&gt;=80,5,IF((J73+K73+L73+M73)/2&gt;=70,4,IF((J73+K73+L73+M73)/2&gt;=60,3.5,IF((J73+K73+L73+M73)/2&gt;=50,3,IF((J73+K73+L73+M73)/2&gt;=40,2,IF((J73+K73+L73+M73)/2&gt;=33,1,0)))))))</f>
        <v/>
      </c>
      <c r="AH73">
        <f>IF(Z73,0,IF(N73+O73&gt;=80,5,IF(N73+O73&gt;=70,4,IF(N73+O73&gt;=60,3.5,IF(N73+O73&gt;=50,3,IF(N73+O73&gt;=40,2,IF(N73+O73&gt;=33,1,0)))))))</f>
        <v/>
      </c>
      <c r="AI73">
        <f>IF(AA73,0,IF(P73+Q73&gt;=80,5,IF(P73+Q73&gt;=70,4,IF(P73+Q73&gt;=60,3.5,IF(P73+Q73&gt;=50,3,IF(P73+Q73&gt;=40,2,IF(P73+Q73&gt;=33,1,0)))))))</f>
        <v/>
      </c>
      <c r="AJ73">
        <f>IF(R73&lt;8.25,0,IF(R73*2&gt;=80,5,IF(R73*2&gt;=70,4,IF(R73*2&gt;=60,3.5,IF(R73*2&gt;=50,3,IF(R73*2&gt;=40,2,IF(R73*2&gt;=33,1,0)))))))</f>
        <v/>
      </c>
      <c r="AK73">
        <f>IF(S73&lt;33,0,IF(S73&gt;=80,5,IF(S73&gt;=70,4,IF(S73&gt;=60,3.5,IF(S73&gt;=50,3,IF(S73&gt;=40,2,IF(S73&gt;=33,1,0)))))))</f>
        <v/>
      </c>
      <c r="AL73">
        <f>(AC73+AD73+AE73+AF73+AG73+AH73+AI73+AJ73)/8</f>
        <v/>
      </c>
      <c r="AM73">
        <f>IF(AK73&gt;=2,(AK73-2)/8,0)</f>
        <v/>
      </c>
    </row>
    <row r="74">
      <c r="T74">
        <f>SUM(C74:R74)</f>
        <v/>
      </c>
      <c r="U74" s="6">
        <f>ROUND(T74/11.5,2)</f>
        <v/>
      </c>
      <c r="V74" s="7">
        <f>IF(B74="","",IF(AB74,0,ROUND(AL74,2)))</f>
        <v/>
      </c>
      <c r="W74" s="7">
        <f>IF(B74="","",IF(AB74,0,MIN(5,ROUND(AL74+AM74,2))))</f>
        <v/>
      </c>
      <c r="X74" s="8">
        <f>IF(B74="","",IF(W74&gt;=5,"A+",IF(W74&gt;=4,"A",IF(W74&gt;=3.5,"A-",IF(W74&gt;=3,"B",IF(W74&gt;=2,"C",IF(W74&gt;=1,"D","F")))))))</f>
        <v/>
      </c>
      <c r="Y74">
        <f>NOT(OR(AND(J74&gt;=10,K74&gt;=23,L74&gt;=10,M74&gt;=23),AND(J74+L74&gt;=20,K74+M74&gt;=46)))</f>
        <v/>
      </c>
      <c r="Z74">
        <f>OR(N74&lt;10,O74&lt;23)</f>
        <v/>
      </c>
      <c r="AA74">
        <f>OR(P74&lt;10,Q74&lt;23)</f>
        <v/>
      </c>
      <c r="AB74">
        <f>OR((C74+D74)&lt;66,(E74+F74)&lt;66,G74&lt;33,(H74+I74)&lt;66,Y74,Z74,AA74,R74&lt;8.25)</f>
        <v/>
      </c>
      <c r="AC74">
        <f>IF(C74+D74&lt;66,0,IF((C74+D74)/2&gt;=80,5,IF((C74+D74)/2&gt;=70,4,IF((C74+D74)/2&gt;=60,3.5,IF((C74+D74)/2&gt;=50,3,IF((C74+D74)/2&gt;=40,2,IF((C74+D74)/2&gt;=33,1,0)))))))</f>
        <v/>
      </c>
      <c r="AD74">
        <f>IF(E74+F74&lt;66,0,IF((E74+F74)/2&gt;=80,5,IF((E74+F74)/2&gt;=70,4,IF((E74+F74)/2&gt;=60,3.5,IF((E74+F74)/2&gt;=50,3,IF((E74+F74)/2&gt;=40,2,IF((E74+F74)/2&gt;=33,1,0)))))))</f>
        <v/>
      </c>
      <c r="AE74">
        <f>IF(G74&lt;33,0,IF(G74&gt;=80,5,IF(G74&gt;=70,4,IF(G74&gt;=60,3.5,IF(G74&gt;=50,3,IF(G74&gt;=40,2,IF(G74&gt;=33,1,0)))))))</f>
        <v/>
      </c>
      <c r="AF74">
        <f>IF(H74+I74&lt;66,0,IF((H74+I74)/2&gt;=80,5,IF((H74+I74)/2&gt;=70,4,IF((H74+I74)/2&gt;=60,3.5,IF((H74+I74)/2&gt;=50,3,IF((H74+I74)/2&gt;=40,2,IF((H74+I74)/2&gt;=33,1,0)))))))</f>
        <v/>
      </c>
      <c r="AG74">
        <f>IF(Y74,0,IF((J74+K74+L74+M74)/2&gt;=80,5,IF((J74+K74+L74+M74)/2&gt;=70,4,IF((J74+K74+L74+M74)/2&gt;=60,3.5,IF((J74+K74+L74+M74)/2&gt;=50,3,IF((J74+K74+L74+M74)/2&gt;=40,2,IF((J74+K74+L74+M74)/2&gt;=33,1,0)))))))</f>
        <v/>
      </c>
      <c r="AH74">
        <f>IF(Z74,0,IF(N74+O74&gt;=80,5,IF(N74+O74&gt;=70,4,IF(N74+O74&gt;=60,3.5,IF(N74+O74&gt;=50,3,IF(N74+O74&gt;=40,2,IF(N74+O74&gt;=33,1,0)))))))</f>
        <v/>
      </c>
      <c r="AI74">
        <f>IF(AA74,0,IF(P74+Q74&gt;=80,5,IF(P74+Q74&gt;=70,4,IF(P74+Q74&gt;=60,3.5,IF(P74+Q74&gt;=50,3,IF(P74+Q74&gt;=40,2,IF(P74+Q74&gt;=33,1,0)))))))</f>
        <v/>
      </c>
      <c r="AJ74">
        <f>IF(R74&lt;8.25,0,IF(R74*2&gt;=80,5,IF(R74*2&gt;=70,4,IF(R74*2&gt;=60,3.5,IF(R74*2&gt;=50,3,IF(R74*2&gt;=40,2,IF(R74*2&gt;=33,1,0)))))))</f>
        <v/>
      </c>
      <c r="AK74">
        <f>IF(S74&lt;33,0,IF(S74&gt;=80,5,IF(S74&gt;=70,4,IF(S74&gt;=60,3.5,IF(S74&gt;=50,3,IF(S74&gt;=40,2,IF(S74&gt;=33,1,0)))))))</f>
        <v/>
      </c>
      <c r="AL74">
        <f>(AC74+AD74+AE74+AF74+AG74+AH74+AI74+AJ74)/8</f>
        <v/>
      </c>
      <c r="AM74">
        <f>IF(AK74&gt;=2,(AK74-2)/8,0)</f>
        <v/>
      </c>
    </row>
    <row r="75">
      <c r="T75">
        <f>SUM(C75:R75)</f>
        <v/>
      </c>
      <c r="U75" s="6">
        <f>ROUND(T75/11.5,2)</f>
        <v/>
      </c>
      <c r="V75" s="7">
        <f>IF(B75="","",IF(AB75,0,ROUND(AL75,2)))</f>
        <v/>
      </c>
      <c r="W75" s="7">
        <f>IF(B75="","",IF(AB75,0,MIN(5,ROUND(AL75+AM75,2))))</f>
        <v/>
      </c>
      <c r="X75" s="8">
        <f>IF(B75="","",IF(W75&gt;=5,"A+",IF(W75&gt;=4,"A",IF(W75&gt;=3.5,"A-",IF(W75&gt;=3,"B",IF(W75&gt;=2,"C",IF(W75&gt;=1,"D","F")))))))</f>
        <v/>
      </c>
      <c r="Y75">
        <f>NOT(OR(AND(J75&gt;=10,K75&gt;=23,L75&gt;=10,M75&gt;=23),AND(J75+L75&gt;=20,K75+M75&gt;=46)))</f>
        <v/>
      </c>
      <c r="Z75">
        <f>OR(N75&lt;10,O75&lt;23)</f>
        <v/>
      </c>
      <c r="AA75">
        <f>OR(P75&lt;10,Q75&lt;23)</f>
        <v/>
      </c>
      <c r="AB75">
        <f>OR((C75+D75)&lt;66,(E75+F75)&lt;66,G75&lt;33,(H75+I75)&lt;66,Y75,Z75,AA75,R75&lt;8.25)</f>
        <v/>
      </c>
      <c r="AC75">
        <f>IF(C75+D75&lt;66,0,IF((C75+D75)/2&gt;=80,5,IF((C75+D75)/2&gt;=70,4,IF((C75+D75)/2&gt;=60,3.5,IF((C75+D75)/2&gt;=50,3,IF((C75+D75)/2&gt;=40,2,IF((C75+D75)/2&gt;=33,1,0)))))))</f>
        <v/>
      </c>
      <c r="AD75">
        <f>IF(E75+F75&lt;66,0,IF((E75+F75)/2&gt;=80,5,IF((E75+F75)/2&gt;=70,4,IF((E75+F75)/2&gt;=60,3.5,IF((E75+F75)/2&gt;=50,3,IF((E75+F75)/2&gt;=40,2,IF((E75+F75)/2&gt;=33,1,0)))))))</f>
        <v/>
      </c>
      <c r="AE75">
        <f>IF(G75&lt;33,0,IF(G75&gt;=80,5,IF(G75&gt;=70,4,IF(G75&gt;=60,3.5,IF(G75&gt;=50,3,IF(G75&gt;=40,2,IF(G75&gt;=33,1,0)))))))</f>
        <v/>
      </c>
      <c r="AF75">
        <f>IF(H75+I75&lt;66,0,IF((H75+I75)/2&gt;=80,5,IF((H75+I75)/2&gt;=70,4,IF((H75+I75)/2&gt;=60,3.5,IF((H75+I75)/2&gt;=50,3,IF((H75+I75)/2&gt;=40,2,IF((H75+I75)/2&gt;=33,1,0)))))))</f>
        <v/>
      </c>
      <c r="AG75">
        <f>IF(Y75,0,IF((J75+K75+L75+M75)/2&gt;=80,5,IF((J75+K75+L75+M75)/2&gt;=70,4,IF((J75+K75+L75+M75)/2&gt;=60,3.5,IF((J75+K75+L75+M75)/2&gt;=50,3,IF((J75+K75+L75+M75)/2&gt;=40,2,IF((J75+K75+L75+M75)/2&gt;=33,1,0)))))))</f>
        <v/>
      </c>
      <c r="AH75">
        <f>IF(Z75,0,IF(N75+O75&gt;=80,5,IF(N75+O75&gt;=70,4,IF(N75+O75&gt;=60,3.5,IF(N75+O75&gt;=50,3,IF(N75+O75&gt;=40,2,IF(N75+O75&gt;=33,1,0)))))))</f>
        <v/>
      </c>
      <c r="AI75">
        <f>IF(AA75,0,IF(P75+Q75&gt;=80,5,IF(P75+Q75&gt;=70,4,IF(P75+Q75&gt;=60,3.5,IF(P75+Q75&gt;=50,3,IF(P75+Q75&gt;=40,2,IF(P75+Q75&gt;=33,1,0)))))))</f>
        <v/>
      </c>
      <c r="AJ75">
        <f>IF(R75&lt;8.25,0,IF(R75*2&gt;=80,5,IF(R75*2&gt;=70,4,IF(R75*2&gt;=60,3.5,IF(R75*2&gt;=50,3,IF(R75*2&gt;=40,2,IF(R75*2&gt;=33,1,0)))))))</f>
        <v/>
      </c>
      <c r="AK75">
        <f>IF(S75&lt;33,0,IF(S75&gt;=80,5,IF(S75&gt;=70,4,IF(S75&gt;=60,3.5,IF(S75&gt;=50,3,IF(S75&gt;=40,2,IF(S75&gt;=33,1,0)))))))</f>
        <v/>
      </c>
      <c r="AL75">
        <f>(AC75+AD75+AE75+AF75+AG75+AH75+AI75+AJ75)/8</f>
        <v/>
      </c>
      <c r="AM75">
        <f>IF(AK75&gt;=2,(AK75-2)/8,0)</f>
        <v/>
      </c>
    </row>
    <row r="76">
      <c r="T76">
        <f>SUM(C76:R76)</f>
        <v/>
      </c>
      <c r="U76" s="6">
        <f>ROUND(T76/11.5,2)</f>
        <v/>
      </c>
      <c r="V76" s="7">
        <f>IF(B76="","",IF(AB76,0,ROUND(AL76,2)))</f>
        <v/>
      </c>
      <c r="W76" s="7">
        <f>IF(B76="","",IF(AB76,0,MIN(5,ROUND(AL76+AM76,2))))</f>
        <v/>
      </c>
      <c r="X76" s="8">
        <f>IF(B76="","",IF(W76&gt;=5,"A+",IF(W76&gt;=4,"A",IF(W76&gt;=3.5,"A-",IF(W76&gt;=3,"B",IF(W76&gt;=2,"C",IF(W76&gt;=1,"D","F")))))))</f>
        <v/>
      </c>
      <c r="Y76">
        <f>NOT(OR(AND(J76&gt;=10,K76&gt;=23,L76&gt;=10,M76&gt;=23),AND(J76+L76&gt;=20,K76+M76&gt;=46)))</f>
        <v/>
      </c>
      <c r="Z76">
        <f>OR(N76&lt;10,O76&lt;23)</f>
        <v/>
      </c>
      <c r="AA76">
        <f>OR(P76&lt;10,Q76&lt;23)</f>
        <v/>
      </c>
      <c r="AB76">
        <f>OR((C76+D76)&lt;66,(E76+F76)&lt;66,G76&lt;33,(H76+I76)&lt;66,Y76,Z76,AA76,R76&lt;8.25)</f>
        <v/>
      </c>
      <c r="AC76">
        <f>IF(C76+D76&lt;66,0,IF((C76+D76)/2&gt;=80,5,IF((C76+D76)/2&gt;=70,4,IF((C76+D76)/2&gt;=60,3.5,IF((C76+D76)/2&gt;=50,3,IF((C76+D76)/2&gt;=40,2,IF((C76+D76)/2&gt;=33,1,0)))))))</f>
        <v/>
      </c>
      <c r="AD76">
        <f>IF(E76+F76&lt;66,0,IF((E76+F76)/2&gt;=80,5,IF((E76+F76)/2&gt;=70,4,IF((E76+F76)/2&gt;=60,3.5,IF((E76+F76)/2&gt;=50,3,IF((E76+F76)/2&gt;=40,2,IF((E76+F76)/2&gt;=33,1,0)))))))</f>
        <v/>
      </c>
      <c r="AE76">
        <f>IF(G76&lt;33,0,IF(G76&gt;=80,5,IF(G76&gt;=70,4,IF(G76&gt;=60,3.5,IF(G76&gt;=50,3,IF(G76&gt;=40,2,IF(G76&gt;=33,1,0)))))))</f>
        <v/>
      </c>
      <c r="AF76">
        <f>IF(H76+I76&lt;66,0,IF((H76+I76)/2&gt;=80,5,IF((H76+I76)/2&gt;=70,4,IF((H76+I76)/2&gt;=60,3.5,IF((H76+I76)/2&gt;=50,3,IF((H76+I76)/2&gt;=40,2,IF((H76+I76)/2&gt;=33,1,0)))))))</f>
        <v/>
      </c>
      <c r="AG76">
        <f>IF(Y76,0,IF((J76+K76+L76+M76)/2&gt;=80,5,IF((J76+K76+L76+M76)/2&gt;=70,4,IF((J76+K76+L76+M76)/2&gt;=60,3.5,IF((J76+K76+L76+M76)/2&gt;=50,3,IF((J76+K76+L76+M76)/2&gt;=40,2,IF((J76+K76+L76+M76)/2&gt;=33,1,0)))))))</f>
        <v/>
      </c>
      <c r="AH76">
        <f>IF(Z76,0,IF(N76+O76&gt;=80,5,IF(N76+O76&gt;=70,4,IF(N76+O76&gt;=60,3.5,IF(N76+O76&gt;=50,3,IF(N76+O76&gt;=40,2,IF(N76+O76&gt;=33,1,0)))))))</f>
        <v/>
      </c>
      <c r="AI76">
        <f>IF(AA76,0,IF(P76+Q76&gt;=80,5,IF(P76+Q76&gt;=70,4,IF(P76+Q76&gt;=60,3.5,IF(P76+Q76&gt;=50,3,IF(P76+Q76&gt;=40,2,IF(P76+Q76&gt;=33,1,0)))))))</f>
        <v/>
      </c>
      <c r="AJ76">
        <f>IF(R76&lt;8.25,0,IF(R76*2&gt;=80,5,IF(R76*2&gt;=70,4,IF(R76*2&gt;=60,3.5,IF(R76*2&gt;=50,3,IF(R76*2&gt;=40,2,IF(R76*2&gt;=33,1,0)))))))</f>
        <v/>
      </c>
      <c r="AK76">
        <f>IF(S76&lt;33,0,IF(S76&gt;=80,5,IF(S76&gt;=70,4,IF(S76&gt;=60,3.5,IF(S76&gt;=50,3,IF(S76&gt;=40,2,IF(S76&gt;=33,1,0)))))))</f>
        <v/>
      </c>
      <c r="AL76">
        <f>(AC76+AD76+AE76+AF76+AG76+AH76+AI76+AJ76)/8</f>
        <v/>
      </c>
      <c r="AM76">
        <f>IF(AK76&gt;=2,(AK76-2)/8,0)</f>
        <v/>
      </c>
    </row>
    <row r="77">
      <c r="T77">
        <f>SUM(C77:R77)</f>
        <v/>
      </c>
      <c r="U77" s="6">
        <f>ROUND(T77/11.5,2)</f>
        <v/>
      </c>
      <c r="V77" s="7">
        <f>IF(B77="","",IF(AB77,0,ROUND(AL77,2)))</f>
        <v/>
      </c>
      <c r="W77" s="7">
        <f>IF(B77="","",IF(AB77,0,MIN(5,ROUND(AL77+AM77,2))))</f>
        <v/>
      </c>
      <c r="X77" s="8">
        <f>IF(B77="","",IF(W77&gt;=5,"A+",IF(W77&gt;=4,"A",IF(W77&gt;=3.5,"A-",IF(W77&gt;=3,"B",IF(W77&gt;=2,"C",IF(W77&gt;=1,"D","F")))))))</f>
        <v/>
      </c>
      <c r="Y77">
        <f>NOT(OR(AND(J77&gt;=10,K77&gt;=23,L77&gt;=10,M77&gt;=23),AND(J77+L77&gt;=20,K77+M77&gt;=46)))</f>
        <v/>
      </c>
      <c r="Z77">
        <f>OR(N77&lt;10,O77&lt;23)</f>
        <v/>
      </c>
      <c r="AA77">
        <f>OR(P77&lt;10,Q77&lt;23)</f>
        <v/>
      </c>
      <c r="AB77">
        <f>OR((C77+D77)&lt;66,(E77+F77)&lt;66,G77&lt;33,(H77+I77)&lt;66,Y77,Z77,AA77,R77&lt;8.25)</f>
        <v/>
      </c>
      <c r="AC77">
        <f>IF(C77+D77&lt;66,0,IF((C77+D77)/2&gt;=80,5,IF((C77+D77)/2&gt;=70,4,IF((C77+D77)/2&gt;=60,3.5,IF((C77+D77)/2&gt;=50,3,IF((C77+D77)/2&gt;=40,2,IF((C77+D77)/2&gt;=33,1,0)))))))</f>
        <v/>
      </c>
      <c r="AD77">
        <f>IF(E77+F77&lt;66,0,IF((E77+F77)/2&gt;=80,5,IF((E77+F77)/2&gt;=70,4,IF((E77+F77)/2&gt;=60,3.5,IF((E77+F77)/2&gt;=50,3,IF((E77+F77)/2&gt;=40,2,IF((E77+F77)/2&gt;=33,1,0)))))))</f>
        <v/>
      </c>
      <c r="AE77">
        <f>IF(G77&lt;33,0,IF(G77&gt;=80,5,IF(G77&gt;=70,4,IF(G77&gt;=60,3.5,IF(G77&gt;=50,3,IF(G77&gt;=40,2,IF(G77&gt;=33,1,0)))))))</f>
        <v/>
      </c>
      <c r="AF77">
        <f>IF(H77+I77&lt;66,0,IF((H77+I77)/2&gt;=80,5,IF((H77+I77)/2&gt;=70,4,IF((H77+I77)/2&gt;=60,3.5,IF((H77+I77)/2&gt;=50,3,IF((H77+I77)/2&gt;=40,2,IF((H77+I77)/2&gt;=33,1,0)))))))</f>
        <v/>
      </c>
      <c r="AG77">
        <f>IF(Y77,0,IF((J77+K77+L77+M77)/2&gt;=80,5,IF((J77+K77+L77+M77)/2&gt;=70,4,IF((J77+K77+L77+M77)/2&gt;=60,3.5,IF((J77+K77+L77+M77)/2&gt;=50,3,IF((J77+K77+L77+M77)/2&gt;=40,2,IF((J77+K77+L77+M77)/2&gt;=33,1,0)))))))</f>
        <v/>
      </c>
      <c r="AH77">
        <f>IF(Z77,0,IF(N77+O77&gt;=80,5,IF(N77+O77&gt;=70,4,IF(N77+O77&gt;=60,3.5,IF(N77+O77&gt;=50,3,IF(N77+O77&gt;=40,2,IF(N77+O77&gt;=33,1,0)))))))</f>
        <v/>
      </c>
      <c r="AI77">
        <f>IF(AA77,0,IF(P77+Q77&gt;=80,5,IF(P77+Q77&gt;=70,4,IF(P77+Q77&gt;=60,3.5,IF(P77+Q77&gt;=50,3,IF(P77+Q77&gt;=40,2,IF(P77+Q77&gt;=33,1,0)))))))</f>
        <v/>
      </c>
      <c r="AJ77">
        <f>IF(R77&lt;8.25,0,IF(R77*2&gt;=80,5,IF(R77*2&gt;=70,4,IF(R77*2&gt;=60,3.5,IF(R77*2&gt;=50,3,IF(R77*2&gt;=40,2,IF(R77*2&gt;=33,1,0)))))))</f>
        <v/>
      </c>
      <c r="AK77">
        <f>IF(S77&lt;33,0,IF(S77&gt;=80,5,IF(S77&gt;=70,4,IF(S77&gt;=60,3.5,IF(S77&gt;=50,3,IF(S77&gt;=40,2,IF(S77&gt;=33,1,0)))))))</f>
        <v/>
      </c>
      <c r="AL77">
        <f>(AC77+AD77+AE77+AF77+AG77+AH77+AI77+AJ77)/8</f>
        <v/>
      </c>
      <c r="AM77">
        <f>IF(AK77&gt;=2,(AK77-2)/8,0)</f>
        <v/>
      </c>
    </row>
    <row r="78">
      <c r="T78">
        <f>SUM(C78:R78)</f>
        <v/>
      </c>
      <c r="U78" s="6">
        <f>ROUND(T78/11.5,2)</f>
        <v/>
      </c>
      <c r="V78" s="7">
        <f>IF(B78="","",IF(AB78,0,ROUND(AL78,2)))</f>
        <v/>
      </c>
      <c r="W78" s="7">
        <f>IF(B78="","",IF(AB78,0,MIN(5,ROUND(AL78+AM78,2))))</f>
        <v/>
      </c>
      <c r="X78" s="8">
        <f>IF(B78="","",IF(W78&gt;=5,"A+",IF(W78&gt;=4,"A",IF(W78&gt;=3.5,"A-",IF(W78&gt;=3,"B",IF(W78&gt;=2,"C",IF(W78&gt;=1,"D","F")))))))</f>
        <v/>
      </c>
      <c r="Y78">
        <f>NOT(OR(AND(J78&gt;=10,K78&gt;=23,L78&gt;=10,M78&gt;=23),AND(J78+L78&gt;=20,K78+M78&gt;=46)))</f>
        <v/>
      </c>
      <c r="Z78">
        <f>OR(N78&lt;10,O78&lt;23)</f>
        <v/>
      </c>
      <c r="AA78">
        <f>OR(P78&lt;10,Q78&lt;23)</f>
        <v/>
      </c>
      <c r="AB78">
        <f>OR((C78+D78)&lt;66,(E78+F78)&lt;66,G78&lt;33,(H78+I78)&lt;66,Y78,Z78,AA78,R78&lt;8.25)</f>
        <v/>
      </c>
      <c r="AC78">
        <f>IF(C78+D78&lt;66,0,IF((C78+D78)/2&gt;=80,5,IF((C78+D78)/2&gt;=70,4,IF((C78+D78)/2&gt;=60,3.5,IF((C78+D78)/2&gt;=50,3,IF((C78+D78)/2&gt;=40,2,IF((C78+D78)/2&gt;=33,1,0)))))))</f>
        <v/>
      </c>
      <c r="AD78">
        <f>IF(E78+F78&lt;66,0,IF((E78+F78)/2&gt;=80,5,IF((E78+F78)/2&gt;=70,4,IF((E78+F78)/2&gt;=60,3.5,IF((E78+F78)/2&gt;=50,3,IF((E78+F78)/2&gt;=40,2,IF((E78+F78)/2&gt;=33,1,0)))))))</f>
        <v/>
      </c>
      <c r="AE78">
        <f>IF(G78&lt;33,0,IF(G78&gt;=80,5,IF(G78&gt;=70,4,IF(G78&gt;=60,3.5,IF(G78&gt;=50,3,IF(G78&gt;=40,2,IF(G78&gt;=33,1,0)))))))</f>
        <v/>
      </c>
      <c r="AF78">
        <f>IF(H78+I78&lt;66,0,IF((H78+I78)/2&gt;=80,5,IF((H78+I78)/2&gt;=70,4,IF((H78+I78)/2&gt;=60,3.5,IF((H78+I78)/2&gt;=50,3,IF((H78+I78)/2&gt;=40,2,IF((H78+I78)/2&gt;=33,1,0)))))))</f>
        <v/>
      </c>
      <c r="AG78">
        <f>IF(Y78,0,IF((J78+K78+L78+M78)/2&gt;=80,5,IF((J78+K78+L78+M78)/2&gt;=70,4,IF((J78+K78+L78+M78)/2&gt;=60,3.5,IF((J78+K78+L78+M78)/2&gt;=50,3,IF((J78+K78+L78+M78)/2&gt;=40,2,IF((J78+K78+L78+M78)/2&gt;=33,1,0)))))))</f>
        <v/>
      </c>
      <c r="AH78">
        <f>IF(Z78,0,IF(N78+O78&gt;=80,5,IF(N78+O78&gt;=70,4,IF(N78+O78&gt;=60,3.5,IF(N78+O78&gt;=50,3,IF(N78+O78&gt;=40,2,IF(N78+O78&gt;=33,1,0)))))))</f>
        <v/>
      </c>
      <c r="AI78">
        <f>IF(AA78,0,IF(P78+Q78&gt;=80,5,IF(P78+Q78&gt;=70,4,IF(P78+Q78&gt;=60,3.5,IF(P78+Q78&gt;=50,3,IF(P78+Q78&gt;=40,2,IF(P78+Q78&gt;=33,1,0)))))))</f>
        <v/>
      </c>
      <c r="AJ78">
        <f>IF(R78&lt;8.25,0,IF(R78*2&gt;=80,5,IF(R78*2&gt;=70,4,IF(R78*2&gt;=60,3.5,IF(R78*2&gt;=50,3,IF(R78*2&gt;=40,2,IF(R78*2&gt;=33,1,0)))))))</f>
        <v/>
      </c>
      <c r="AK78">
        <f>IF(S78&lt;33,0,IF(S78&gt;=80,5,IF(S78&gt;=70,4,IF(S78&gt;=60,3.5,IF(S78&gt;=50,3,IF(S78&gt;=40,2,IF(S78&gt;=33,1,0)))))))</f>
        <v/>
      </c>
      <c r="AL78">
        <f>(AC78+AD78+AE78+AF78+AG78+AH78+AI78+AJ78)/8</f>
        <v/>
      </c>
      <c r="AM78">
        <f>IF(AK78&gt;=2,(AK78-2)/8,0)</f>
        <v/>
      </c>
    </row>
    <row r="79">
      <c r="T79">
        <f>SUM(C79:R79)</f>
        <v/>
      </c>
      <c r="U79" s="6">
        <f>ROUND(T79/11.5,2)</f>
        <v/>
      </c>
      <c r="V79" s="7">
        <f>IF(B79="","",IF(AB79,0,ROUND(AL79,2)))</f>
        <v/>
      </c>
      <c r="W79" s="7">
        <f>IF(B79="","",IF(AB79,0,MIN(5,ROUND(AL79+AM79,2))))</f>
        <v/>
      </c>
      <c r="X79" s="8">
        <f>IF(B79="","",IF(W79&gt;=5,"A+",IF(W79&gt;=4,"A",IF(W79&gt;=3.5,"A-",IF(W79&gt;=3,"B",IF(W79&gt;=2,"C",IF(W79&gt;=1,"D","F")))))))</f>
        <v/>
      </c>
      <c r="Y79">
        <f>NOT(OR(AND(J79&gt;=10,K79&gt;=23,L79&gt;=10,M79&gt;=23),AND(J79+L79&gt;=20,K79+M79&gt;=46)))</f>
        <v/>
      </c>
      <c r="Z79">
        <f>OR(N79&lt;10,O79&lt;23)</f>
        <v/>
      </c>
      <c r="AA79">
        <f>OR(P79&lt;10,Q79&lt;23)</f>
        <v/>
      </c>
      <c r="AB79">
        <f>OR((C79+D79)&lt;66,(E79+F79)&lt;66,G79&lt;33,(H79+I79)&lt;66,Y79,Z79,AA79,R79&lt;8.25)</f>
        <v/>
      </c>
      <c r="AC79">
        <f>IF(C79+D79&lt;66,0,IF((C79+D79)/2&gt;=80,5,IF((C79+D79)/2&gt;=70,4,IF((C79+D79)/2&gt;=60,3.5,IF((C79+D79)/2&gt;=50,3,IF((C79+D79)/2&gt;=40,2,IF((C79+D79)/2&gt;=33,1,0)))))))</f>
        <v/>
      </c>
      <c r="AD79">
        <f>IF(E79+F79&lt;66,0,IF((E79+F79)/2&gt;=80,5,IF((E79+F79)/2&gt;=70,4,IF((E79+F79)/2&gt;=60,3.5,IF((E79+F79)/2&gt;=50,3,IF((E79+F79)/2&gt;=40,2,IF((E79+F79)/2&gt;=33,1,0)))))))</f>
        <v/>
      </c>
      <c r="AE79">
        <f>IF(G79&lt;33,0,IF(G79&gt;=80,5,IF(G79&gt;=70,4,IF(G79&gt;=60,3.5,IF(G79&gt;=50,3,IF(G79&gt;=40,2,IF(G79&gt;=33,1,0)))))))</f>
        <v/>
      </c>
      <c r="AF79">
        <f>IF(H79+I79&lt;66,0,IF((H79+I79)/2&gt;=80,5,IF((H79+I79)/2&gt;=70,4,IF((H79+I79)/2&gt;=60,3.5,IF((H79+I79)/2&gt;=50,3,IF((H79+I79)/2&gt;=40,2,IF((H79+I79)/2&gt;=33,1,0)))))))</f>
        <v/>
      </c>
      <c r="AG79">
        <f>IF(Y79,0,IF((J79+K79+L79+M79)/2&gt;=80,5,IF((J79+K79+L79+M79)/2&gt;=70,4,IF((J79+K79+L79+M79)/2&gt;=60,3.5,IF((J79+K79+L79+M79)/2&gt;=50,3,IF((J79+K79+L79+M79)/2&gt;=40,2,IF((J79+K79+L79+M79)/2&gt;=33,1,0)))))))</f>
        <v/>
      </c>
      <c r="AH79">
        <f>IF(Z79,0,IF(N79+O79&gt;=80,5,IF(N79+O79&gt;=70,4,IF(N79+O79&gt;=60,3.5,IF(N79+O79&gt;=50,3,IF(N79+O79&gt;=40,2,IF(N79+O79&gt;=33,1,0)))))))</f>
        <v/>
      </c>
      <c r="AI79">
        <f>IF(AA79,0,IF(P79+Q79&gt;=80,5,IF(P79+Q79&gt;=70,4,IF(P79+Q79&gt;=60,3.5,IF(P79+Q79&gt;=50,3,IF(P79+Q79&gt;=40,2,IF(P79+Q79&gt;=33,1,0)))))))</f>
        <v/>
      </c>
      <c r="AJ79">
        <f>IF(R79&lt;8.25,0,IF(R79*2&gt;=80,5,IF(R79*2&gt;=70,4,IF(R79*2&gt;=60,3.5,IF(R79*2&gt;=50,3,IF(R79*2&gt;=40,2,IF(R79*2&gt;=33,1,0)))))))</f>
        <v/>
      </c>
      <c r="AK79">
        <f>IF(S79&lt;33,0,IF(S79&gt;=80,5,IF(S79&gt;=70,4,IF(S79&gt;=60,3.5,IF(S79&gt;=50,3,IF(S79&gt;=40,2,IF(S79&gt;=33,1,0)))))))</f>
        <v/>
      </c>
      <c r="AL79">
        <f>(AC79+AD79+AE79+AF79+AG79+AH79+AI79+AJ79)/8</f>
        <v/>
      </c>
      <c r="AM79">
        <f>IF(AK79&gt;=2,(AK79-2)/8,0)</f>
        <v/>
      </c>
    </row>
    <row r="80">
      <c r="T80">
        <f>SUM(C80:R80)</f>
        <v/>
      </c>
      <c r="U80" s="6">
        <f>ROUND(T80/11.5,2)</f>
        <v/>
      </c>
      <c r="V80" s="7">
        <f>IF(B80="","",IF(AB80,0,ROUND(AL80,2)))</f>
        <v/>
      </c>
      <c r="W80" s="7">
        <f>IF(B80="","",IF(AB80,0,MIN(5,ROUND(AL80+AM80,2))))</f>
        <v/>
      </c>
      <c r="X80" s="8">
        <f>IF(B80="","",IF(W80&gt;=5,"A+",IF(W80&gt;=4,"A",IF(W80&gt;=3.5,"A-",IF(W80&gt;=3,"B",IF(W80&gt;=2,"C",IF(W80&gt;=1,"D","F")))))))</f>
        <v/>
      </c>
      <c r="Y80">
        <f>NOT(OR(AND(J80&gt;=10,K80&gt;=23,L80&gt;=10,M80&gt;=23),AND(J80+L80&gt;=20,K80+M80&gt;=46)))</f>
        <v/>
      </c>
      <c r="Z80">
        <f>OR(N80&lt;10,O80&lt;23)</f>
        <v/>
      </c>
      <c r="AA80">
        <f>OR(P80&lt;10,Q80&lt;23)</f>
        <v/>
      </c>
      <c r="AB80">
        <f>OR((C80+D80)&lt;66,(E80+F80)&lt;66,G80&lt;33,(H80+I80)&lt;66,Y80,Z80,AA80,R80&lt;8.25)</f>
        <v/>
      </c>
      <c r="AC80">
        <f>IF(C80+D80&lt;66,0,IF((C80+D80)/2&gt;=80,5,IF((C80+D80)/2&gt;=70,4,IF((C80+D80)/2&gt;=60,3.5,IF((C80+D80)/2&gt;=50,3,IF((C80+D80)/2&gt;=40,2,IF((C80+D80)/2&gt;=33,1,0)))))))</f>
        <v/>
      </c>
      <c r="AD80">
        <f>IF(E80+F80&lt;66,0,IF((E80+F80)/2&gt;=80,5,IF((E80+F80)/2&gt;=70,4,IF((E80+F80)/2&gt;=60,3.5,IF((E80+F80)/2&gt;=50,3,IF((E80+F80)/2&gt;=40,2,IF((E80+F80)/2&gt;=33,1,0)))))))</f>
        <v/>
      </c>
      <c r="AE80">
        <f>IF(G80&lt;33,0,IF(G80&gt;=80,5,IF(G80&gt;=70,4,IF(G80&gt;=60,3.5,IF(G80&gt;=50,3,IF(G80&gt;=40,2,IF(G80&gt;=33,1,0)))))))</f>
        <v/>
      </c>
      <c r="AF80">
        <f>IF(H80+I80&lt;66,0,IF((H80+I80)/2&gt;=80,5,IF((H80+I80)/2&gt;=70,4,IF((H80+I80)/2&gt;=60,3.5,IF((H80+I80)/2&gt;=50,3,IF((H80+I80)/2&gt;=40,2,IF((H80+I80)/2&gt;=33,1,0)))))))</f>
        <v/>
      </c>
      <c r="AG80">
        <f>IF(Y80,0,IF((J80+K80+L80+M80)/2&gt;=80,5,IF((J80+K80+L80+M80)/2&gt;=70,4,IF((J80+K80+L80+M80)/2&gt;=60,3.5,IF((J80+K80+L80+M80)/2&gt;=50,3,IF((J80+K80+L80+M80)/2&gt;=40,2,IF((J80+K80+L80+M80)/2&gt;=33,1,0)))))))</f>
        <v/>
      </c>
      <c r="AH80">
        <f>IF(Z80,0,IF(N80+O80&gt;=80,5,IF(N80+O80&gt;=70,4,IF(N80+O80&gt;=60,3.5,IF(N80+O80&gt;=50,3,IF(N80+O80&gt;=40,2,IF(N80+O80&gt;=33,1,0)))))))</f>
        <v/>
      </c>
      <c r="AI80">
        <f>IF(AA80,0,IF(P80+Q80&gt;=80,5,IF(P80+Q80&gt;=70,4,IF(P80+Q80&gt;=60,3.5,IF(P80+Q80&gt;=50,3,IF(P80+Q80&gt;=40,2,IF(P80+Q80&gt;=33,1,0)))))))</f>
        <v/>
      </c>
      <c r="AJ80">
        <f>IF(R80&lt;8.25,0,IF(R80*2&gt;=80,5,IF(R80*2&gt;=70,4,IF(R80*2&gt;=60,3.5,IF(R80*2&gt;=50,3,IF(R80*2&gt;=40,2,IF(R80*2&gt;=33,1,0)))))))</f>
        <v/>
      </c>
      <c r="AK80">
        <f>IF(S80&lt;33,0,IF(S80&gt;=80,5,IF(S80&gt;=70,4,IF(S80&gt;=60,3.5,IF(S80&gt;=50,3,IF(S80&gt;=40,2,IF(S80&gt;=33,1,0)))))))</f>
        <v/>
      </c>
      <c r="AL80">
        <f>(AC80+AD80+AE80+AF80+AG80+AH80+AI80+AJ80)/8</f>
        <v/>
      </c>
      <c r="AM80">
        <f>IF(AK80&gt;=2,(AK80-2)/8,0)</f>
        <v/>
      </c>
    </row>
    <row r="81">
      <c r="T81">
        <f>SUM(C81:R81)</f>
        <v/>
      </c>
      <c r="U81" s="6">
        <f>ROUND(T81/11.5,2)</f>
        <v/>
      </c>
      <c r="V81" s="7">
        <f>IF(B81="","",IF(AB81,0,ROUND(AL81,2)))</f>
        <v/>
      </c>
      <c r="W81" s="7">
        <f>IF(B81="","",IF(AB81,0,MIN(5,ROUND(AL81+AM81,2))))</f>
        <v/>
      </c>
      <c r="X81" s="8">
        <f>IF(B81="","",IF(W81&gt;=5,"A+",IF(W81&gt;=4,"A",IF(W81&gt;=3.5,"A-",IF(W81&gt;=3,"B",IF(W81&gt;=2,"C",IF(W81&gt;=1,"D","F")))))))</f>
        <v/>
      </c>
      <c r="Y81">
        <f>NOT(OR(AND(J81&gt;=10,K81&gt;=23,L81&gt;=10,M81&gt;=23),AND(J81+L81&gt;=20,K81+M81&gt;=46)))</f>
        <v/>
      </c>
      <c r="Z81">
        <f>OR(N81&lt;10,O81&lt;23)</f>
        <v/>
      </c>
      <c r="AA81">
        <f>OR(P81&lt;10,Q81&lt;23)</f>
        <v/>
      </c>
      <c r="AB81">
        <f>OR((C81+D81)&lt;66,(E81+F81)&lt;66,G81&lt;33,(H81+I81)&lt;66,Y81,Z81,AA81,R81&lt;8.25)</f>
        <v/>
      </c>
      <c r="AC81">
        <f>IF(C81+D81&lt;66,0,IF((C81+D81)/2&gt;=80,5,IF((C81+D81)/2&gt;=70,4,IF((C81+D81)/2&gt;=60,3.5,IF((C81+D81)/2&gt;=50,3,IF((C81+D81)/2&gt;=40,2,IF((C81+D81)/2&gt;=33,1,0)))))))</f>
        <v/>
      </c>
      <c r="AD81">
        <f>IF(E81+F81&lt;66,0,IF((E81+F81)/2&gt;=80,5,IF((E81+F81)/2&gt;=70,4,IF((E81+F81)/2&gt;=60,3.5,IF((E81+F81)/2&gt;=50,3,IF((E81+F81)/2&gt;=40,2,IF((E81+F81)/2&gt;=33,1,0)))))))</f>
        <v/>
      </c>
      <c r="AE81">
        <f>IF(G81&lt;33,0,IF(G81&gt;=80,5,IF(G81&gt;=70,4,IF(G81&gt;=60,3.5,IF(G81&gt;=50,3,IF(G81&gt;=40,2,IF(G81&gt;=33,1,0)))))))</f>
        <v/>
      </c>
      <c r="AF81">
        <f>IF(H81+I81&lt;66,0,IF((H81+I81)/2&gt;=80,5,IF((H81+I81)/2&gt;=70,4,IF((H81+I81)/2&gt;=60,3.5,IF((H81+I81)/2&gt;=50,3,IF((H81+I81)/2&gt;=40,2,IF((H81+I81)/2&gt;=33,1,0)))))))</f>
        <v/>
      </c>
      <c r="AG81">
        <f>IF(Y81,0,IF((J81+K81+L81+M81)/2&gt;=80,5,IF((J81+K81+L81+M81)/2&gt;=70,4,IF((J81+K81+L81+M81)/2&gt;=60,3.5,IF((J81+K81+L81+M81)/2&gt;=50,3,IF((J81+K81+L81+M81)/2&gt;=40,2,IF((J81+K81+L81+M81)/2&gt;=33,1,0)))))))</f>
        <v/>
      </c>
      <c r="AH81">
        <f>IF(Z81,0,IF(N81+O81&gt;=80,5,IF(N81+O81&gt;=70,4,IF(N81+O81&gt;=60,3.5,IF(N81+O81&gt;=50,3,IF(N81+O81&gt;=40,2,IF(N81+O81&gt;=33,1,0)))))))</f>
        <v/>
      </c>
      <c r="AI81">
        <f>IF(AA81,0,IF(P81+Q81&gt;=80,5,IF(P81+Q81&gt;=70,4,IF(P81+Q81&gt;=60,3.5,IF(P81+Q81&gt;=50,3,IF(P81+Q81&gt;=40,2,IF(P81+Q81&gt;=33,1,0)))))))</f>
        <v/>
      </c>
      <c r="AJ81">
        <f>IF(R81&lt;8.25,0,IF(R81*2&gt;=80,5,IF(R81*2&gt;=70,4,IF(R81*2&gt;=60,3.5,IF(R81*2&gt;=50,3,IF(R81*2&gt;=40,2,IF(R81*2&gt;=33,1,0)))))))</f>
        <v/>
      </c>
      <c r="AK81">
        <f>IF(S81&lt;33,0,IF(S81&gt;=80,5,IF(S81&gt;=70,4,IF(S81&gt;=60,3.5,IF(S81&gt;=50,3,IF(S81&gt;=40,2,IF(S81&gt;=33,1,0)))))))</f>
        <v/>
      </c>
      <c r="AL81">
        <f>(AC81+AD81+AE81+AF81+AG81+AH81+AI81+AJ81)/8</f>
        <v/>
      </c>
      <c r="AM81">
        <f>IF(AK81&gt;=2,(AK81-2)/8,0)</f>
        <v/>
      </c>
    </row>
    <row r="82">
      <c r="T82">
        <f>SUM(C82:R82)</f>
        <v/>
      </c>
      <c r="U82" s="6">
        <f>ROUND(T82/11.5,2)</f>
        <v/>
      </c>
      <c r="V82" s="7">
        <f>IF(B82="","",IF(AB82,0,ROUND(AL82,2)))</f>
        <v/>
      </c>
      <c r="W82" s="7">
        <f>IF(B82="","",IF(AB82,0,MIN(5,ROUND(AL82+AM82,2))))</f>
        <v/>
      </c>
      <c r="X82" s="8">
        <f>IF(B82="","",IF(W82&gt;=5,"A+",IF(W82&gt;=4,"A",IF(W82&gt;=3.5,"A-",IF(W82&gt;=3,"B",IF(W82&gt;=2,"C",IF(W82&gt;=1,"D","F")))))))</f>
        <v/>
      </c>
      <c r="Y82">
        <f>NOT(OR(AND(J82&gt;=10,K82&gt;=23,L82&gt;=10,M82&gt;=23),AND(J82+L82&gt;=20,K82+M82&gt;=46)))</f>
        <v/>
      </c>
      <c r="Z82">
        <f>OR(N82&lt;10,O82&lt;23)</f>
        <v/>
      </c>
      <c r="AA82">
        <f>OR(P82&lt;10,Q82&lt;23)</f>
        <v/>
      </c>
      <c r="AB82">
        <f>OR((C82+D82)&lt;66,(E82+F82)&lt;66,G82&lt;33,(H82+I82)&lt;66,Y82,Z82,AA82,R82&lt;8.25)</f>
        <v/>
      </c>
      <c r="AC82">
        <f>IF(C82+D82&lt;66,0,IF((C82+D82)/2&gt;=80,5,IF((C82+D82)/2&gt;=70,4,IF((C82+D82)/2&gt;=60,3.5,IF((C82+D82)/2&gt;=50,3,IF((C82+D82)/2&gt;=40,2,IF((C82+D82)/2&gt;=33,1,0)))))))</f>
        <v/>
      </c>
      <c r="AD82">
        <f>IF(E82+F82&lt;66,0,IF((E82+F82)/2&gt;=80,5,IF((E82+F82)/2&gt;=70,4,IF((E82+F82)/2&gt;=60,3.5,IF((E82+F82)/2&gt;=50,3,IF((E82+F82)/2&gt;=40,2,IF((E82+F82)/2&gt;=33,1,0)))))))</f>
        <v/>
      </c>
      <c r="AE82">
        <f>IF(G82&lt;33,0,IF(G82&gt;=80,5,IF(G82&gt;=70,4,IF(G82&gt;=60,3.5,IF(G82&gt;=50,3,IF(G82&gt;=40,2,IF(G82&gt;=33,1,0)))))))</f>
        <v/>
      </c>
      <c r="AF82">
        <f>IF(H82+I82&lt;66,0,IF((H82+I82)/2&gt;=80,5,IF((H82+I82)/2&gt;=70,4,IF((H82+I82)/2&gt;=60,3.5,IF((H82+I82)/2&gt;=50,3,IF((H82+I82)/2&gt;=40,2,IF((H82+I82)/2&gt;=33,1,0)))))))</f>
        <v/>
      </c>
      <c r="AG82">
        <f>IF(Y82,0,IF((J82+K82+L82+M82)/2&gt;=80,5,IF((J82+K82+L82+M82)/2&gt;=70,4,IF((J82+K82+L82+M82)/2&gt;=60,3.5,IF((J82+K82+L82+M82)/2&gt;=50,3,IF((J82+K82+L82+M82)/2&gt;=40,2,IF((J82+K82+L82+M82)/2&gt;=33,1,0)))))))</f>
        <v/>
      </c>
      <c r="AH82">
        <f>IF(Z82,0,IF(N82+O82&gt;=80,5,IF(N82+O82&gt;=70,4,IF(N82+O82&gt;=60,3.5,IF(N82+O82&gt;=50,3,IF(N82+O82&gt;=40,2,IF(N82+O82&gt;=33,1,0)))))))</f>
        <v/>
      </c>
      <c r="AI82">
        <f>IF(AA82,0,IF(P82+Q82&gt;=80,5,IF(P82+Q82&gt;=70,4,IF(P82+Q82&gt;=60,3.5,IF(P82+Q82&gt;=50,3,IF(P82+Q82&gt;=40,2,IF(P82+Q82&gt;=33,1,0)))))))</f>
        <v/>
      </c>
      <c r="AJ82">
        <f>IF(R82&lt;8.25,0,IF(R82*2&gt;=80,5,IF(R82*2&gt;=70,4,IF(R82*2&gt;=60,3.5,IF(R82*2&gt;=50,3,IF(R82*2&gt;=40,2,IF(R82*2&gt;=33,1,0)))))))</f>
        <v/>
      </c>
      <c r="AK82">
        <f>IF(S82&lt;33,0,IF(S82&gt;=80,5,IF(S82&gt;=70,4,IF(S82&gt;=60,3.5,IF(S82&gt;=50,3,IF(S82&gt;=40,2,IF(S82&gt;=33,1,0)))))))</f>
        <v/>
      </c>
      <c r="AL82">
        <f>(AC82+AD82+AE82+AF82+AG82+AH82+AI82+AJ82)/8</f>
        <v/>
      </c>
      <c r="AM82">
        <f>IF(AK82&gt;=2,(AK82-2)/8,0)</f>
        <v/>
      </c>
    </row>
    <row r="83">
      <c r="T83">
        <f>SUM(C83:R83)</f>
        <v/>
      </c>
      <c r="U83" s="6">
        <f>ROUND(T83/11.5,2)</f>
        <v/>
      </c>
      <c r="V83" s="7">
        <f>IF(B83="","",IF(AB83,0,ROUND(AL83,2)))</f>
        <v/>
      </c>
      <c r="W83" s="7">
        <f>IF(B83="","",IF(AB83,0,MIN(5,ROUND(AL83+AM83,2))))</f>
        <v/>
      </c>
      <c r="X83" s="8">
        <f>IF(B83="","",IF(W83&gt;=5,"A+",IF(W83&gt;=4,"A",IF(W83&gt;=3.5,"A-",IF(W83&gt;=3,"B",IF(W83&gt;=2,"C",IF(W83&gt;=1,"D","F")))))))</f>
        <v/>
      </c>
      <c r="Y83">
        <f>NOT(OR(AND(J83&gt;=10,K83&gt;=23,L83&gt;=10,M83&gt;=23),AND(J83+L83&gt;=20,K83+M83&gt;=46)))</f>
        <v/>
      </c>
      <c r="Z83">
        <f>OR(N83&lt;10,O83&lt;23)</f>
        <v/>
      </c>
      <c r="AA83">
        <f>OR(P83&lt;10,Q83&lt;23)</f>
        <v/>
      </c>
      <c r="AB83">
        <f>OR((C83+D83)&lt;66,(E83+F83)&lt;66,G83&lt;33,(H83+I83)&lt;66,Y83,Z83,AA83,R83&lt;8.25)</f>
        <v/>
      </c>
      <c r="AC83">
        <f>IF(C83+D83&lt;66,0,IF((C83+D83)/2&gt;=80,5,IF((C83+D83)/2&gt;=70,4,IF((C83+D83)/2&gt;=60,3.5,IF((C83+D83)/2&gt;=50,3,IF((C83+D83)/2&gt;=40,2,IF((C83+D83)/2&gt;=33,1,0)))))))</f>
        <v/>
      </c>
      <c r="AD83">
        <f>IF(E83+F83&lt;66,0,IF((E83+F83)/2&gt;=80,5,IF((E83+F83)/2&gt;=70,4,IF((E83+F83)/2&gt;=60,3.5,IF((E83+F83)/2&gt;=50,3,IF((E83+F83)/2&gt;=40,2,IF((E83+F83)/2&gt;=33,1,0)))))))</f>
        <v/>
      </c>
      <c r="AE83">
        <f>IF(G83&lt;33,0,IF(G83&gt;=80,5,IF(G83&gt;=70,4,IF(G83&gt;=60,3.5,IF(G83&gt;=50,3,IF(G83&gt;=40,2,IF(G83&gt;=33,1,0)))))))</f>
        <v/>
      </c>
      <c r="AF83">
        <f>IF(H83+I83&lt;66,0,IF((H83+I83)/2&gt;=80,5,IF((H83+I83)/2&gt;=70,4,IF((H83+I83)/2&gt;=60,3.5,IF((H83+I83)/2&gt;=50,3,IF((H83+I83)/2&gt;=40,2,IF((H83+I83)/2&gt;=33,1,0)))))))</f>
        <v/>
      </c>
      <c r="AG83">
        <f>IF(Y83,0,IF((J83+K83+L83+M83)/2&gt;=80,5,IF((J83+K83+L83+M83)/2&gt;=70,4,IF((J83+K83+L83+M83)/2&gt;=60,3.5,IF((J83+K83+L83+M83)/2&gt;=50,3,IF((J83+K83+L83+M83)/2&gt;=40,2,IF((J83+K83+L83+M83)/2&gt;=33,1,0)))))))</f>
        <v/>
      </c>
      <c r="AH83">
        <f>IF(Z83,0,IF(N83+O83&gt;=80,5,IF(N83+O83&gt;=70,4,IF(N83+O83&gt;=60,3.5,IF(N83+O83&gt;=50,3,IF(N83+O83&gt;=40,2,IF(N83+O83&gt;=33,1,0)))))))</f>
        <v/>
      </c>
      <c r="AI83">
        <f>IF(AA83,0,IF(P83+Q83&gt;=80,5,IF(P83+Q83&gt;=70,4,IF(P83+Q83&gt;=60,3.5,IF(P83+Q83&gt;=50,3,IF(P83+Q83&gt;=40,2,IF(P83+Q83&gt;=33,1,0)))))))</f>
        <v/>
      </c>
      <c r="AJ83">
        <f>IF(R83&lt;8.25,0,IF(R83*2&gt;=80,5,IF(R83*2&gt;=70,4,IF(R83*2&gt;=60,3.5,IF(R83*2&gt;=50,3,IF(R83*2&gt;=40,2,IF(R83*2&gt;=33,1,0)))))))</f>
        <v/>
      </c>
      <c r="AK83">
        <f>IF(S83&lt;33,0,IF(S83&gt;=80,5,IF(S83&gt;=70,4,IF(S83&gt;=60,3.5,IF(S83&gt;=50,3,IF(S83&gt;=40,2,IF(S83&gt;=33,1,0)))))))</f>
        <v/>
      </c>
      <c r="AL83">
        <f>(AC83+AD83+AE83+AF83+AG83+AH83+AI83+AJ83)/8</f>
        <v/>
      </c>
      <c r="AM83">
        <f>IF(AK83&gt;=2,(AK83-2)/8,0)</f>
        <v/>
      </c>
    </row>
    <row r="84">
      <c r="T84">
        <f>SUM(C84:R84)</f>
        <v/>
      </c>
      <c r="U84" s="6">
        <f>ROUND(T84/11.5,2)</f>
        <v/>
      </c>
      <c r="V84" s="7">
        <f>IF(B84="","",IF(AB84,0,ROUND(AL84,2)))</f>
        <v/>
      </c>
      <c r="W84" s="7">
        <f>IF(B84="","",IF(AB84,0,MIN(5,ROUND(AL84+AM84,2))))</f>
        <v/>
      </c>
      <c r="X84" s="8">
        <f>IF(B84="","",IF(W84&gt;=5,"A+",IF(W84&gt;=4,"A",IF(W84&gt;=3.5,"A-",IF(W84&gt;=3,"B",IF(W84&gt;=2,"C",IF(W84&gt;=1,"D","F")))))))</f>
        <v/>
      </c>
      <c r="Y84">
        <f>NOT(OR(AND(J84&gt;=10,K84&gt;=23,L84&gt;=10,M84&gt;=23),AND(J84+L84&gt;=20,K84+M84&gt;=46)))</f>
        <v/>
      </c>
      <c r="Z84">
        <f>OR(N84&lt;10,O84&lt;23)</f>
        <v/>
      </c>
      <c r="AA84">
        <f>OR(P84&lt;10,Q84&lt;23)</f>
        <v/>
      </c>
      <c r="AB84">
        <f>OR((C84+D84)&lt;66,(E84+F84)&lt;66,G84&lt;33,(H84+I84)&lt;66,Y84,Z84,AA84,R84&lt;8.25)</f>
        <v/>
      </c>
      <c r="AC84">
        <f>IF(C84+D84&lt;66,0,IF((C84+D84)/2&gt;=80,5,IF((C84+D84)/2&gt;=70,4,IF((C84+D84)/2&gt;=60,3.5,IF((C84+D84)/2&gt;=50,3,IF((C84+D84)/2&gt;=40,2,IF((C84+D84)/2&gt;=33,1,0)))))))</f>
        <v/>
      </c>
      <c r="AD84">
        <f>IF(E84+F84&lt;66,0,IF((E84+F84)/2&gt;=80,5,IF((E84+F84)/2&gt;=70,4,IF((E84+F84)/2&gt;=60,3.5,IF((E84+F84)/2&gt;=50,3,IF((E84+F84)/2&gt;=40,2,IF((E84+F84)/2&gt;=33,1,0)))))))</f>
        <v/>
      </c>
      <c r="AE84">
        <f>IF(G84&lt;33,0,IF(G84&gt;=80,5,IF(G84&gt;=70,4,IF(G84&gt;=60,3.5,IF(G84&gt;=50,3,IF(G84&gt;=40,2,IF(G84&gt;=33,1,0)))))))</f>
        <v/>
      </c>
      <c r="AF84">
        <f>IF(H84+I84&lt;66,0,IF((H84+I84)/2&gt;=80,5,IF((H84+I84)/2&gt;=70,4,IF((H84+I84)/2&gt;=60,3.5,IF((H84+I84)/2&gt;=50,3,IF((H84+I84)/2&gt;=40,2,IF((H84+I84)/2&gt;=33,1,0)))))))</f>
        <v/>
      </c>
      <c r="AG84">
        <f>IF(Y84,0,IF((J84+K84+L84+M84)/2&gt;=80,5,IF((J84+K84+L84+M84)/2&gt;=70,4,IF((J84+K84+L84+M84)/2&gt;=60,3.5,IF((J84+K84+L84+M84)/2&gt;=50,3,IF((J84+K84+L84+M84)/2&gt;=40,2,IF((J84+K84+L84+M84)/2&gt;=33,1,0)))))))</f>
        <v/>
      </c>
      <c r="AH84">
        <f>IF(Z84,0,IF(N84+O84&gt;=80,5,IF(N84+O84&gt;=70,4,IF(N84+O84&gt;=60,3.5,IF(N84+O84&gt;=50,3,IF(N84+O84&gt;=40,2,IF(N84+O84&gt;=33,1,0)))))))</f>
        <v/>
      </c>
      <c r="AI84">
        <f>IF(AA84,0,IF(P84+Q84&gt;=80,5,IF(P84+Q84&gt;=70,4,IF(P84+Q84&gt;=60,3.5,IF(P84+Q84&gt;=50,3,IF(P84+Q84&gt;=40,2,IF(P84+Q84&gt;=33,1,0)))))))</f>
        <v/>
      </c>
      <c r="AJ84">
        <f>IF(R84&lt;8.25,0,IF(R84*2&gt;=80,5,IF(R84*2&gt;=70,4,IF(R84*2&gt;=60,3.5,IF(R84*2&gt;=50,3,IF(R84*2&gt;=40,2,IF(R84*2&gt;=33,1,0)))))))</f>
        <v/>
      </c>
      <c r="AK84">
        <f>IF(S84&lt;33,0,IF(S84&gt;=80,5,IF(S84&gt;=70,4,IF(S84&gt;=60,3.5,IF(S84&gt;=50,3,IF(S84&gt;=40,2,IF(S84&gt;=33,1,0)))))))</f>
        <v/>
      </c>
      <c r="AL84">
        <f>(AC84+AD84+AE84+AF84+AG84+AH84+AI84+AJ84)/8</f>
        <v/>
      </c>
      <c r="AM84">
        <f>IF(AK84&gt;=2,(AK84-2)/8,0)</f>
        <v/>
      </c>
    </row>
    <row r="85">
      <c r="T85">
        <f>SUM(C85:R85)</f>
        <v/>
      </c>
      <c r="U85" s="6">
        <f>ROUND(T85/11.5,2)</f>
        <v/>
      </c>
      <c r="V85" s="7">
        <f>IF(B85="","",IF(AB85,0,ROUND(AL85,2)))</f>
        <v/>
      </c>
      <c r="W85" s="7">
        <f>IF(B85="","",IF(AB85,0,MIN(5,ROUND(AL85+AM85,2))))</f>
        <v/>
      </c>
      <c r="X85" s="8">
        <f>IF(B85="","",IF(W85&gt;=5,"A+",IF(W85&gt;=4,"A",IF(W85&gt;=3.5,"A-",IF(W85&gt;=3,"B",IF(W85&gt;=2,"C",IF(W85&gt;=1,"D","F")))))))</f>
        <v/>
      </c>
      <c r="Y85">
        <f>NOT(OR(AND(J85&gt;=10,K85&gt;=23,L85&gt;=10,M85&gt;=23),AND(J85+L85&gt;=20,K85+M85&gt;=46)))</f>
        <v/>
      </c>
      <c r="Z85">
        <f>OR(N85&lt;10,O85&lt;23)</f>
        <v/>
      </c>
      <c r="AA85">
        <f>OR(P85&lt;10,Q85&lt;23)</f>
        <v/>
      </c>
      <c r="AB85">
        <f>OR((C85+D85)&lt;66,(E85+F85)&lt;66,G85&lt;33,(H85+I85)&lt;66,Y85,Z85,AA85,R85&lt;8.25)</f>
        <v/>
      </c>
      <c r="AC85">
        <f>IF(C85+D85&lt;66,0,IF((C85+D85)/2&gt;=80,5,IF((C85+D85)/2&gt;=70,4,IF((C85+D85)/2&gt;=60,3.5,IF((C85+D85)/2&gt;=50,3,IF((C85+D85)/2&gt;=40,2,IF((C85+D85)/2&gt;=33,1,0)))))))</f>
        <v/>
      </c>
      <c r="AD85">
        <f>IF(E85+F85&lt;66,0,IF((E85+F85)/2&gt;=80,5,IF((E85+F85)/2&gt;=70,4,IF((E85+F85)/2&gt;=60,3.5,IF((E85+F85)/2&gt;=50,3,IF((E85+F85)/2&gt;=40,2,IF((E85+F85)/2&gt;=33,1,0)))))))</f>
        <v/>
      </c>
      <c r="AE85">
        <f>IF(G85&lt;33,0,IF(G85&gt;=80,5,IF(G85&gt;=70,4,IF(G85&gt;=60,3.5,IF(G85&gt;=50,3,IF(G85&gt;=40,2,IF(G85&gt;=33,1,0)))))))</f>
        <v/>
      </c>
      <c r="AF85">
        <f>IF(H85+I85&lt;66,0,IF((H85+I85)/2&gt;=80,5,IF((H85+I85)/2&gt;=70,4,IF((H85+I85)/2&gt;=60,3.5,IF((H85+I85)/2&gt;=50,3,IF((H85+I85)/2&gt;=40,2,IF((H85+I85)/2&gt;=33,1,0)))))))</f>
        <v/>
      </c>
      <c r="AG85">
        <f>IF(Y85,0,IF((J85+K85+L85+M85)/2&gt;=80,5,IF((J85+K85+L85+M85)/2&gt;=70,4,IF((J85+K85+L85+M85)/2&gt;=60,3.5,IF((J85+K85+L85+M85)/2&gt;=50,3,IF((J85+K85+L85+M85)/2&gt;=40,2,IF((J85+K85+L85+M85)/2&gt;=33,1,0)))))))</f>
        <v/>
      </c>
      <c r="AH85">
        <f>IF(Z85,0,IF(N85+O85&gt;=80,5,IF(N85+O85&gt;=70,4,IF(N85+O85&gt;=60,3.5,IF(N85+O85&gt;=50,3,IF(N85+O85&gt;=40,2,IF(N85+O85&gt;=33,1,0)))))))</f>
        <v/>
      </c>
      <c r="AI85">
        <f>IF(AA85,0,IF(P85+Q85&gt;=80,5,IF(P85+Q85&gt;=70,4,IF(P85+Q85&gt;=60,3.5,IF(P85+Q85&gt;=50,3,IF(P85+Q85&gt;=40,2,IF(P85+Q85&gt;=33,1,0)))))))</f>
        <v/>
      </c>
      <c r="AJ85">
        <f>IF(R85&lt;8.25,0,IF(R85*2&gt;=80,5,IF(R85*2&gt;=70,4,IF(R85*2&gt;=60,3.5,IF(R85*2&gt;=50,3,IF(R85*2&gt;=40,2,IF(R85*2&gt;=33,1,0)))))))</f>
        <v/>
      </c>
      <c r="AK85">
        <f>IF(S85&lt;33,0,IF(S85&gt;=80,5,IF(S85&gt;=70,4,IF(S85&gt;=60,3.5,IF(S85&gt;=50,3,IF(S85&gt;=40,2,IF(S85&gt;=33,1,0)))))))</f>
        <v/>
      </c>
      <c r="AL85">
        <f>(AC85+AD85+AE85+AF85+AG85+AH85+AI85+AJ85)/8</f>
        <v/>
      </c>
      <c r="AM85">
        <f>IF(AK85&gt;=2,(AK85-2)/8,0)</f>
        <v/>
      </c>
    </row>
    <row r="86">
      <c r="T86">
        <f>SUM(C86:R86)</f>
        <v/>
      </c>
      <c r="U86" s="6">
        <f>ROUND(T86/11.5,2)</f>
        <v/>
      </c>
      <c r="V86" s="7">
        <f>IF(B86="","",IF(AB86,0,ROUND(AL86,2)))</f>
        <v/>
      </c>
      <c r="W86" s="7">
        <f>IF(B86="","",IF(AB86,0,MIN(5,ROUND(AL86+AM86,2))))</f>
        <v/>
      </c>
      <c r="X86" s="8">
        <f>IF(B86="","",IF(W86&gt;=5,"A+",IF(W86&gt;=4,"A",IF(W86&gt;=3.5,"A-",IF(W86&gt;=3,"B",IF(W86&gt;=2,"C",IF(W86&gt;=1,"D","F")))))))</f>
        <v/>
      </c>
      <c r="Y86">
        <f>NOT(OR(AND(J86&gt;=10,K86&gt;=23,L86&gt;=10,M86&gt;=23),AND(J86+L86&gt;=20,K86+M86&gt;=46)))</f>
        <v/>
      </c>
      <c r="Z86">
        <f>OR(N86&lt;10,O86&lt;23)</f>
        <v/>
      </c>
      <c r="AA86">
        <f>OR(P86&lt;10,Q86&lt;23)</f>
        <v/>
      </c>
      <c r="AB86">
        <f>OR((C86+D86)&lt;66,(E86+F86)&lt;66,G86&lt;33,(H86+I86)&lt;66,Y86,Z86,AA86,R86&lt;8.25)</f>
        <v/>
      </c>
      <c r="AC86">
        <f>IF(C86+D86&lt;66,0,IF((C86+D86)/2&gt;=80,5,IF((C86+D86)/2&gt;=70,4,IF((C86+D86)/2&gt;=60,3.5,IF((C86+D86)/2&gt;=50,3,IF((C86+D86)/2&gt;=40,2,IF((C86+D86)/2&gt;=33,1,0)))))))</f>
        <v/>
      </c>
      <c r="AD86">
        <f>IF(E86+F86&lt;66,0,IF((E86+F86)/2&gt;=80,5,IF((E86+F86)/2&gt;=70,4,IF((E86+F86)/2&gt;=60,3.5,IF((E86+F86)/2&gt;=50,3,IF((E86+F86)/2&gt;=40,2,IF((E86+F86)/2&gt;=33,1,0)))))))</f>
        <v/>
      </c>
      <c r="AE86">
        <f>IF(G86&lt;33,0,IF(G86&gt;=80,5,IF(G86&gt;=70,4,IF(G86&gt;=60,3.5,IF(G86&gt;=50,3,IF(G86&gt;=40,2,IF(G86&gt;=33,1,0)))))))</f>
        <v/>
      </c>
      <c r="AF86">
        <f>IF(H86+I86&lt;66,0,IF((H86+I86)/2&gt;=80,5,IF((H86+I86)/2&gt;=70,4,IF((H86+I86)/2&gt;=60,3.5,IF((H86+I86)/2&gt;=50,3,IF((H86+I86)/2&gt;=40,2,IF((H86+I86)/2&gt;=33,1,0)))))))</f>
        <v/>
      </c>
      <c r="AG86">
        <f>IF(Y86,0,IF((J86+K86+L86+M86)/2&gt;=80,5,IF((J86+K86+L86+M86)/2&gt;=70,4,IF((J86+K86+L86+M86)/2&gt;=60,3.5,IF((J86+K86+L86+M86)/2&gt;=50,3,IF((J86+K86+L86+M86)/2&gt;=40,2,IF((J86+K86+L86+M86)/2&gt;=33,1,0)))))))</f>
        <v/>
      </c>
      <c r="AH86">
        <f>IF(Z86,0,IF(N86+O86&gt;=80,5,IF(N86+O86&gt;=70,4,IF(N86+O86&gt;=60,3.5,IF(N86+O86&gt;=50,3,IF(N86+O86&gt;=40,2,IF(N86+O86&gt;=33,1,0)))))))</f>
        <v/>
      </c>
      <c r="AI86">
        <f>IF(AA86,0,IF(P86+Q86&gt;=80,5,IF(P86+Q86&gt;=70,4,IF(P86+Q86&gt;=60,3.5,IF(P86+Q86&gt;=50,3,IF(P86+Q86&gt;=40,2,IF(P86+Q86&gt;=33,1,0)))))))</f>
        <v/>
      </c>
      <c r="AJ86">
        <f>IF(R86&lt;8.25,0,IF(R86*2&gt;=80,5,IF(R86*2&gt;=70,4,IF(R86*2&gt;=60,3.5,IF(R86*2&gt;=50,3,IF(R86*2&gt;=40,2,IF(R86*2&gt;=33,1,0)))))))</f>
        <v/>
      </c>
      <c r="AK86">
        <f>IF(S86&lt;33,0,IF(S86&gt;=80,5,IF(S86&gt;=70,4,IF(S86&gt;=60,3.5,IF(S86&gt;=50,3,IF(S86&gt;=40,2,IF(S86&gt;=33,1,0)))))))</f>
        <v/>
      </c>
      <c r="AL86">
        <f>(AC86+AD86+AE86+AF86+AG86+AH86+AI86+AJ86)/8</f>
        <v/>
      </c>
      <c r="AM86">
        <f>IF(AK86&gt;=2,(AK86-2)/8,0)</f>
        <v/>
      </c>
    </row>
    <row r="87">
      <c r="T87">
        <f>SUM(C87:R87)</f>
        <v/>
      </c>
      <c r="U87" s="6">
        <f>ROUND(T87/11.5,2)</f>
        <v/>
      </c>
      <c r="V87" s="7">
        <f>IF(B87="","",IF(AB87,0,ROUND(AL87,2)))</f>
        <v/>
      </c>
      <c r="W87" s="7">
        <f>IF(B87="","",IF(AB87,0,MIN(5,ROUND(AL87+AM87,2))))</f>
        <v/>
      </c>
      <c r="X87" s="8">
        <f>IF(B87="","",IF(W87&gt;=5,"A+",IF(W87&gt;=4,"A",IF(W87&gt;=3.5,"A-",IF(W87&gt;=3,"B",IF(W87&gt;=2,"C",IF(W87&gt;=1,"D","F")))))))</f>
        <v/>
      </c>
      <c r="Y87">
        <f>NOT(OR(AND(J87&gt;=10,K87&gt;=23,L87&gt;=10,M87&gt;=23),AND(J87+L87&gt;=20,K87+M87&gt;=46)))</f>
        <v/>
      </c>
      <c r="Z87">
        <f>OR(N87&lt;10,O87&lt;23)</f>
        <v/>
      </c>
      <c r="AA87">
        <f>OR(P87&lt;10,Q87&lt;23)</f>
        <v/>
      </c>
      <c r="AB87">
        <f>OR((C87+D87)&lt;66,(E87+F87)&lt;66,G87&lt;33,(H87+I87)&lt;66,Y87,Z87,AA87,R87&lt;8.25)</f>
        <v/>
      </c>
      <c r="AC87">
        <f>IF(C87+D87&lt;66,0,IF((C87+D87)/2&gt;=80,5,IF((C87+D87)/2&gt;=70,4,IF((C87+D87)/2&gt;=60,3.5,IF((C87+D87)/2&gt;=50,3,IF((C87+D87)/2&gt;=40,2,IF((C87+D87)/2&gt;=33,1,0)))))))</f>
        <v/>
      </c>
      <c r="AD87">
        <f>IF(E87+F87&lt;66,0,IF((E87+F87)/2&gt;=80,5,IF((E87+F87)/2&gt;=70,4,IF((E87+F87)/2&gt;=60,3.5,IF((E87+F87)/2&gt;=50,3,IF((E87+F87)/2&gt;=40,2,IF((E87+F87)/2&gt;=33,1,0)))))))</f>
        <v/>
      </c>
      <c r="AE87">
        <f>IF(G87&lt;33,0,IF(G87&gt;=80,5,IF(G87&gt;=70,4,IF(G87&gt;=60,3.5,IF(G87&gt;=50,3,IF(G87&gt;=40,2,IF(G87&gt;=33,1,0)))))))</f>
        <v/>
      </c>
      <c r="AF87">
        <f>IF(H87+I87&lt;66,0,IF((H87+I87)/2&gt;=80,5,IF((H87+I87)/2&gt;=70,4,IF((H87+I87)/2&gt;=60,3.5,IF((H87+I87)/2&gt;=50,3,IF((H87+I87)/2&gt;=40,2,IF((H87+I87)/2&gt;=33,1,0)))))))</f>
        <v/>
      </c>
      <c r="AG87">
        <f>IF(Y87,0,IF((J87+K87+L87+M87)/2&gt;=80,5,IF((J87+K87+L87+M87)/2&gt;=70,4,IF((J87+K87+L87+M87)/2&gt;=60,3.5,IF((J87+K87+L87+M87)/2&gt;=50,3,IF((J87+K87+L87+M87)/2&gt;=40,2,IF((J87+K87+L87+M87)/2&gt;=33,1,0)))))))</f>
        <v/>
      </c>
      <c r="AH87">
        <f>IF(Z87,0,IF(N87+O87&gt;=80,5,IF(N87+O87&gt;=70,4,IF(N87+O87&gt;=60,3.5,IF(N87+O87&gt;=50,3,IF(N87+O87&gt;=40,2,IF(N87+O87&gt;=33,1,0)))))))</f>
        <v/>
      </c>
      <c r="AI87">
        <f>IF(AA87,0,IF(P87+Q87&gt;=80,5,IF(P87+Q87&gt;=70,4,IF(P87+Q87&gt;=60,3.5,IF(P87+Q87&gt;=50,3,IF(P87+Q87&gt;=40,2,IF(P87+Q87&gt;=33,1,0)))))))</f>
        <v/>
      </c>
      <c r="AJ87">
        <f>IF(R87&lt;8.25,0,IF(R87*2&gt;=80,5,IF(R87*2&gt;=70,4,IF(R87*2&gt;=60,3.5,IF(R87*2&gt;=50,3,IF(R87*2&gt;=40,2,IF(R87*2&gt;=33,1,0)))))))</f>
        <v/>
      </c>
      <c r="AK87">
        <f>IF(S87&lt;33,0,IF(S87&gt;=80,5,IF(S87&gt;=70,4,IF(S87&gt;=60,3.5,IF(S87&gt;=50,3,IF(S87&gt;=40,2,IF(S87&gt;=33,1,0)))))))</f>
        <v/>
      </c>
      <c r="AL87">
        <f>(AC87+AD87+AE87+AF87+AG87+AH87+AI87+AJ87)/8</f>
        <v/>
      </c>
      <c r="AM87">
        <f>IF(AK87&gt;=2,(AK87-2)/8,0)</f>
        <v/>
      </c>
    </row>
    <row r="88">
      <c r="T88">
        <f>SUM(C88:R88)</f>
        <v/>
      </c>
      <c r="U88" s="6">
        <f>ROUND(T88/11.5,2)</f>
        <v/>
      </c>
      <c r="V88" s="7">
        <f>IF(B88="","",IF(AB88,0,ROUND(AL88,2)))</f>
        <v/>
      </c>
      <c r="W88" s="7">
        <f>IF(B88="","",IF(AB88,0,MIN(5,ROUND(AL88+AM88,2))))</f>
        <v/>
      </c>
      <c r="X88" s="8">
        <f>IF(B88="","",IF(W88&gt;=5,"A+",IF(W88&gt;=4,"A",IF(W88&gt;=3.5,"A-",IF(W88&gt;=3,"B",IF(W88&gt;=2,"C",IF(W88&gt;=1,"D","F")))))))</f>
        <v/>
      </c>
      <c r="Y88">
        <f>NOT(OR(AND(J88&gt;=10,K88&gt;=23,L88&gt;=10,M88&gt;=23),AND(J88+L88&gt;=20,K88+M88&gt;=46)))</f>
        <v/>
      </c>
      <c r="Z88">
        <f>OR(N88&lt;10,O88&lt;23)</f>
        <v/>
      </c>
      <c r="AA88">
        <f>OR(P88&lt;10,Q88&lt;23)</f>
        <v/>
      </c>
      <c r="AB88">
        <f>OR((C88+D88)&lt;66,(E88+F88)&lt;66,G88&lt;33,(H88+I88)&lt;66,Y88,Z88,AA88,R88&lt;8.25)</f>
        <v/>
      </c>
      <c r="AC88">
        <f>IF(C88+D88&lt;66,0,IF((C88+D88)/2&gt;=80,5,IF((C88+D88)/2&gt;=70,4,IF((C88+D88)/2&gt;=60,3.5,IF((C88+D88)/2&gt;=50,3,IF((C88+D88)/2&gt;=40,2,IF((C88+D88)/2&gt;=33,1,0)))))))</f>
        <v/>
      </c>
      <c r="AD88">
        <f>IF(E88+F88&lt;66,0,IF((E88+F88)/2&gt;=80,5,IF((E88+F88)/2&gt;=70,4,IF((E88+F88)/2&gt;=60,3.5,IF((E88+F88)/2&gt;=50,3,IF((E88+F88)/2&gt;=40,2,IF((E88+F88)/2&gt;=33,1,0)))))))</f>
        <v/>
      </c>
      <c r="AE88">
        <f>IF(G88&lt;33,0,IF(G88&gt;=80,5,IF(G88&gt;=70,4,IF(G88&gt;=60,3.5,IF(G88&gt;=50,3,IF(G88&gt;=40,2,IF(G88&gt;=33,1,0)))))))</f>
        <v/>
      </c>
      <c r="AF88">
        <f>IF(H88+I88&lt;66,0,IF((H88+I88)/2&gt;=80,5,IF((H88+I88)/2&gt;=70,4,IF((H88+I88)/2&gt;=60,3.5,IF((H88+I88)/2&gt;=50,3,IF((H88+I88)/2&gt;=40,2,IF((H88+I88)/2&gt;=33,1,0)))))))</f>
        <v/>
      </c>
      <c r="AG88">
        <f>IF(Y88,0,IF((J88+K88+L88+M88)/2&gt;=80,5,IF((J88+K88+L88+M88)/2&gt;=70,4,IF((J88+K88+L88+M88)/2&gt;=60,3.5,IF((J88+K88+L88+M88)/2&gt;=50,3,IF((J88+K88+L88+M88)/2&gt;=40,2,IF((J88+K88+L88+M88)/2&gt;=33,1,0)))))))</f>
        <v/>
      </c>
      <c r="AH88">
        <f>IF(Z88,0,IF(N88+O88&gt;=80,5,IF(N88+O88&gt;=70,4,IF(N88+O88&gt;=60,3.5,IF(N88+O88&gt;=50,3,IF(N88+O88&gt;=40,2,IF(N88+O88&gt;=33,1,0)))))))</f>
        <v/>
      </c>
      <c r="AI88">
        <f>IF(AA88,0,IF(P88+Q88&gt;=80,5,IF(P88+Q88&gt;=70,4,IF(P88+Q88&gt;=60,3.5,IF(P88+Q88&gt;=50,3,IF(P88+Q88&gt;=40,2,IF(P88+Q88&gt;=33,1,0)))))))</f>
        <v/>
      </c>
      <c r="AJ88">
        <f>IF(R88&lt;8.25,0,IF(R88*2&gt;=80,5,IF(R88*2&gt;=70,4,IF(R88*2&gt;=60,3.5,IF(R88*2&gt;=50,3,IF(R88*2&gt;=40,2,IF(R88*2&gt;=33,1,0)))))))</f>
        <v/>
      </c>
      <c r="AK88">
        <f>IF(S88&lt;33,0,IF(S88&gt;=80,5,IF(S88&gt;=70,4,IF(S88&gt;=60,3.5,IF(S88&gt;=50,3,IF(S88&gt;=40,2,IF(S88&gt;=33,1,0)))))))</f>
        <v/>
      </c>
      <c r="AL88">
        <f>(AC88+AD88+AE88+AF88+AG88+AH88+AI88+AJ88)/8</f>
        <v/>
      </c>
      <c r="AM88">
        <f>IF(AK88&gt;=2,(AK88-2)/8,0)</f>
        <v/>
      </c>
    </row>
    <row r="89">
      <c r="T89">
        <f>SUM(C89:R89)</f>
        <v/>
      </c>
      <c r="U89" s="6">
        <f>ROUND(T89/11.5,2)</f>
        <v/>
      </c>
      <c r="V89" s="7">
        <f>IF(B89="","",IF(AB89,0,ROUND(AL89,2)))</f>
        <v/>
      </c>
      <c r="W89" s="7">
        <f>IF(B89="","",IF(AB89,0,MIN(5,ROUND(AL89+AM89,2))))</f>
        <v/>
      </c>
      <c r="X89" s="8">
        <f>IF(B89="","",IF(W89&gt;=5,"A+",IF(W89&gt;=4,"A",IF(W89&gt;=3.5,"A-",IF(W89&gt;=3,"B",IF(W89&gt;=2,"C",IF(W89&gt;=1,"D","F")))))))</f>
        <v/>
      </c>
      <c r="Y89">
        <f>NOT(OR(AND(J89&gt;=10,K89&gt;=23,L89&gt;=10,M89&gt;=23),AND(J89+L89&gt;=20,K89+M89&gt;=46)))</f>
        <v/>
      </c>
      <c r="Z89">
        <f>OR(N89&lt;10,O89&lt;23)</f>
        <v/>
      </c>
      <c r="AA89">
        <f>OR(P89&lt;10,Q89&lt;23)</f>
        <v/>
      </c>
      <c r="AB89">
        <f>OR((C89+D89)&lt;66,(E89+F89)&lt;66,G89&lt;33,(H89+I89)&lt;66,Y89,Z89,AA89,R89&lt;8.25)</f>
        <v/>
      </c>
      <c r="AC89">
        <f>IF(C89+D89&lt;66,0,IF((C89+D89)/2&gt;=80,5,IF((C89+D89)/2&gt;=70,4,IF((C89+D89)/2&gt;=60,3.5,IF((C89+D89)/2&gt;=50,3,IF((C89+D89)/2&gt;=40,2,IF((C89+D89)/2&gt;=33,1,0)))))))</f>
        <v/>
      </c>
      <c r="AD89">
        <f>IF(E89+F89&lt;66,0,IF((E89+F89)/2&gt;=80,5,IF((E89+F89)/2&gt;=70,4,IF((E89+F89)/2&gt;=60,3.5,IF((E89+F89)/2&gt;=50,3,IF((E89+F89)/2&gt;=40,2,IF((E89+F89)/2&gt;=33,1,0)))))))</f>
        <v/>
      </c>
      <c r="AE89">
        <f>IF(G89&lt;33,0,IF(G89&gt;=80,5,IF(G89&gt;=70,4,IF(G89&gt;=60,3.5,IF(G89&gt;=50,3,IF(G89&gt;=40,2,IF(G89&gt;=33,1,0)))))))</f>
        <v/>
      </c>
      <c r="AF89">
        <f>IF(H89+I89&lt;66,0,IF((H89+I89)/2&gt;=80,5,IF((H89+I89)/2&gt;=70,4,IF((H89+I89)/2&gt;=60,3.5,IF((H89+I89)/2&gt;=50,3,IF((H89+I89)/2&gt;=40,2,IF((H89+I89)/2&gt;=33,1,0)))))))</f>
        <v/>
      </c>
      <c r="AG89">
        <f>IF(Y89,0,IF((J89+K89+L89+M89)/2&gt;=80,5,IF((J89+K89+L89+M89)/2&gt;=70,4,IF((J89+K89+L89+M89)/2&gt;=60,3.5,IF((J89+K89+L89+M89)/2&gt;=50,3,IF((J89+K89+L89+M89)/2&gt;=40,2,IF((J89+K89+L89+M89)/2&gt;=33,1,0)))))))</f>
        <v/>
      </c>
      <c r="AH89">
        <f>IF(Z89,0,IF(N89+O89&gt;=80,5,IF(N89+O89&gt;=70,4,IF(N89+O89&gt;=60,3.5,IF(N89+O89&gt;=50,3,IF(N89+O89&gt;=40,2,IF(N89+O89&gt;=33,1,0)))))))</f>
        <v/>
      </c>
      <c r="AI89">
        <f>IF(AA89,0,IF(P89+Q89&gt;=80,5,IF(P89+Q89&gt;=70,4,IF(P89+Q89&gt;=60,3.5,IF(P89+Q89&gt;=50,3,IF(P89+Q89&gt;=40,2,IF(P89+Q89&gt;=33,1,0)))))))</f>
        <v/>
      </c>
      <c r="AJ89">
        <f>IF(R89&lt;8.25,0,IF(R89*2&gt;=80,5,IF(R89*2&gt;=70,4,IF(R89*2&gt;=60,3.5,IF(R89*2&gt;=50,3,IF(R89*2&gt;=40,2,IF(R89*2&gt;=33,1,0)))))))</f>
        <v/>
      </c>
      <c r="AK89">
        <f>IF(S89&lt;33,0,IF(S89&gt;=80,5,IF(S89&gt;=70,4,IF(S89&gt;=60,3.5,IF(S89&gt;=50,3,IF(S89&gt;=40,2,IF(S89&gt;=33,1,0)))))))</f>
        <v/>
      </c>
      <c r="AL89">
        <f>(AC89+AD89+AE89+AF89+AG89+AH89+AI89+AJ89)/8</f>
        <v/>
      </c>
      <c r="AM89">
        <f>IF(AK89&gt;=2,(AK89-2)/8,0)</f>
        <v/>
      </c>
    </row>
    <row r="90">
      <c r="T90">
        <f>SUM(C90:R90)</f>
        <v/>
      </c>
      <c r="U90" s="6">
        <f>ROUND(T90/11.5,2)</f>
        <v/>
      </c>
      <c r="V90" s="7">
        <f>IF(B90="","",IF(AB90,0,ROUND(AL90,2)))</f>
        <v/>
      </c>
      <c r="W90" s="7">
        <f>IF(B90="","",IF(AB90,0,MIN(5,ROUND(AL90+AM90,2))))</f>
        <v/>
      </c>
      <c r="X90" s="8">
        <f>IF(B90="","",IF(W90&gt;=5,"A+",IF(W90&gt;=4,"A",IF(W90&gt;=3.5,"A-",IF(W90&gt;=3,"B",IF(W90&gt;=2,"C",IF(W90&gt;=1,"D","F")))))))</f>
        <v/>
      </c>
      <c r="Y90">
        <f>NOT(OR(AND(J90&gt;=10,K90&gt;=23,L90&gt;=10,M90&gt;=23),AND(J90+L90&gt;=20,K90+M90&gt;=46)))</f>
        <v/>
      </c>
      <c r="Z90">
        <f>OR(N90&lt;10,O90&lt;23)</f>
        <v/>
      </c>
      <c r="AA90">
        <f>OR(P90&lt;10,Q90&lt;23)</f>
        <v/>
      </c>
      <c r="AB90">
        <f>OR((C90+D90)&lt;66,(E90+F90)&lt;66,G90&lt;33,(H90+I90)&lt;66,Y90,Z90,AA90,R90&lt;8.25)</f>
        <v/>
      </c>
      <c r="AC90">
        <f>IF(C90+D90&lt;66,0,IF((C90+D90)/2&gt;=80,5,IF((C90+D90)/2&gt;=70,4,IF((C90+D90)/2&gt;=60,3.5,IF((C90+D90)/2&gt;=50,3,IF((C90+D90)/2&gt;=40,2,IF((C90+D90)/2&gt;=33,1,0)))))))</f>
        <v/>
      </c>
      <c r="AD90">
        <f>IF(E90+F90&lt;66,0,IF((E90+F90)/2&gt;=80,5,IF((E90+F90)/2&gt;=70,4,IF((E90+F90)/2&gt;=60,3.5,IF((E90+F90)/2&gt;=50,3,IF((E90+F90)/2&gt;=40,2,IF((E90+F90)/2&gt;=33,1,0)))))))</f>
        <v/>
      </c>
      <c r="AE90">
        <f>IF(G90&lt;33,0,IF(G90&gt;=80,5,IF(G90&gt;=70,4,IF(G90&gt;=60,3.5,IF(G90&gt;=50,3,IF(G90&gt;=40,2,IF(G90&gt;=33,1,0)))))))</f>
        <v/>
      </c>
      <c r="AF90">
        <f>IF(H90+I90&lt;66,0,IF((H90+I90)/2&gt;=80,5,IF((H90+I90)/2&gt;=70,4,IF((H90+I90)/2&gt;=60,3.5,IF((H90+I90)/2&gt;=50,3,IF((H90+I90)/2&gt;=40,2,IF((H90+I90)/2&gt;=33,1,0)))))))</f>
        <v/>
      </c>
      <c r="AG90">
        <f>IF(Y90,0,IF((J90+K90+L90+M90)/2&gt;=80,5,IF((J90+K90+L90+M90)/2&gt;=70,4,IF((J90+K90+L90+M90)/2&gt;=60,3.5,IF((J90+K90+L90+M90)/2&gt;=50,3,IF((J90+K90+L90+M90)/2&gt;=40,2,IF((J90+K90+L90+M90)/2&gt;=33,1,0)))))))</f>
        <v/>
      </c>
      <c r="AH90">
        <f>IF(Z90,0,IF(N90+O90&gt;=80,5,IF(N90+O90&gt;=70,4,IF(N90+O90&gt;=60,3.5,IF(N90+O90&gt;=50,3,IF(N90+O90&gt;=40,2,IF(N90+O90&gt;=33,1,0)))))))</f>
        <v/>
      </c>
      <c r="AI90">
        <f>IF(AA90,0,IF(P90+Q90&gt;=80,5,IF(P90+Q90&gt;=70,4,IF(P90+Q90&gt;=60,3.5,IF(P90+Q90&gt;=50,3,IF(P90+Q90&gt;=40,2,IF(P90+Q90&gt;=33,1,0)))))))</f>
        <v/>
      </c>
      <c r="AJ90">
        <f>IF(R90&lt;8.25,0,IF(R90*2&gt;=80,5,IF(R90*2&gt;=70,4,IF(R90*2&gt;=60,3.5,IF(R90*2&gt;=50,3,IF(R90*2&gt;=40,2,IF(R90*2&gt;=33,1,0)))))))</f>
        <v/>
      </c>
      <c r="AK90">
        <f>IF(S90&lt;33,0,IF(S90&gt;=80,5,IF(S90&gt;=70,4,IF(S90&gt;=60,3.5,IF(S90&gt;=50,3,IF(S90&gt;=40,2,IF(S90&gt;=33,1,0)))))))</f>
        <v/>
      </c>
      <c r="AL90">
        <f>(AC90+AD90+AE90+AF90+AG90+AH90+AI90+AJ90)/8</f>
        <v/>
      </c>
      <c r="AM90">
        <f>IF(AK90&gt;=2,(AK90-2)/8,0)</f>
        <v/>
      </c>
    </row>
    <row r="91">
      <c r="T91">
        <f>SUM(C91:R91)</f>
        <v/>
      </c>
      <c r="U91" s="6">
        <f>ROUND(T91/11.5,2)</f>
        <v/>
      </c>
      <c r="V91" s="7">
        <f>IF(B91="","",IF(AB91,0,ROUND(AL91,2)))</f>
        <v/>
      </c>
      <c r="W91" s="7">
        <f>IF(B91="","",IF(AB91,0,MIN(5,ROUND(AL91+AM91,2))))</f>
        <v/>
      </c>
      <c r="X91" s="8">
        <f>IF(B91="","",IF(W91&gt;=5,"A+",IF(W91&gt;=4,"A",IF(W91&gt;=3.5,"A-",IF(W91&gt;=3,"B",IF(W91&gt;=2,"C",IF(W91&gt;=1,"D","F")))))))</f>
        <v/>
      </c>
      <c r="Y91">
        <f>NOT(OR(AND(J91&gt;=10,K91&gt;=23,L91&gt;=10,M91&gt;=23),AND(J91+L91&gt;=20,K91+M91&gt;=46)))</f>
        <v/>
      </c>
      <c r="Z91">
        <f>OR(N91&lt;10,O91&lt;23)</f>
        <v/>
      </c>
      <c r="AA91">
        <f>OR(P91&lt;10,Q91&lt;23)</f>
        <v/>
      </c>
      <c r="AB91">
        <f>OR((C91+D91)&lt;66,(E91+F91)&lt;66,G91&lt;33,(H91+I91)&lt;66,Y91,Z91,AA91,R91&lt;8.25)</f>
        <v/>
      </c>
      <c r="AC91">
        <f>IF(C91+D91&lt;66,0,IF((C91+D91)/2&gt;=80,5,IF((C91+D91)/2&gt;=70,4,IF((C91+D91)/2&gt;=60,3.5,IF((C91+D91)/2&gt;=50,3,IF((C91+D91)/2&gt;=40,2,IF((C91+D91)/2&gt;=33,1,0)))))))</f>
        <v/>
      </c>
      <c r="AD91">
        <f>IF(E91+F91&lt;66,0,IF((E91+F91)/2&gt;=80,5,IF((E91+F91)/2&gt;=70,4,IF((E91+F91)/2&gt;=60,3.5,IF((E91+F91)/2&gt;=50,3,IF((E91+F91)/2&gt;=40,2,IF((E91+F91)/2&gt;=33,1,0)))))))</f>
        <v/>
      </c>
      <c r="AE91">
        <f>IF(G91&lt;33,0,IF(G91&gt;=80,5,IF(G91&gt;=70,4,IF(G91&gt;=60,3.5,IF(G91&gt;=50,3,IF(G91&gt;=40,2,IF(G91&gt;=33,1,0)))))))</f>
        <v/>
      </c>
      <c r="AF91">
        <f>IF(H91+I91&lt;66,0,IF((H91+I91)/2&gt;=80,5,IF((H91+I91)/2&gt;=70,4,IF((H91+I91)/2&gt;=60,3.5,IF((H91+I91)/2&gt;=50,3,IF((H91+I91)/2&gt;=40,2,IF((H91+I91)/2&gt;=33,1,0)))))))</f>
        <v/>
      </c>
      <c r="AG91">
        <f>IF(Y91,0,IF((J91+K91+L91+M91)/2&gt;=80,5,IF((J91+K91+L91+M91)/2&gt;=70,4,IF((J91+K91+L91+M91)/2&gt;=60,3.5,IF((J91+K91+L91+M91)/2&gt;=50,3,IF((J91+K91+L91+M91)/2&gt;=40,2,IF((J91+K91+L91+M91)/2&gt;=33,1,0)))))))</f>
        <v/>
      </c>
      <c r="AH91">
        <f>IF(Z91,0,IF(N91+O91&gt;=80,5,IF(N91+O91&gt;=70,4,IF(N91+O91&gt;=60,3.5,IF(N91+O91&gt;=50,3,IF(N91+O91&gt;=40,2,IF(N91+O91&gt;=33,1,0)))))))</f>
        <v/>
      </c>
      <c r="AI91">
        <f>IF(AA91,0,IF(P91+Q91&gt;=80,5,IF(P91+Q91&gt;=70,4,IF(P91+Q91&gt;=60,3.5,IF(P91+Q91&gt;=50,3,IF(P91+Q91&gt;=40,2,IF(P91+Q91&gt;=33,1,0)))))))</f>
        <v/>
      </c>
      <c r="AJ91">
        <f>IF(R91&lt;8.25,0,IF(R91*2&gt;=80,5,IF(R91*2&gt;=70,4,IF(R91*2&gt;=60,3.5,IF(R91*2&gt;=50,3,IF(R91*2&gt;=40,2,IF(R91*2&gt;=33,1,0)))))))</f>
        <v/>
      </c>
      <c r="AK91">
        <f>IF(S91&lt;33,0,IF(S91&gt;=80,5,IF(S91&gt;=70,4,IF(S91&gt;=60,3.5,IF(S91&gt;=50,3,IF(S91&gt;=40,2,IF(S91&gt;=33,1,0)))))))</f>
        <v/>
      </c>
      <c r="AL91">
        <f>(AC91+AD91+AE91+AF91+AG91+AH91+AI91+AJ91)/8</f>
        <v/>
      </c>
      <c r="AM91">
        <f>IF(AK91&gt;=2,(AK91-2)/8,0)</f>
        <v/>
      </c>
    </row>
    <row r="92">
      <c r="T92">
        <f>SUM(C92:R92)</f>
        <v/>
      </c>
      <c r="U92" s="6">
        <f>ROUND(T92/11.5,2)</f>
        <v/>
      </c>
      <c r="V92" s="7">
        <f>IF(B92="","",IF(AB92,0,ROUND(AL92,2)))</f>
        <v/>
      </c>
      <c r="W92" s="7">
        <f>IF(B92="","",IF(AB92,0,MIN(5,ROUND(AL92+AM92,2))))</f>
        <v/>
      </c>
      <c r="X92" s="8">
        <f>IF(B92="","",IF(W92&gt;=5,"A+",IF(W92&gt;=4,"A",IF(W92&gt;=3.5,"A-",IF(W92&gt;=3,"B",IF(W92&gt;=2,"C",IF(W92&gt;=1,"D","F")))))))</f>
        <v/>
      </c>
      <c r="Y92">
        <f>NOT(OR(AND(J92&gt;=10,K92&gt;=23,L92&gt;=10,M92&gt;=23),AND(J92+L92&gt;=20,K92+M92&gt;=46)))</f>
        <v/>
      </c>
      <c r="Z92">
        <f>OR(N92&lt;10,O92&lt;23)</f>
        <v/>
      </c>
      <c r="AA92">
        <f>OR(P92&lt;10,Q92&lt;23)</f>
        <v/>
      </c>
      <c r="AB92">
        <f>OR((C92+D92)&lt;66,(E92+F92)&lt;66,G92&lt;33,(H92+I92)&lt;66,Y92,Z92,AA92,R92&lt;8.25)</f>
        <v/>
      </c>
      <c r="AC92">
        <f>IF(C92+D92&lt;66,0,IF((C92+D92)/2&gt;=80,5,IF((C92+D92)/2&gt;=70,4,IF((C92+D92)/2&gt;=60,3.5,IF((C92+D92)/2&gt;=50,3,IF((C92+D92)/2&gt;=40,2,IF((C92+D92)/2&gt;=33,1,0)))))))</f>
        <v/>
      </c>
      <c r="AD92">
        <f>IF(E92+F92&lt;66,0,IF((E92+F92)/2&gt;=80,5,IF((E92+F92)/2&gt;=70,4,IF((E92+F92)/2&gt;=60,3.5,IF((E92+F92)/2&gt;=50,3,IF((E92+F92)/2&gt;=40,2,IF((E92+F92)/2&gt;=33,1,0)))))))</f>
        <v/>
      </c>
      <c r="AE92">
        <f>IF(G92&lt;33,0,IF(G92&gt;=80,5,IF(G92&gt;=70,4,IF(G92&gt;=60,3.5,IF(G92&gt;=50,3,IF(G92&gt;=40,2,IF(G92&gt;=33,1,0)))))))</f>
        <v/>
      </c>
      <c r="AF92">
        <f>IF(H92+I92&lt;66,0,IF((H92+I92)/2&gt;=80,5,IF((H92+I92)/2&gt;=70,4,IF((H92+I92)/2&gt;=60,3.5,IF((H92+I92)/2&gt;=50,3,IF((H92+I92)/2&gt;=40,2,IF((H92+I92)/2&gt;=33,1,0)))))))</f>
        <v/>
      </c>
      <c r="AG92">
        <f>IF(Y92,0,IF((J92+K92+L92+M92)/2&gt;=80,5,IF((J92+K92+L92+M92)/2&gt;=70,4,IF((J92+K92+L92+M92)/2&gt;=60,3.5,IF((J92+K92+L92+M92)/2&gt;=50,3,IF((J92+K92+L92+M92)/2&gt;=40,2,IF((J92+K92+L92+M92)/2&gt;=33,1,0)))))))</f>
        <v/>
      </c>
      <c r="AH92">
        <f>IF(Z92,0,IF(N92+O92&gt;=80,5,IF(N92+O92&gt;=70,4,IF(N92+O92&gt;=60,3.5,IF(N92+O92&gt;=50,3,IF(N92+O92&gt;=40,2,IF(N92+O92&gt;=33,1,0)))))))</f>
        <v/>
      </c>
      <c r="AI92">
        <f>IF(AA92,0,IF(P92+Q92&gt;=80,5,IF(P92+Q92&gt;=70,4,IF(P92+Q92&gt;=60,3.5,IF(P92+Q92&gt;=50,3,IF(P92+Q92&gt;=40,2,IF(P92+Q92&gt;=33,1,0)))))))</f>
        <v/>
      </c>
      <c r="AJ92">
        <f>IF(R92&lt;8.25,0,IF(R92*2&gt;=80,5,IF(R92*2&gt;=70,4,IF(R92*2&gt;=60,3.5,IF(R92*2&gt;=50,3,IF(R92*2&gt;=40,2,IF(R92*2&gt;=33,1,0)))))))</f>
        <v/>
      </c>
      <c r="AK92">
        <f>IF(S92&lt;33,0,IF(S92&gt;=80,5,IF(S92&gt;=70,4,IF(S92&gt;=60,3.5,IF(S92&gt;=50,3,IF(S92&gt;=40,2,IF(S92&gt;=33,1,0)))))))</f>
        <v/>
      </c>
      <c r="AL92">
        <f>(AC92+AD92+AE92+AF92+AG92+AH92+AI92+AJ92)/8</f>
        <v/>
      </c>
      <c r="AM92">
        <f>IF(AK92&gt;=2,(AK92-2)/8,0)</f>
        <v/>
      </c>
    </row>
    <row r="93">
      <c r="T93">
        <f>SUM(C93:R93)</f>
        <v/>
      </c>
      <c r="U93" s="6">
        <f>ROUND(T93/11.5,2)</f>
        <v/>
      </c>
      <c r="V93" s="7">
        <f>IF(B93="","",IF(AB93,0,ROUND(AL93,2)))</f>
        <v/>
      </c>
      <c r="W93" s="7">
        <f>IF(B93="","",IF(AB93,0,MIN(5,ROUND(AL93+AM93,2))))</f>
        <v/>
      </c>
      <c r="X93" s="8">
        <f>IF(B93="","",IF(W93&gt;=5,"A+",IF(W93&gt;=4,"A",IF(W93&gt;=3.5,"A-",IF(W93&gt;=3,"B",IF(W93&gt;=2,"C",IF(W93&gt;=1,"D","F")))))))</f>
        <v/>
      </c>
      <c r="Y93">
        <f>NOT(OR(AND(J93&gt;=10,K93&gt;=23,L93&gt;=10,M93&gt;=23),AND(J93+L93&gt;=20,K93+M93&gt;=46)))</f>
        <v/>
      </c>
      <c r="Z93">
        <f>OR(N93&lt;10,O93&lt;23)</f>
        <v/>
      </c>
      <c r="AA93">
        <f>OR(P93&lt;10,Q93&lt;23)</f>
        <v/>
      </c>
      <c r="AB93">
        <f>OR((C93+D93)&lt;66,(E93+F93)&lt;66,G93&lt;33,(H93+I93)&lt;66,Y93,Z93,AA93,R93&lt;8.25)</f>
        <v/>
      </c>
      <c r="AC93">
        <f>IF(C93+D93&lt;66,0,IF((C93+D93)/2&gt;=80,5,IF((C93+D93)/2&gt;=70,4,IF((C93+D93)/2&gt;=60,3.5,IF((C93+D93)/2&gt;=50,3,IF((C93+D93)/2&gt;=40,2,IF((C93+D93)/2&gt;=33,1,0)))))))</f>
        <v/>
      </c>
      <c r="AD93">
        <f>IF(E93+F93&lt;66,0,IF((E93+F93)/2&gt;=80,5,IF((E93+F93)/2&gt;=70,4,IF((E93+F93)/2&gt;=60,3.5,IF((E93+F93)/2&gt;=50,3,IF((E93+F93)/2&gt;=40,2,IF((E93+F93)/2&gt;=33,1,0)))))))</f>
        <v/>
      </c>
      <c r="AE93">
        <f>IF(G93&lt;33,0,IF(G93&gt;=80,5,IF(G93&gt;=70,4,IF(G93&gt;=60,3.5,IF(G93&gt;=50,3,IF(G93&gt;=40,2,IF(G93&gt;=33,1,0)))))))</f>
        <v/>
      </c>
      <c r="AF93">
        <f>IF(H93+I93&lt;66,0,IF((H93+I93)/2&gt;=80,5,IF((H93+I93)/2&gt;=70,4,IF((H93+I93)/2&gt;=60,3.5,IF((H93+I93)/2&gt;=50,3,IF((H93+I93)/2&gt;=40,2,IF((H93+I93)/2&gt;=33,1,0)))))))</f>
        <v/>
      </c>
      <c r="AG93">
        <f>IF(Y93,0,IF((J93+K93+L93+M93)/2&gt;=80,5,IF((J93+K93+L93+M93)/2&gt;=70,4,IF((J93+K93+L93+M93)/2&gt;=60,3.5,IF((J93+K93+L93+M93)/2&gt;=50,3,IF((J93+K93+L93+M93)/2&gt;=40,2,IF((J93+K93+L93+M93)/2&gt;=33,1,0)))))))</f>
        <v/>
      </c>
      <c r="AH93">
        <f>IF(Z93,0,IF(N93+O93&gt;=80,5,IF(N93+O93&gt;=70,4,IF(N93+O93&gt;=60,3.5,IF(N93+O93&gt;=50,3,IF(N93+O93&gt;=40,2,IF(N93+O93&gt;=33,1,0)))))))</f>
        <v/>
      </c>
      <c r="AI93">
        <f>IF(AA93,0,IF(P93+Q93&gt;=80,5,IF(P93+Q93&gt;=70,4,IF(P93+Q93&gt;=60,3.5,IF(P93+Q93&gt;=50,3,IF(P93+Q93&gt;=40,2,IF(P93+Q93&gt;=33,1,0)))))))</f>
        <v/>
      </c>
      <c r="AJ93">
        <f>IF(R93&lt;8.25,0,IF(R93*2&gt;=80,5,IF(R93*2&gt;=70,4,IF(R93*2&gt;=60,3.5,IF(R93*2&gt;=50,3,IF(R93*2&gt;=40,2,IF(R93*2&gt;=33,1,0)))))))</f>
        <v/>
      </c>
      <c r="AK93">
        <f>IF(S93&lt;33,0,IF(S93&gt;=80,5,IF(S93&gt;=70,4,IF(S93&gt;=60,3.5,IF(S93&gt;=50,3,IF(S93&gt;=40,2,IF(S93&gt;=33,1,0)))))))</f>
        <v/>
      </c>
      <c r="AL93">
        <f>(AC93+AD93+AE93+AF93+AG93+AH93+AI93+AJ93)/8</f>
        <v/>
      </c>
      <c r="AM93">
        <f>IF(AK93&gt;=2,(AK93-2)/8,0)</f>
        <v/>
      </c>
    </row>
    <row r="94">
      <c r="T94">
        <f>SUM(C94:R94)</f>
        <v/>
      </c>
      <c r="U94" s="6">
        <f>ROUND(T94/11.5,2)</f>
        <v/>
      </c>
      <c r="V94" s="7">
        <f>IF(B94="","",IF(AB94,0,ROUND(AL94,2)))</f>
        <v/>
      </c>
      <c r="W94" s="7">
        <f>IF(B94="","",IF(AB94,0,MIN(5,ROUND(AL94+AM94,2))))</f>
        <v/>
      </c>
      <c r="X94" s="8">
        <f>IF(B94="","",IF(W94&gt;=5,"A+",IF(W94&gt;=4,"A",IF(W94&gt;=3.5,"A-",IF(W94&gt;=3,"B",IF(W94&gt;=2,"C",IF(W94&gt;=1,"D","F")))))))</f>
        <v/>
      </c>
      <c r="Y94">
        <f>NOT(OR(AND(J94&gt;=10,K94&gt;=23,L94&gt;=10,M94&gt;=23),AND(J94+L94&gt;=20,K94+M94&gt;=46)))</f>
        <v/>
      </c>
      <c r="Z94">
        <f>OR(N94&lt;10,O94&lt;23)</f>
        <v/>
      </c>
      <c r="AA94">
        <f>OR(P94&lt;10,Q94&lt;23)</f>
        <v/>
      </c>
      <c r="AB94">
        <f>OR((C94+D94)&lt;66,(E94+F94)&lt;66,G94&lt;33,(H94+I94)&lt;66,Y94,Z94,AA94,R94&lt;8.25)</f>
        <v/>
      </c>
      <c r="AC94">
        <f>IF(C94+D94&lt;66,0,IF((C94+D94)/2&gt;=80,5,IF((C94+D94)/2&gt;=70,4,IF((C94+D94)/2&gt;=60,3.5,IF((C94+D94)/2&gt;=50,3,IF((C94+D94)/2&gt;=40,2,IF((C94+D94)/2&gt;=33,1,0)))))))</f>
        <v/>
      </c>
      <c r="AD94">
        <f>IF(E94+F94&lt;66,0,IF((E94+F94)/2&gt;=80,5,IF((E94+F94)/2&gt;=70,4,IF((E94+F94)/2&gt;=60,3.5,IF((E94+F94)/2&gt;=50,3,IF((E94+F94)/2&gt;=40,2,IF((E94+F94)/2&gt;=33,1,0)))))))</f>
        <v/>
      </c>
      <c r="AE94">
        <f>IF(G94&lt;33,0,IF(G94&gt;=80,5,IF(G94&gt;=70,4,IF(G94&gt;=60,3.5,IF(G94&gt;=50,3,IF(G94&gt;=40,2,IF(G94&gt;=33,1,0)))))))</f>
        <v/>
      </c>
      <c r="AF94">
        <f>IF(H94+I94&lt;66,0,IF((H94+I94)/2&gt;=80,5,IF((H94+I94)/2&gt;=70,4,IF((H94+I94)/2&gt;=60,3.5,IF((H94+I94)/2&gt;=50,3,IF((H94+I94)/2&gt;=40,2,IF((H94+I94)/2&gt;=33,1,0)))))))</f>
        <v/>
      </c>
      <c r="AG94">
        <f>IF(Y94,0,IF((J94+K94+L94+M94)/2&gt;=80,5,IF((J94+K94+L94+M94)/2&gt;=70,4,IF((J94+K94+L94+M94)/2&gt;=60,3.5,IF((J94+K94+L94+M94)/2&gt;=50,3,IF((J94+K94+L94+M94)/2&gt;=40,2,IF((J94+K94+L94+M94)/2&gt;=33,1,0)))))))</f>
        <v/>
      </c>
      <c r="AH94">
        <f>IF(Z94,0,IF(N94+O94&gt;=80,5,IF(N94+O94&gt;=70,4,IF(N94+O94&gt;=60,3.5,IF(N94+O94&gt;=50,3,IF(N94+O94&gt;=40,2,IF(N94+O94&gt;=33,1,0)))))))</f>
        <v/>
      </c>
      <c r="AI94">
        <f>IF(AA94,0,IF(P94+Q94&gt;=80,5,IF(P94+Q94&gt;=70,4,IF(P94+Q94&gt;=60,3.5,IF(P94+Q94&gt;=50,3,IF(P94+Q94&gt;=40,2,IF(P94+Q94&gt;=33,1,0)))))))</f>
        <v/>
      </c>
      <c r="AJ94">
        <f>IF(R94&lt;8.25,0,IF(R94*2&gt;=80,5,IF(R94*2&gt;=70,4,IF(R94*2&gt;=60,3.5,IF(R94*2&gt;=50,3,IF(R94*2&gt;=40,2,IF(R94*2&gt;=33,1,0)))))))</f>
        <v/>
      </c>
      <c r="AK94">
        <f>IF(S94&lt;33,0,IF(S94&gt;=80,5,IF(S94&gt;=70,4,IF(S94&gt;=60,3.5,IF(S94&gt;=50,3,IF(S94&gt;=40,2,IF(S94&gt;=33,1,0)))))))</f>
        <v/>
      </c>
      <c r="AL94">
        <f>(AC94+AD94+AE94+AF94+AG94+AH94+AI94+AJ94)/8</f>
        <v/>
      </c>
      <c r="AM94">
        <f>IF(AK94&gt;=2,(AK94-2)/8,0)</f>
        <v/>
      </c>
    </row>
    <row r="95">
      <c r="T95">
        <f>SUM(C95:R95)</f>
        <v/>
      </c>
      <c r="U95" s="6">
        <f>ROUND(T95/11.5,2)</f>
        <v/>
      </c>
      <c r="V95" s="7">
        <f>IF(B95="","",IF(AB95,0,ROUND(AL95,2)))</f>
        <v/>
      </c>
      <c r="W95" s="7">
        <f>IF(B95="","",IF(AB95,0,MIN(5,ROUND(AL95+AM95,2))))</f>
        <v/>
      </c>
      <c r="X95" s="8">
        <f>IF(B95="","",IF(W95&gt;=5,"A+",IF(W95&gt;=4,"A",IF(W95&gt;=3.5,"A-",IF(W95&gt;=3,"B",IF(W95&gt;=2,"C",IF(W95&gt;=1,"D","F")))))))</f>
        <v/>
      </c>
      <c r="Y95">
        <f>NOT(OR(AND(J95&gt;=10,K95&gt;=23,L95&gt;=10,M95&gt;=23),AND(J95+L95&gt;=20,K95+M95&gt;=46)))</f>
        <v/>
      </c>
      <c r="Z95">
        <f>OR(N95&lt;10,O95&lt;23)</f>
        <v/>
      </c>
      <c r="AA95">
        <f>OR(P95&lt;10,Q95&lt;23)</f>
        <v/>
      </c>
      <c r="AB95">
        <f>OR((C95+D95)&lt;66,(E95+F95)&lt;66,G95&lt;33,(H95+I95)&lt;66,Y95,Z95,AA95,R95&lt;8.25)</f>
        <v/>
      </c>
      <c r="AC95">
        <f>IF(C95+D95&lt;66,0,IF((C95+D95)/2&gt;=80,5,IF((C95+D95)/2&gt;=70,4,IF((C95+D95)/2&gt;=60,3.5,IF((C95+D95)/2&gt;=50,3,IF((C95+D95)/2&gt;=40,2,IF((C95+D95)/2&gt;=33,1,0)))))))</f>
        <v/>
      </c>
      <c r="AD95">
        <f>IF(E95+F95&lt;66,0,IF((E95+F95)/2&gt;=80,5,IF((E95+F95)/2&gt;=70,4,IF((E95+F95)/2&gt;=60,3.5,IF((E95+F95)/2&gt;=50,3,IF((E95+F95)/2&gt;=40,2,IF((E95+F95)/2&gt;=33,1,0)))))))</f>
        <v/>
      </c>
      <c r="AE95">
        <f>IF(G95&lt;33,0,IF(G95&gt;=80,5,IF(G95&gt;=70,4,IF(G95&gt;=60,3.5,IF(G95&gt;=50,3,IF(G95&gt;=40,2,IF(G95&gt;=33,1,0)))))))</f>
        <v/>
      </c>
      <c r="AF95">
        <f>IF(H95+I95&lt;66,0,IF((H95+I95)/2&gt;=80,5,IF((H95+I95)/2&gt;=70,4,IF((H95+I95)/2&gt;=60,3.5,IF((H95+I95)/2&gt;=50,3,IF((H95+I95)/2&gt;=40,2,IF((H95+I95)/2&gt;=33,1,0)))))))</f>
        <v/>
      </c>
      <c r="AG95">
        <f>IF(Y95,0,IF((J95+K95+L95+M95)/2&gt;=80,5,IF((J95+K95+L95+M95)/2&gt;=70,4,IF((J95+K95+L95+M95)/2&gt;=60,3.5,IF((J95+K95+L95+M95)/2&gt;=50,3,IF((J95+K95+L95+M95)/2&gt;=40,2,IF((J95+K95+L95+M95)/2&gt;=33,1,0)))))))</f>
        <v/>
      </c>
      <c r="AH95">
        <f>IF(Z95,0,IF(N95+O95&gt;=80,5,IF(N95+O95&gt;=70,4,IF(N95+O95&gt;=60,3.5,IF(N95+O95&gt;=50,3,IF(N95+O95&gt;=40,2,IF(N95+O95&gt;=33,1,0)))))))</f>
        <v/>
      </c>
      <c r="AI95">
        <f>IF(AA95,0,IF(P95+Q95&gt;=80,5,IF(P95+Q95&gt;=70,4,IF(P95+Q95&gt;=60,3.5,IF(P95+Q95&gt;=50,3,IF(P95+Q95&gt;=40,2,IF(P95+Q95&gt;=33,1,0)))))))</f>
        <v/>
      </c>
      <c r="AJ95">
        <f>IF(R95&lt;8.25,0,IF(R95*2&gt;=80,5,IF(R95*2&gt;=70,4,IF(R95*2&gt;=60,3.5,IF(R95*2&gt;=50,3,IF(R95*2&gt;=40,2,IF(R95*2&gt;=33,1,0)))))))</f>
        <v/>
      </c>
      <c r="AK95">
        <f>IF(S95&lt;33,0,IF(S95&gt;=80,5,IF(S95&gt;=70,4,IF(S95&gt;=60,3.5,IF(S95&gt;=50,3,IF(S95&gt;=40,2,IF(S95&gt;=33,1,0)))))))</f>
        <v/>
      </c>
      <c r="AL95">
        <f>(AC95+AD95+AE95+AF95+AG95+AH95+AI95+AJ95)/8</f>
        <v/>
      </c>
      <c r="AM95">
        <f>IF(AK95&gt;=2,(AK95-2)/8,0)</f>
        <v/>
      </c>
    </row>
    <row r="96">
      <c r="T96">
        <f>SUM(C96:R96)</f>
        <v/>
      </c>
      <c r="U96" s="6">
        <f>ROUND(T96/11.5,2)</f>
        <v/>
      </c>
      <c r="V96" s="7">
        <f>IF(B96="","",IF(AB96,0,ROUND(AL96,2)))</f>
        <v/>
      </c>
      <c r="W96" s="7">
        <f>IF(B96="","",IF(AB96,0,MIN(5,ROUND(AL96+AM96,2))))</f>
        <v/>
      </c>
      <c r="X96" s="8">
        <f>IF(B96="","",IF(W96&gt;=5,"A+",IF(W96&gt;=4,"A",IF(W96&gt;=3.5,"A-",IF(W96&gt;=3,"B",IF(W96&gt;=2,"C",IF(W96&gt;=1,"D","F")))))))</f>
        <v/>
      </c>
      <c r="Y96">
        <f>NOT(OR(AND(J96&gt;=10,K96&gt;=23,L96&gt;=10,M96&gt;=23),AND(J96+L96&gt;=20,K96+M96&gt;=46)))</f>
        <v/>
      </c>
      <c r="Z96">
        <f>OR(N96&lt;10,O96&lt;23)</f>
        <v/>
      </c>
      <c r="AA96">
        <f>OR(P96&lt;10,Q96&lt;23)</f>
        <v/>
      </c>
      <c r="AB96">
        <f>OR((C96+D96)&lt;66,(E96+F96)&lt;66,G96&lt;33,(H96+I96)&lt;66,Y96,Z96,AA96,R96&lt;8.25)</f>
        <v/>
      </c>
      <c r="AC96">
        <f>IF(C96+D96&lt;66,0,IF((C96+D96)/2&gt;=80,5,IF((C96+D96)/2&gt;=70,4,IF((C96+D96)/2&gt;=60,3.5,IF((C96+D96)/2&gt;=50,3,IF((C96+D96)/2&gt;=40,2,IF((C96+D96)/2&gt;=33,1,0)))))))</f>
        <v/>
      </c>
      <c r="AD96">
        <f>IF(E96+F96&lt;66,0,IF((E96+F96)/2&gt;=80,5,IF((E96+F96)/2&gt;=70,4,IF((E96+F96)/2&gt;=60,3.5,IF((E96+F96)/2&gt;=50,3,IF((E96+F96)/2&gt;=40,2,IF((E96+F96)/2&gt;=33,1,0)))))))</f>
        <v/>
      </c>
      <c r="AE96">
        <f>IF(G96&lt;33,0,IF(G96&gt;=80,5,IF(G96&gt;=70,4,IF(G96&gt;=60,3.5,IF(G96&gt;=50,3,IF(G96&gt;=40,2,IF(G96&gt;=33,1,0)))))))</f>
        <v/>
      </c>
      <c r="AF96">
        <f>IF(H96+I96&lt;66,0,IF((H96+I96)/2&gt;=80,5,IF((H96+I96)/2&gt;=70,4,IF((H96+I96)/2&gt;=60,3.5,IF((H96+I96)/2&gt;=50,3,IF((H96+I96)/2&gt;=40,2,IF((H96+I96)/2&gt;=33,1,0)))))))</f>
        <v/>
      </c>
      <c r="AG96">
        <f>IF(Y96,0,IF((J96+K96+L96+M96)/2&gt;=80,5,IF((J96+K96+L96+M96)/2&gt;=70,4,IF((J96+K96+L96+M96)/2&gt;=60,3.5,IF((J96+K96+L96+M96)/2&gt;=50,3,IF((J96+K96+L96+M96)/2&gt;=40,2,IF((J96+K96+L96+M96)/2&gt;=33,1,0)))))))</f>
        <v/>
      </c>
      <c r="AH96">
        <f>IF(Z96,0,IF(N96+O96&gt;=80,5,IF(N96+O96&gt;=70,4,IF(N96+O96&gt;=60,3.5,IF(N96+O96&gt;=50,3,IF(N96+O96&gt;=40,2,IF(N96+O96&gt;=33,1,0)))))))</f>
        <v/>
      </c>
      <c r="AI96">
        <f>IF(AA96,0,IF(P96+Q96&gt;=80,5,IF(P96+Q96&gt;=70,4,IF(P96+Q96&gt;=60,3.5,IF(P96+Q96&gt;=50,3,IF(P96+Q96&gt;=40,2,IF(P96+Q96&gt;=33,1,0)))))))</f>
        <v/>
      </c>
      <c r="AJ96">
        <f>IF(R96&lt;8.25,0,IF(R96*2&gt;=80,5,IF(R96*2&gt;=70,4,IF(R96*2&gt;=60,3.5,IF(R96*2&gt;=50,3,IF(R96*2&gt;=40,2,IF(R96*2&gt;=33,1,0)))))))</f>
        <v/>
      </c>
      <c r="AK96">
        <f>IF(S96&lt;33,0,IF(S96&gt;=80,5,IF(S96&gt;=70,4,IF(S96&gt;=60,3.5,IF(S96&gt;=50,3,IF(S96&gt;=40,2,IF(S96&gt;=33,1,0)))))))</f>
        <v/>
      </c>
      <c r="AL96">
        <f>(AC96+AD96+AE96+AF96+AG96+AH96+AI96+AJ96)/8</f>
        <v/>
      </c>
      <c r="AM96">
        <f>IF(AK96&gt;=2,(AK96-2)/8,0)</f>
        <v/>
      </c>
    </row>
    <row r="97">
      <c r="T97">
        <f>SUM(C97:R97)</f>
        <v/>
      </c>
      <c r="U97" s="6">
        <f>ROUND(T97/11.5,2)</f>
        <v/>
      </c>
      <c r="V97" s="7">
        <f>IF(B97="","",IF(AB97,0,ROUND(AL97,2)))</f>
        <v/>
      </c>
      <c r="W97" s="7">
        <f>IF(B97="","",IF(AB97,0,MIN(5,ROUND(AL97+AM97,2))))</f>
        <v/>
      </c>
      <c r="X97" s="8">
        <f>IF(B97="","",IF(W97&gt;=5,"A+",IF(W97&gt;=4,"A",IF(W97&gt;=3.5,"A-",IF(W97&gt;=3,"B",IF(W97&gt;=2,"C",IF(W97&gt;=1,"D","F")))))))</f>
        <v/>
      </c>
      <c r="Y97">
        <f>NOT(OR(AND(J97&gt;=10,K97&gt;=23,L97&gt;=10,M97&gt;=23),AND(J97+L97&gt;=20,K97+M97&gt;=46)))</f>
        <v/>
      </c>
      <c r="Z97">
        <f>OR(N97&lt;10,O97&lt;23)</f>
        <v/>
      </c>
      <c r="AA97">
        <f>OR(P97&lt;10,Q97&lt;23)</f>
        <v/>
      </c>
      <c r="AB97">
        <f>OR((C97+D97)&lt;66,(E97+F97)&lt;66,G97&lt;33,(H97+I97)&lt;66,Y97,Z97,AA97,R97&lt;8.25)</f>
        <v/>
      </c>
      <c r="AC97">
        <f>IF(C97+D97&lt;66,0,IF((C97+D97)/2&gt;=80,5,IF((C97+D97)/2&gt;=70,4,IF((C97+D97)/2&gt;=60,3.5,IF((C97+D97)/2&gt;=50,3,IF((C97+D97)/2&gt;=40,2,IF((C97+D97)/2&gt;=33,1,0)))))))</f>
        <v/>
      </c>
      <c r="AD97">
        <f>IF(E97+F97&lt;66,0,IF((E97+F97)/2&gt;=80,5,IF((E97+F97)/2&gt;=70,4,IF((E97+F97)/2&gt;=60,3.5,IF((E97+F97)/2&gt;=50,3,IF((E97+F97)/2&gt;=40,2,IF((E97+F97)/2&gt;=33,1,0)))))))</f>
        <v/>
      </c>
      <c r="AE97">
        <f>IF(G97&lt;33,0,IF(G97&gt;=80,5,IF(G97&gt;=70,4,IF(G97&gt;=60,3.5,IF(G97&gt;=50,3,IF(G97&gt;=40,2,IF(G97&gt;=33,1,0)))))))</f>
        <v/>
      </c>
      <c r="AF97">
        <f>IF(H97+I97&lt;66,0,IF((H97+I97)/2&gt;=80,5,IF((H97+I97)/2&gt;=70,4,IF((H97+I97)/2&gt;=60,3.5,IF((H97+I97)/2&gt;=50,3,IF((H97+I97)/2&gt;=40,2,IF((H97+I97)/2&gt;=33,1,0)))))))</f>
        <v/>
      </c>
      <c r="AG97">
        <f>IF(Y97,0,IF((J97+K97+L97+M97)/2&gt;=80,5,IF((J97+K97+L97+M97)/2&gt;=70,4,IF((J97+K97+L97+M97)/2&gt;=60,3.5,IF((J97+K97+L97+M97)/2&gt;=50,3,IF((J97+K97+L97+M97)/2&gt;=40,2,IF((J97+K97+L97+M97)/2&gt;=33,1,0)))))))</f>
        <v/>
      </c>
      <c r="AH97">
        <f>IF(Z97,0,IF(N97+O97&gt;=80,5,IF(N97+O97&gt;=70,4,IF(N97+O97&gt;=60,3.5,IF(N97+O97&gt;=50,3,IF(N97+O97&gt;=40,2,IF(N97+O97&gt;=33,1,0)))))))</f>
        <v/>
      </c>
      <c r="AI97">
        <f>IF(AA97,0,IF(P97+Q97&gt;=80,5,IF(P97+Q97&gt;=70,4,IF(P97+Q97&gt;=60,3.5,IF(P97+Q97&gt;=50,3,IF(P97+Q97&gt;=40,2,IF(P97+Q97&gt;=33,1,0)))))))</f>
        <v/>
      </c>
      <c r="AJ97">
        <f>IF(R97&lt;8.25,0,IF(R97*2&gt;=80,5,IF(R97*2&gt;=70,4,IF(R97*2&gt;=60,3.5,IF(R97*2&gt;=50,3,IF(R97*2&gt;=40,2,IF(R97*2&gt;=33,1,0)))))))</f>
        <v/>
      </c>
      <c r="AK97">
        <f>IF(S97&lt;33,0,IF(S97&gt;=80,5,IF(S97&gt;=70,4,IF(S97&gt;=60,3.5,IF(S97&gt;=50,3,IF(S97&gt;=40,2,IF(S97&gt;=33,1,0)))))))</f>
        <v/>
      </c>
      <c r="AL97">
        <f>(AC97+AD97+AE97+AF97+AG97+AH97+AI97+AJ97)/8</f>
        <v/>
      </c>
      <c r="AM97">
        <f>IF(AK97&gt;=2,(AK97-2)/8,0)</f>
        <v/>
      </c>
    </row>
    <row r="98">
      <c r="T98">
        <f>SUM(C98:R98)</f>
        <v/>
      </c>
      <c r="U98" s="6">
        <f>ROUND(T98/11.5,2)</f>
        <v/>
      </c>
      <c r="V98" s="7">
        <f>IF(B98="","",IF(AB98,0,ROUND(AL98,2)))</f>
        <v/>
      </c>
      <c r="W98" s="7">
        <f>IF(B98="","",IF(AB98,0,MIN(5,ROUND(AL98+AM98,2))))</f>
        <v/>
      </c>
      <c r="X98" s="8">
        <f>IF(B98="","",IF(W98&gt;=5,"A+",IF(W98&gt;=4,"A",IF(W98&gt;=3.5,"A-",IF(W98&gt;=3,"B",IF(W98&gt;=2,"C",IF(W98&gt;=1,"D","F")))))))</f>
        <v/>
      </c>
      <c r="Y98">
        <f>NOT(OR(AND(J98&gt;=10,K98&gt;=23,L98&gt;=10,M98&gt;=23),AND(J98+L98&gt;=20,K98+M98&gt;=46)))</f>
        <v/>
      </c>
      <c r="Z98">
        <f>OR(N98&lt;10,O98&lt;23)</f>
        <v/>
      </c>
      <c r="AA98">
        <f>OR(P98&lt;10,Q98&lt;23)</f>
        <v/>
      </c>
      <c r="AB98">
        <f>OR((C98+D98)&lt;66,(E98+F98)&lt;66,G98&lt;33,(H98+I98)&lt;66,Y98,Z98,AA98,R98&lt;8.25)</f>
        <v/>
      </c>
      <c r="AC98">
        <f>IF(C98+D98&lt;66,0,IF((C98+D98)/2&gt;=80,5,IF((C98+D98)/2&gt;=70,4,IF((C98+D98)/2&gt;=60,3.5,IF((C98+D98)/2&gt;=50,3,IF((C98+D98)/2&gt;=40,2,IF((C98+D98)/2&gt;=33,1,0)))))))</f>
        <v/>
      </c>
      <c r="AD98">
        <f>IF(E98+F98&lt;66,0,IF((E98+F98)/2&gt;=80,5,IF((E98+F98)/2&gt;=70,4,IF((E98+F98)/2&gt;=60,3.5,IF((E98+F98)/2&gt;=50,3,IF((E98+F98)/2&gt;=40,2,IF((E98+F98)/2&gt;=33,1,0)))))))</f>
        <v/>
      </c>
      <c r="AE98">
        <f>IF(G98&lt;33,0,IF(G98&gt;=80,5,IF(G98&gt;=70,4,IF(G98&gt;=60,3.5,IF(G98&gt;=50,3,IF(G98&gt;=40,2,IF(G98&gt;=33,1,0)))))))</f>
        <v/>
      </c>
      <c r="AF98">
        <f>IF(H98+I98&lt;66,0,IF((H98+I98)/2&gt;=80,5,IF((H98+I98)/2&gt;=70,4,IF((H98+I98)/2&gt;=60,3.5,IF((H98+I98)/2&gt;=50,3,IF((H98+I98)/2&gt;=40,2,IF((H98+I98)/2&gt;=33,1,0)))))))</f>
        <v/>
      </c>
      <c r="AG98">
        <f>IF(Y98,0,IF((J98+K98+L98+M98)/2&gt;=80,5,IF((J98+K98+L98+M98)/2&gt;=70,4,IF((J98+K98+L98+M98)/2&gt;=60,3.5,IF((J98+K98+L98+M98)/2&gt;=50,3,IF((J98+K98+L98+M98)/2&gt;=40,2,IF((J98+K98+L98+M98)/2&gt;=33,1,0)))))))</f>
        <v/>
      </c>
      <c r="AH98">
        <f>IF(Z98,0,IF(N98+O98&gt;=80,5,IF(N98+O98&gt;=70,4,IF(N98+O98&gt;=60,3.5,IF(N98+O98&gt;=50,3,IF(N98+O98&gt;=40,2,IF(N98+O98&gt;=33,1,0)))))))</f>
        <v/>
      </c>
      <c r="AI98">
        <f>IF(AA98,0,IF(P98+Q98&gt;=80,5,IF(P98+Q98&gt;=70,4,IF(P98+Q98&gt;=60,3.5,IF(P98+Q98&gt;=50,3,IF(P98+Q98&gt;=40,2,IF(P98+Q98&gt;=33,1,0)))))))</f>
        <v/>
      </c>
      <c r="AJ98">
        <f>IF(R98&lt;8.25,0,IF(R98*2&gt;=80,5,IF(R98*2&gt;=70,4,IF(R98*2&gt;=60,3.5,IF(R98*2&gt;=50,3,IF(R98*2&gt;=40,2,IF(R98*2&gt;=33,1,0)))))))</f>
        <v/>
      </c>
      <c r="AK98">
        <f>IF(S98&lt;33,0,IF(S98&gt;=80,5,IF(S98&gt;=70,4,IF(S98&gt;=60,3.5,IF(S98&gt;=50,3,IF(S98&gt;=40,2,IF(S98&gt;=33,1,0)))))))</f>
        <v/>
      </c>
      <c r="AL98">
        <f>(AC98+AD98+AE98+AF98+AG98+AH98+AI98+AJ98)/8</f>
        <v/>
      </c>
      <c r="AM98">
        <f>IF(AK98&gt;=2,(AK98-2)/8,0)</f>
        <v/>
      </c>
    </row>
    <row r="99">
      <c r="T99">
        <f>SUM(C99:R99)</f>
        <v/>
      </c>
      <c r="U99" s="6">
        <f>ROUND(T99/11.5,2)</f>
        <v/>
      </c>
      <c r="V99" s="7">
        <f>IF(B99="","",IF(AB99,0,ROUND(AL99,2)))</f>
        <v/>
      </c>
      <c r="W99" s="7">
        <f>IF(B99="","",IF(AB99,0,MIN(5,ROUND(AL99+AM99,2))))</f>
        <v/>
      </c>
      <c r="X99" s="8">
        <f>IF(B99="","",IF(W99&gt;=5,"A+",IF(W99&gt;=4,"A",IF(W99&gt;=3.5,"A-",IF(W99&gt;=3,"B",IF(W99&gt;=2,"C",IF(W99&gt;=1,"D","F")))))))</f>
        <v/>
      </c>
      <c r="Y99">
        <f>NOT(OR(AND(J99&gt;=10,K99&gt;=23,L99&gt;=10,M99&gt;=23),AND(J99+L99&gt;=20,K99+M99&gt;=46)))</f>
        <v/>
      </c>
      <c r="Z99">
        <f>OR(N99&lt;10,O99&lt;23)</f>
        <v/>
      </c>
      <c r="AA99">
        <f>OR(P99&lt;10,Q99&lt;23)</f>
        <v/>
      </c>
      <c r="AB99">
        <f>OR((C99+D99)&lt;66,(E99+F99)&lt;66,G99&lt;33,(H99+I99)&lt;66,Y99,Z99,AA99,R99&lt;8.25)</f>
        <v/>
      </c>
      <c r="AC99">
        <f>IF(C99+D99&lt;66,0,IF((C99+D99)/2&gt;=80,5,IF((C99+D99)/2&gt;=70,4,IF((C99+D99)/2&gt;=60,3.5,IF((C99+D99)/2&gt;=50,3,IF((C99+D99)/2&gt;=40,2,IF((C99+D99)/2&gt;=33,1,0)))))))</f>
        <v/>
      </c>
      <c r="AD99">
        <f>IF(E99+F99&lt;66,0,IF((E99+F99)/2&gt;=80,5,IF((E99+F99)/2&gt;=70,4,IF((E99+F99)/2&gt;=60,3.5,IF((E99+F99)/2&gt;=50,3,IF((E99+F99)/2&gt;=40,2,IF((E99+F99)/2&gt;=33,1,0)))))))</f>
        <v/>
      </c>
      <c r="AE99">
        <f>IF(G99&lt;33,0,IF(G99&gt;=80,5,IF(G99&gt;=70,4,IF(G99&gt;=60,3.5,IF(G99&gt;=50,3,IF(G99&gt;=40,2,IF(G99&gt;=33,1,0)))))))</f>
        <v/>
      </c>
      <c r="AF99">
        <f>IF(H99+I99&lt;66,0,IF((H99+I99)/2&gt;=80,5,IF((H99+I99)/2&gt;=70,4,IF((H99+I99)/2&gt;=60,3.5,IF((H99+I99)/2&gt;=50,3,IF((H99+I99)/2&gt;=40,2,IF((H99+I99)/2&gt;=33,1,0)))))))</f>
        <v/>
      </c>
      <c r="AG99">
        <f>IF(Y99,0,IF((J99+K99+L99+M99)/2&gt;=80,5,IF((J99+K99+L99+M99)/2&gt;=70,4,IF((J99+K99+L99+M99)/2&gt;=60,3.5,IF((J99+K99+L99+M99)/2&gt;=50,3,IF((J99+K99+L99+M99)/2&gt;=40,2,IF((J99+K99+L99+M99)/2&gt;=33,1,0)))))))</f>
        <v/>
      </c>
      <c r="AH99">
        <f>IF(Z99,0,IF(N99+O99&gt;=80,5,IF(N99+O99&gt;=70,4,IF(N99+O99&gt;=60,3.5,IF(N99+O99&gt;=50,3,IF(N99+O99&gt;=40,2,IF(N99+O99&gt;=33,1,0)))))))</f>
        <v/>
      </c>
      <c r="AI99">
        <f>IF(AA99,0,IF(P99+Q99&gt;=80,5,IF(P99+Q99&gt;=70,4,IF(P99+Q99&gt;=60,3.5,IF(P99+Q99&gt;=50,3,IF(P99+Q99&gt;=40,2,IF(P99+Q99&gt;=33,1,0)))))))</f>
        <v/>
      </c>
      <c r="AJ99">
        <f>IF(R99&lt;8.25,0,IF(R99*2&gt;=80,5,IF(R99*2&gt;=70,4,IF(R99*2&gt;=60,3.5,IF(R99*2&gt;=50,3,IF(R99*2&gt;=40,2,IF(R99*2&gt;=33,1,0)))))))</f>
        <v/>
      </c>
      <c r="AK99">
        <f>IF(S99&lt;33,0,IF(S99&gt;=80,5,IF(S99&gt;=70,4,IF(S99&gt;=60,3.5,IF(S99&gt;=50,3,IF(S99&gt;=40,2,IF(S99&gt;=33,1,0)))))))</f>
        <v/>
      </c>
      <c r="AL99">
        <f>(AC99+AD99+AE99+AF99+AG99+AH99+AI99+AJ99)/8</f>
        <v/>
      </c>
      <c r="AM99">
        <f>IF(AK99&gt;=2,(AK99-2)/8,0)</f>
        <v/>
      </c>
    </row>
    <row r="100">
      <c r="T100">
        <f>SUM(C100:R100)</f>
        <v/>
      </c>
      <c r="U100" s="6">
        <f>ROUND(T100/11.5,2)</f>
        <v/>
      </c>
      <c r="V100" s="7">
        <f>IF(B100="","",IF(AB100,0,ROUND(AL100,2)))</f>
        <v/>
      </c>
      <c r="W100" s="7">
        <f>IF(B100="","",IF(AB100,0,MIN(5,ROUND(AL100+AM100,2))))</f>
        <v/>
      </c>
      <c r="X100" s="8">
        <f>IF(B100="","",IF(W100&gt;=5,"A+",IF(W100&gt;=4,"A",IF(W100&gt;=3.5,"A-",IF(W100&gt;=3,"B",IF(W100&gt;=2,"C",IF(W100&gt;=1,"D","F")))))))</f>
        <v/>
      </c>
      <c r="Y100">
        <f>NOT(OR(AND(J100&gt;=10,K100&gt;=23,L100&gt;=10,M100&gt;=23),AND(J100+L100&gt;=20,K100+M100&gt;=46)))</f>
        <v/>
      </c>
      <c r="Z100">
        <f>OR(N100&lt;10,O100&lt;23)</f>
        <v/>
      </c>
      <c r="AA100">
        <f>OR(P100&lt;10,Q100&lt;23)</f>
        <v/>
      </c>
      <c r="AB100">
        <f>OR((C100+D100)&lt;66,(E100+F100)&lt;66,G100&lt;33,(H100+I100)&lt;66,Y100,Z100,AA100,R100&lt;8.25)</f>
        <v/>
      </c>
      <c r="AC100">
        <f>IF(C100+D100&lt;66,0,IF((C100+D100)/2&gt;=80,5,IF((C100+D100)/2&gt;=70,4,IF((C100+D100)/2&gt;=60,3.5,IF((C100+D100)/2&gt;=50,3,IF((C100+D100)/2&gt;=40,2,IF((C100+D100)/2&gt;=33,1,0)))))))</f>
        <v/>
      </c>
      <c r="AD100">
        <f>IF(E100+F100&lt;66,0,IF((E100+F100)/2&gt;=80,5,IF((E100+F100)/2&gt;=70,4,IF((E100+F100)/2&gt;=60,3.5,IF((E100+F100)/2&gt;=50,3,IF((E100+F100)/2&gt;=40,2,IF((E100+F100)/2&gt;=33,1,0)))))))</f>
        <v/>
      </c>
      <c r="AE100">
        <f>IF(G100&lt;33,0,IF(G100&gt;=80,5,IF(G100&gt;=70,4,IF(G100&gt;=60,3.5,IF(G100&gt;=50,3,IF(G100&gt;=40,2,IF(G100&gt;=33,1,0)))))))</f>
        <v/>
      </c>
      <c r="AF100">
        <f>IF(H100+I100&lt;66,0,IF((H100+I100)/2&gt;=80,5,IF((H100+I100)/2&gt;=70,4,IF((H100+I100)/2&gt;=60,3.5,IF((H100+I100)/2&gt;=50,3,IF((H100+I100)/2&gt;=40,2,IF((H100+I100)/2&gt;=33,1,0)))))))</f>
        <v/>
      </c>
      <c r="AG100">
        <f>IF(Y100,0,IF((J100+K100+L100+M100)/2&gt;=80,5,IF((J100+K100+L100+M100)/2&gt;=70,4,IF((J100+K100+L100+M100)/2&gt;=60,3.5,IF((J100+K100+L100+M100)/2&gt;=50,3,IF((J100+K100+L100+M100)/2&gt;=40,2,IF((J100+K100+L100+M100)/2&gt;=33,1,0)))))))</f>
        <v/>
      </c>
      <c r="AH100">
        <f>IF(Z100,0,IF(N100+O100&gt;=80,5,IF(N100+O100&gt;=70,4,IF(N100+O100&gt;=60,3.5,IF(N100+O100&gt;=50,3,IF(N100+O100&gt;=40,2,IF(N100+O100&gt;=33,1,0)))))))</f>
        <v/>
      </c>
      <c r="AI100">
        <f>IF(AA100,0,IF(P100+Q100&gt;=80,5,IF(P100+Q100&gt;=70,4,IF(P100+Q100&gt;=60,3.5,IF(P100+Q100&gt;=50,3,IF(P100+Q100&gt;=40,2,IF(P100+Q100&gt;=33,1,0)))))))</f>
        <v/>
      </c>
      <c r="AJ100">
        <f>IF(R100&lt;8.25,0,IF(R100*2&gt;=80,5,IF(R100*2&gt;=70,4,IF(R100*2&gt;=60,3.5,IF(R100*2&gt;=50,3,IF(R100*2&gt;=40,2,IF(R100*2&gt;=33,1,0)))))))</f>
        <v/>
      </c>
      <c r="AK100">
        <f>IF(S100&lt;33,0,IF(S100&gt;=80,5,IF(S100&gt;=70,4,IF(S100&gt;=60,3.5,IF(S100&gt;=50,3,IF(S100&gt;=40,2,IF(S100&gt;=33,1,0)))))))</f>
        <v/>
      </c>
      <c r="AL100">
        <f>(AC100+AD100+AE100+AF100+AG100+AH100+AI100+AJ100)/8</f>
        <v/>
      </c>
      <c r="AM100">
        <f>IF(AK100&gt;=2,(AK100-2)/8,0)</f>
        <v/>
      </c>
    </row>
    <row r="101">
      <c r="T101">
        <f>SUM(C101:R101)</f>
        <v/>
      </c>
      <c r="U101" s="6">
        <f>ROUND(T101/11.5,2)</f>
        <v/>
      </c>
      <c r="V101" s="7">
        <f>IF(B101="","",IF(AB101,0,ROUND(AL101,2)))</f>
        <v/>
      </c>
      <c r="W101" s="7">
        <f>IF(B101="","",IF(AB101,0,MIN(5,ROUND(AL101+AM101,2))))</f>
        <v/>
      </c>
      <c r="X101" s="8">
        <f>IF(B101="","",IF(W101&gt;=5,"A+",IF(W101&gt;=4,"A",IF(W101&gt;=3.5,"A-",IF(W101&gt;=3,"B",IF(W101&gt;=2,"C",IF(W101&gt;=1,"D","F")))))))</f>
        <v/>
      </c>
      <c r="Y101">
        <f>NOT(OR(AND(J101&gt;=10,K101&gt;=23,L101&gt;=10,M101&gt;=23),AND(J101+L101&gt;=20,K101+M101&gt;=46)))</f>
        <v/>
      </c>
      <c r="Z101">
        <f>OR(N101&lt;10,O101&lt;23)</f>
        <v/>
      </c>
      <c r="AA101">
        <f>OR(P101&lt;10,Q101&lt;23)</f>
        <v/>
      </c>
      <c r="AB101">
        <f>OR((C101+D101)&lt;66,(E101+F101)&lt;66,G101&lt;33,(H101+I101)&lt;66,Y101,Z101,AA101,R101&lt;8.25)</f>
        <v/>
      </c>
      <c r="AC101">
        <f>IF(C101+D101&lt;66,0,IF((C101+D101)/2&gt;=80,5,IF((C101+D101)/2&gt;=70,4,IF((C101+D101)/2&gt;=60,3.5,IF((C101+D101)/2&gt;=50,3,IF((C101+D101)/2&gt;=40,2,IF((C101+D101)/2&gt;=33,1,0)))))))</f>
        <v/>
      </c>
      <c r="AD101">
        <f>IF(E101+F101&lt;66,0,IF((E101+F101)/2&gt;=80,5,IF((E101+F101)/2&gt;=70,4,IF((E101+F101)/2&gt;=60,3.5,IF((E101+F101)/2&gt;=50,3,IF((E101+F101)/2&gt;=40,2,IF((E101+F101)/2&gt;=33,1,0)))))))</f>
        <v/>
      </c>
      <c r="AE101">
        <f>IF(G101&lt;33,0,IF(G101&gt;=80,5,IF(G101&gt;=70,4,IF(G101&gt;=60,3.5,IF(G101&gt;=50,3,IF(G101&gt;=40,2,IF(G101&gt;=33,1,0)))))))</f>
        <v/>
      </c>
      <c r="AF101">
        <f>IF(H101+I101&lt;66,0,IF((H101+I101)/2&gt;=80,5,IF((H101+I101)/2&gt;=70,4,IF((H101+I101)/2&gt;=60,3.5,IF((H101+I101)/2&gt;=50,3,IF((H101+I101)/2&gt;=40,2,IF((H101+I101)/2&gt;=33,1,0)))))))</f>
        <v/>
      </c>
      <c r="AG101">
        <f>IF(Y101,0,IF((J101+K101+L101+M101)/2&gt;=80,5,IF((J101+K101+L101+M101)/2&gt;=70,4,IF((J101+K101+L101+M101)/2&gt;=60,3.5,IF((J101+K101+L101+M101)/2&gt;=50,3,IF((J101+K101+L101+M101)/2&gt;=40,2,IF((J101+K101+L101+M101)/2&gt;=33,1,0)))))))</f>
        <v/>
      </c>
      <c r="AH101">
        <f>IF(Z101,0,IF(N101+O101&gt;=80,5,IF(N101+O101&gt;=70,4,IF(N101+O101&gt;=60,3.5,IF(N101+O101&gt;=50,3,IF(N101+O101&gt;=40,2,IF(N101+O101&gt;=33,1,0)))))))</f>
        <v/>
      </c>
      <c r="AI101">
        <f>IF(AA101,0,IF(P101+Q101&gt;=80,5,IF(P101+Q101&gt;=70,4,IF(P101+Q101&gt;=60,3.5,IF(P101+Q101&gt;=50,3,IF(P101+Q101&gt;=40,2,IF(P101+Q101&gt;=33,1,0)))))))</f>
        <v/>
      </c>
      <c r="AJ101">
        <f>IF(R101&lt;8.25,0,IF(R101*2&gt;=80,5,IF(R101*2&gt;=70,4,IF(R101*2&gt;=60,3.5,IF(R101*2&gt;=50,3,IF(R101*2&gt;=40,2,IF(R101*2&gt;=33,1,0)))))))</f>
        <v/>
      </c>
      <c r="AK101">
        <f>IF(S101&lt;33,0,IF(S101&gt;=80,5,IF(S101&gt;=70,4,IF(S101&gt;=60,3.5,IF(S101&gt;=50,3,IF(S101&gt;=40,2,IF(S101&gt;=33,1,0)))))))</f>
        <v/>
      </c>
      <c r="AL101">
        <f>(AC101+AD101+AE101+AF101+AG101+AH101+AI101+AJ101)/8</f>
        <v/>
      </c>
      <c r="AM101">
        <f>IF(AK101&gt;=2,(AK101-2)/8,0)</f>
        <v/>
      </c>
    </row>
    <row r="102">
      <c r="T102">
        <f>SUM(C102:R102)</f>
        <v/>
      </c>
      <c r="U102" s="6">
        <f>ROUND(T102/11.5,2)</f>
        <v/>
      </c>
      <c r="V102" s="7">
        <f>IF(B102="","",IF(AB102,0,ROUND(AL102,2)))</f>
        <v/>
      </c>
      <c r="W102" s="7">
        <f>IF(B102="","",IF(AB102,0,MIN(5,ROUND(AL102+AM102,2))))</f>
        <v/>
      </c>
      <c r="X102" s="8">
        <f>IF(B102="","",IF(W102&gt;=5,"A+",IF(W102&gt;=4,"A",IF(W102&gt;=3.5,"A-",IF(W102&gt;=3,"B",IF(W102&gt;=2,"C",IF(W102&gt;=1,"D","F")))))))</f>
        <v/>
      </c>
      <c r="Y102">
        <f>NOT(OR(AND(J102&gt;=10,K102&gt;=23,L102&gt;=10,M102&gt;=23),AND(J102+L102&gt;=20,K102+M102&gt;=46)))</f>
        <v/>
      </c>
      <c r="Z102">
        <f>OR(N102&lt;10,O102&lt;23)</f>
        <v/>
      </c>
      <c r="AA102">
        <f>OR(P102&lt;10,Q102&lt;23)</f>
        <v/>
      </c>
      <c r="AB102">
        <f>OR((C102+D102)&lt;66,(E102+F102)&lt;66,G102&lt;33,(H102+I102)&lt;66,Y102,Z102,AA102,R102&lt;8.25)</f>
        <v/>
      </c>
      <c r="AC102">
        <f>IF(C102+D102&lt;66,0,IF((C102+D102)/2&gt;=80,5,IF((C102+D102)/2&gt;=70,4,IF((C102+D102)/2&gt;=60,3.5,IF((C102+D102)/2&gt;=50,3,IF((C102+D102)/2&gt;=40,2,IF((C102+D102)/2&gt;=33,1,0)))))))</f>
        <v/>
      </c>
      <c r="AD102">
        <f>IF(E102+F102&lt;66,0,IF((E102+F102)/2&gt;=80,5,IF((E102+F102)/2&gt;=70,4,IF((E102+F102)/2&gt;=60,3.5,IF((E102+F102)/2&gt;=50,3,IF((E102+F102)/2&gt;=40,2,IF((E102+F102)/2&gt;=33,1,0)))))))</f>
        <v/>
      </c>
      <c r="AE102">
        <f>IF(G102&lt;33,0,IF(G102&gt;=80,5,IF(G102&gt;=70,4,IF(G102&gt;=60,3.5,IF(G102&gt;=50,3,IF(G102&gt;=40,2,IF(G102&gt;=33,1,0)))))))</f>
        <v/>
      </c>
      <c r="AF102">
        <f>IF(H102+I102&lt;66,0,IF((H102+I102)/2&gt;=80,5,IF((H102+I102)/2&gt;=70,4,IF((H102+I102)/2&gt;=60,3.5,IF((H102+I102)/2&gt;=50,3,IF((H102+I102)/2&gt;=40,2,IF((H102+I102)/2&gt;=33,1,0)))))))</f>
        <v/>
      </c>
      <c r="AG102">
        <f>IF(Y102,0,IF((J102+K102+L102+M102)/2&gt;=80,5,IF((J102+K102+L102+M102)/2&gt;=70,4,IF((J102+K102+L102+M102)/2&gt;=60,3.5,IF((J102+K102+L102+M102)/2&gt;=50,3,IF((J102+K102+L102+M102)/2&gt;=40,2,IF((J102+K102+L102+M102)/2&gt;=33,1,0)))))))</f>
        <v/>
      </c>
      <c r="AH102">
        <f>IF(Z102,0,IF(N102+O102&gt;=80,5,IF(N102+O102&gt;=70,4,IF(N102+O102&gt;=60,3.5,IF(N102+O102&gt;=50,3,IF(N102+O102&gt;=40,2,IF(N102+O102&gt;=33,1,0)))))))</f>
        <v/>
      </c>
      <c r="AI102">
        <f>IF(AA102,0,IF(P102+Q102&gt;=80,5,IF(P102+Q102&gt;=70,4,IF(P102+Q102&gt;=60,3.5,IF(P102+Q102&gt;=50,3,IF(P102+Q102&gt;=40,2,IF(P102+Q102&gt;=33,1,0)))))))</f>
        <v/>
      </c>
      <c r="AJ102">
        <f>IF(R102&lt;8.25,0,IF(R102*2&gt;=80,5,IF(R102*2&gt;=70,4,IF(R102*2&gt;=60,3.5,IF(R102*2&gt;=50,3,IF(R102*2&gt;=40,2,IF(R102*2&gt;=33,1,0)))))))</f>
        <v/>
      </c>
      <c r="AK102">
        <f>IF(S102&lt;33,0,IF(S102&gt;=80,5,IF(S102&gt;=70,4,IF(S102&gt;=60,3.5,IF(S102&gt;=50,3,IF(S102&gt;=40,2,IF(S102&gt;=33,1,0)))))))</f>
        <v/>
      </c>
      <c r="AL102">
        <f>(AC102+AD102+AE102+AF102+AG102+AH102+AI102+AJ102)/8</f>
        <v/>
      </c>
      <c r="AM102">
        <f>IF(AK102&gt;=2,(AK102-2)/8,0)</f>
        <v/>
      </c>
    </row>
    <row r="103">
      <c r="T103">
        <f>SUM(C103:R103)</f>
        <v/>
      </c>
      <c r="U103" s="6">
        <f>ROUND(T103/11.5,2)</f>
        <v/>
      </c>
      <c r="V103" s="7">
        <f>IF(B103="","",IF(AB103,0,ROUND(AL103,2)))</f>
        <v/>
      </c>
      <c r="W103" s="7">
        <f>IF(B103="","",IF(AB103,0,MIN(5,ROUND(AL103+AM103,2))))</f>
        <v/>
      </c>
      <c r="X103" s="8">
        <f>IF(B103="","",IF(W103&gt;=5,"A+",IF(W103&gt;=4,"A",IF(W103&gt;=3.5,"A-",IF(W103&gt;=3,"B",IF(W103&gt;=2,"C",IF(W103&gt;=1,"D","F")))))))</f>
        <v/>
      </c>
      <c r="Y103">
        <f>NOT(OR(AND(J103&gt;=10,K103&gt;=23,L103&gt;=10,M103&gt;=23),AND(J103+L103&gt;=20,K103+M103&gt;=46)))</f>
        <v/>
      </c>
      <c r="Z103">
        <f>OR(N103&lt;10,O103&lt;23)</f>
        <v/>
      </c>
      <c r="AA103">
        <f>OR(P103&lt;10,Q103&lt;23)</f>
        <v/>
      </c>
      <c r="AB103">
        <f>OR((C103+D103)&lt;66,(E103+F103)&lt;66,G103&lt;33,(H103+I103)&lt;66,Y103,Z103,AA103,R103&lt;8.25)</f>
        <v/>
      </c>
      <c r="AC103">
        <f>IF(C103+D103&lt;66,0,IF((C103+D103)/2&gt;=80,5,IF((C103+D103)/2&gt;=70,4,IF((C103+D103)/2&gt;=60,3.5,IF((C103+D103)/2&gt;=50,3,IF((C103+D103)/2&gt;=40,2,IF((C103+D103)/2&gt;=33,1,0)))))))</f>
        <v/>
      </c>
      <c r="AD103">
        <f>IF(E103+F103&lt;66,0,IF((E103+F103)/2&gt;=80,5,IF((E103+F103)/2&gt;=70,4,IF((E103+F103)/2&gt;=60,3.5,IF((E103+F103)/2&gt;=50,3,IF((E103+F103)/2&gt;=40,2,IF((E103+F103)/2&gt;=33,1,0)))))))</f>
        <v/>
      </c>
      <c r="AE103">
        <f>IF(G103&lt;33,0,IF(G103&gt;=80,5,IF(G103&gt;=70,4,IF(G103&gt;=60,3.5,IF(G103&gt;=50,3,IF(G103&gt;=40,2,IF(G103&gt;=33,1,0)))))))</f>
        <v/>
      </c>
      <c r="AF103">
        <f>IF(H103+I103&lt;66,0,IF((H103+I103)/2&gt;=80,5,IF((H103+I103)/2&gt;=70,4,IF((H103+I103)/2&gt;=60,3.5,IF((H103+I103)/2&gt;=50,3,IF((H103+I103)/2&gt;=40,2,IF((H103+I103)/2&gt;=33,1,0)))))))</f>
        <v/>
      </c>
      <c r="AG103">
        <f>IF(Y103,0,IF((J103+K103+L103+M103)/2&gt;=80,5,IF((J103+K103+L103+M103)/2&gt;=70,4,IF((J103+K103+L103+M103)/2&gt;=60,3.5,IF((J103+K103+L103+M103)/2&gt;=50,3,IF((J103+K103+L103+M103)/2&gt;=40,2,IF((J103+K103+L103+M103)/2&gt;=33,1,0)))))))</f>
        <v/>
      </c>
      <c r="AH103">
        <f>IF(Z103,0,IF(N103+O103&gt;=80,5,IF(N103+O103&gt;=70,4,IF(N103+O103&gt;=60,3.5,IF(N103+O103&gt;=50,3,IF(N103+O103&gt;=40,2,IF(N103+O103&gt;=33,1,0)))))))</f>
        <v/>
      </c>
      <c r="AI103">
        <f>IF(AA103,0,IF(P103+Q103&gt;=80,5,IF(P103+Q103&gt;=70,4,IF(P103+Q103&gt;=60,3.5,IF(P103+Q103&gt;=50,3,IF(P103+Q103&gt;=40,2,IF(P103+Q103&gt;=33,1,0)))))))</f>
        <v/>
      </c>
      <c r="AJ103">
        <f>IF(R103&lt;8.25,0,IF(R103*2&gt;=80,5,IF(R103*2&gt;=70,4,IF(R103*2&gt;=60,3.5,IF(R103*2&gt;=50,3,IF(R103*2&gt;=40,2,IF(R103*2&gt;=33,1,0)))))))</f>
        <v/>
      </c>
      <c r="AK103">
        <f>IF(S103&lt;33,0,IF(S103&gt;=80,5,IF(S103&gt;=70,4,IF(S103&gt;=60,3.5,IF(S103&gt;=50,3,IF(S103&gt;=40,2,IF(S103&gt;=33,1,0)))))))</f>
        <v/>
      </c>
      <c r="AL103">
        <f>(AC103+AD103+AE103+AF103+AG103+AH103+AI103+AJ103)/8</f>
        <v/>
      </c>
      <c r="AM103">
        <f>IF(AK103&gt;=2,(AK103-2)/8,0)</f>
        <v/>
      </c>
    </row>
    <row r="104">
      <c r="T104">
        <f>SUM(C104:R104)</f>
        <v/>
      </c>
      <c r="U104" s="6">
        <f>ROUND(T104/11.5,2)</f>
        <v/>
      </c>
      <c r="V104" s="7">
        <f>IF(B104="","",IF(AB104,0,ROUND(AL104,2)))</f>
        <v/>
      </c>
      <c r="W104" s="7">
        <f>IF(B104="","",IF(AB104,0,MIN(5,ROUND(AL104+AM104,2))))</f>
        <v/>
      </c>
      <c r="X104" s="8">
        <f>IF(B104="","",IF(W104&gt;=5,"A+",IF(W104&gt;=4,"A",IF(W104&gt;=3.5,"A-",IF(W104&gt;=3,"B",IF(W104&gt;=2,"C",IF(W104&gt;=1,"D","F")))))))</f>
        <v/>
      </c>
      <c r="Y104">
        <f>NOT(OR(AND(J104&gt;=10,K104&gt;=23,L104&gt;=10,M104&gt;=23),AND(J104+L104&gt;=20,K104+M104&gt;=46)))</f>
        <v/>
      </c>
      <c r="Z104">
        <f>OR(N104&lt;10,O104&lt;23)</f>
        <v/>
      </c>
      <c r="AA104">
        <f>OR(P104&lt;10,Q104&lt;23)</f>
        <v/>
      </c>
      <c r="AB104">
        <f>OR((C104+D104)&lt;66,(E104+F104)&lt;66,G104&lt;33,(H104+I104)&lt;66,Y104,Z104,AA104,R104&lt;8.25)</f>
        <v/>
      </c>
      <c r="AC104">
        <f>IF(C104+D104&lt;66,0,IF((C104+D104)/2&gt;=80,5,IF((C104+D104)/2&gt;=70,4,IF((C104+D104)/2&gt;=60,3.5,IF((C104+D104)/2&gt;=50,3,IF((C104+D104)/2&gt;=40,2,IF((C104+D104)/2&gt;=33,1,0)))))))</f>
        <v/>
      </c>
      <c r="AD104">
        <f>IF(E104+F104&lt;66,0,IF((E104+F104)/2&gt;=80,5,IF((E104+F104)/2&gt;=70,4,IF((E104+F104)/2&gt;=60,3.5,IF((E104+F104)/2&gt;=50,3,IF((E104+F104)/2&gt;=40,2,IF((E104+F104)/2&gt;=33,1,0)))))))</f>
        <v/>
      </c>
      <c r="AE104">
        <f>IF(G104&lt;33,0,IF(G104&gt;=80,5,IF(G104&gt;=70,4,IF(G104&gt;=60,3.5,IF(G104&gt;=50,3,IF(G104&gt;=40,2,IF(G104&gt;=33,1,0)))))))</f>
        <v/>
      </c>
      <c r="AF104">
        <f>IF(H104+I104&lt;66,0,IF((H104+I104)/2&gt;=80,5,IF((H104+I104)/2&gt;=70,4,IF((H104+I104)/2&gt;=60,3.5,IF((H104+I104)/2&gt;=50,3,IF((H104+I104)/2&gt;=40,2,IF((H104+I104)/2&gt;=33,1,0)))))))</f>
        <v/>
      </c>
      <c r="AG104">
        <f>IF(Y104,0,IF((J104+K104+L104+M104)/2&gt;=80,5,IF((J104+K104+L104+M104)/2&gt;=70,4,IF((J104+K104+L104+M104)/2&gt;=60,3.5,IF((J104+K104+L104+M104)/2&gt;=50,3,IF((J104+K104+L104+M104)/2&gt;=40,2,IF((J104+K104+L104+M104)/2&gt;=33,1,0)))))))</f>
        <v/>
      </c>
      <c r="AH104">
        <f>IF(Z104,0,IF(N104+O104&gt;=80,5,IF(N104+O104&gt;=70,4,IF(N104+O104&gt;=60,3.5,IF(N104+O104&gt;=50,3,IF(N104+O104&gt;=40,2,IF(N104+O104&gt;=33,1,0)))))))</f>
        <v/>
      </c>
      <c r="AI104">
        <f>IF(AA104,0,IF(P104+Q104&gt;=80,5,IF(P104+Q104&gt;=70,4,IF(P104+Q104&gt;=60,3.5,IF(P104+Q104&gt;=50,3,IF(P104+Q104&gt;=40,2,IF(P104+Q104&gt;=33,1,0)))))))</f>
        <v/>
      </c>
      <c r="AJ104">
        <f>IF(R104&lt;8.25,0,IF(R104*2&gt;=80,5,IF(R104*2&gt;=70,4,IF(R104*2&gt;=60,3.5,IF(R104*2&gt;=50,3,IF(R104*2&gt;=40,2,IF(R104*2&gt;=33,1,0)))))))</f>
        <v/>
      </c>
      <c r="AK104">
        <f>IF(S104&lt;33,0,IF(S104&gt;=80,5,IF(S104&gt;=70,4,IF(S104&gt;=60,3.5,IF(S104&gt;=50,3,IF(S104&gt;=40,2,IF(S104&gt;=33,1,0)))))))</f>
        <v/>
      </c>
      <c r="AL104">
        <f>(AC104+AD104+AE104+AF104+AG104+AH104+AI104+AJ104)/8</f>
        <v/>
      </c>
      <c r="AM104">
        <f>IF(AK104&gt;=2,(AK104-2)/8,0)</f>
        <v/>
      </c>
    </row>
    <row r="105">
      <c r="T105">
        <f>SUM(C105:R105)</f>
        <v/>
      </c>
      <c r="U105" s="6">
        <f>ROUND(T105/11.5,2)</f>
        <v/>
      </c>
      <c r="V105" s="7">
        <f>IF(B105="","",IF(AB105,0,ROUND(AL105,2)))</f>
        <v/>
      </c>
      <c r="W105" s="7">
        <f>IF(B105="","",IF(AB105,0,MIN(5,ROUND(AL105+AM105,2))))</f>
        <v/>
      </c>
      <c r="X105" s="8">
        <f>IF(B105="","",IF(W105&gt;=5,"A+",IF(W105&gt;=4,"A",IF(W105&gt;=3.5,"A-",IF(W105&gt;=3,"B",IF(W105&gt;=2,"C",IF(W105&gt;=1,"D","F")))))))</f>
        <v/>
      </c>
      <c r="Y105">
        <f>NOT(OR(AND(J105&gt;=10,K105&gt;=23,L105&gt;=10,M105&gt;=23),AND(J105+L105&gt;=20,K105+M105&gt;=46)))</f>
        <v/>
      </c>
      <c r="Z105">
        <f>OR(N105&lt;10,O105&lt;23)</f>
        <v/>
      </c>
      <c r="AA105">
        <f>OR(P105&lt;10,Q105&lt;23)</f>
        <v/>
      </c>
      <c r="AB105">
        <f>OR((C105+D105)&lt;66,(E105+F105)&lt;66,G105&lt;33,(H105+I105)&lt;66,Y105,Z105,AA105,R105&lt;8.25)</f>
        <v/>
      </c>
      <c r="AC105">
        <f>IF(C105+D105&lt;66,0,IF((C105+D105)/2&gt;=80,5,IF((C105+D105)/2&gt;=70,4,IF((C105+D105)/2&gt;=60,3.5,IF((C105+D105)/2&gt;=50,3,IF((C105+D105)/2&gt;=40,2,IF((C105+D105)/2&gt;=33,1,0)))))))</f>
        <v/>
      </c>
      <c r="AD105">
        <f>IF(E105+F105&lt;66,0,IF((E105+F105)/2&gt;=80,5,IF((E105+F105)/2&gt;=70,4,IF((E105+F105)/2&gt;=60,3.5,IF((E105+F105)/2&gt;=50,3,IF((E105+F105)/2&gt;=40,2,IF((E105+F105)/2&gt;=33,1,0)))))))</f>
        <v/>
      </c>
      <c r="AE105">
        <f>IF(G105&lt;33,0,IF(G105&gt;=80,5,IF(G105&gt;=70,4,IF(G105&gt;=60,3.5,IF(G105&gt;=50,3,IF(G105&gt;=40,2,IF(G105&gt;=33,1,0)))))))</f>
        <v/>
      </c>
      <c r="AF105">
        <f>IF(H105+I105&lt;66,0,IF((H105+I105)/2&gt;=80,5,IF((H105+I105)/2&gt;=70,4,IF((H105+I105)/2&gt;=60,3.5,IF((H105+I105)/2&gt;=50,3,IF((H105+I105)/2&gt;=40,2,IF((H105+I105)/2&gt;=33,1,0)))))))</f>
        <v/>
      </c>
      <c r="AG105">
        <f>IF(Y105,0,IF((J105+K105+L105+M105)/2&gt;=80,5,IF((J105+K105+L105+M105)/2&gt;=70,4,IF((J105+K105+L105+M105)/2&gt;=60,3.5,IF((J105+K105+L105+M105)/2&gt;=50,3,IF((J105+K105+L105+M105)/2&gt;=40,2,IF((J105+K105+L105+M105)/2&gt;=33,1,0)))))))</f>
        <v/>
      </c>
      <c r="AH105">
        <f>IF(Z105,0,IF(N105+O105&gt;=80,5,IF(N105+O105&gt;=70,4,IF(N105+O105&gt;=60,3.5,IF(N105+O105&gt;=50,3,IF(N105+O105&gt;=40,2,IF(N105+O105&gt;=33,1,0)))))))</f>
        <v/>
      </c>
      <c r="AI105">
        <f>IF(AA105,0,IF(P105+Q105&gt;=80,5,IF(P105+Q105&gt;=70,4,IF(P105+Q105&gt;=60,3.5,IF(P105+Q105&gt;=50,3,IF(P105+Q105&gt;=40,2,IF(P105+Q105&gt;=33,1,0)))))))</f>
        <v/>
      </c>
      <c r="AJ105">
        <f>IF(R105&lt;8.25,0,IF(R105*2&gt;=80,5,IF(R105*2&gt;=70,4,IF(R105*2&gt;=60,3.5,IF(R105*2&gt;=50,3,IF(R105*2&gt;=40,2,IF(R105*2&gt;=33,1,0)))))))</f>
        <v/>
      </c>
      <c r="AK105">
        <f>IF(S105&lt;33,0,IF(S105&gt;=80,5,IF(S105&gt;=70,4,IF(S105&gt;=60,3.5,IF(S105&gt;=50,3,IF(S105&gt;=40,2,IF(S105&gt;=33,1,0)))))))</f>
        <v/>
      </c>
      <c r="AL105">
        <f>(AC105+AD105+AE105+AF105+AG105+AH105+AI105+AJ105)/8</f>
        <v/>
      </c>
      <c r="AM105">
        <f>IF(AK105&gt;=2,(AK105-2)/8,0)</f>
        <v/>
      </c>
    </row>
    <row r="106">
      <c r="T106">
        <f>SUM(C106:R106)</f>
        <v/>
      </c>
      <c r="U106" s="6">
        <f>ROUND(T106/11.5,2)</f>
        <v/>
      </c>
      <c r="V106" s="7">
        <f>IF(B106="","",IF(AB106,0,ROUND(AL106,2)))</f>
        <v/>
      </c>
      <c r="W106" s="7">
        <f>IF(B106="","",IF(AB106,0,MIN(5,ROUND(AL106+AM106,2))))</f>
        <v/>
      </c>
      <c r="X106" s="8">
        <f>IF(B106="","",IF(W106&gt;=5,"A+",IF(W106&gt;=4,"A",IF(W106&gt;=3.5,"A-",IF(W106&gt;=3,"B",IF(W106&gt;=2,"C",IF(W106&gt;=1,"D","F")))))))</f>
        <v/>
      </c>
      <c r="Y106">
        <f>NOT(OR(AND(J106&gt;=10,K106&gt;=23,L106&gt;=10,M106&gt;=23),AND(J106+L106&gt;=20,K106+M106&gt;=46)))</f>
        <v/>
      </c>
      <c r="Z106">
        <f>OR(N106&lt;10,O106&lt;23)</f>
        <v/>
      </c>
      <c r="AA106">
        <f>OR(P106&lt;10,Q106&lt;23)</f>
        <v/>
      </c>
      <c r="AB106">
        <f>OR((C106+D106)&lt;66,(E106+F106)&lt;66,G106&lt;33,(H106+I106)&lt;66,Y106,Z106,AA106,R106&lt;8.25)</f>
        <v/>
      </c>
      <c r="AC106">
        <f>IF(C106+D106&lt;66,0,IF((C106+D106)/2&gt;=80,5,IF((C106+D106)/2&gt;=70,4,IF((C106+D106)/2&gt;=60,3.5,IF((C106+D106)/2&gt;=50,3,IF((C106+D106)/2&gt;=40,2,IF((C106+D106)/2&gt;=33,1,0)))))))</f>
        <v/>
      </c>
      <c r="AD106">
        <f>IF(E106+F106&lt;66,0,IF((E106+F106)/2&gt;=80,5,IF((E106+F106)/2&gt;=70,4,IF((E106+F106)/2&gt;=60,3.5,IF((E106+F106)/2&gt;=50,3,IF((E106+F106)/2&gt;=40,2,IF((E106+F106)/2&gt;=33,1,0)))))))</f>
        <v/>
      </c>
      <c r="AE106">
        <f>IF(G106&lt;33,0,IF(G106&gt;=80,5,IF(G106&gt;=70,4,IF(G106&gt;=60,3.5,IF(G106&gt;=50,3,IF(G106&gt;=40,2,IF(G106&gt;=33,1,0)))))))</f>
        <v/>
      </c>
      <c r="AF106">
        <f>IF(H106+I106&lt;66,0,IF((H106+I106)/2&gt;=80,5,IF((H106+I106)/2&gt;=70,4,IF((H106+I106)/2&gt;=60,3.5,IF((H106+I106)/2&gt;=50,3,IF((H106+I106)/2&gt;=40,2,IF((H106+I106)/2&gt;=33,1,0)))))))</f>
        <v/>
      </c>
      <c r="AG106">
        <f>IF(Y106,0,IF((J106+K106+L106+M106)/2&gt;=80,5,IF((J106+K106+L106+M106)/2&gt;=70,4,IF((J106+K106+L106+M106)/2&gt;=60,3.5,IF((J106+K106+L106+M106)/2&gt;=50,3,IF((J106+K106+L106+M106)/2&gt;=40,2,IF((J106+K106+L106+M106)/2&gt;=33,1,0)))))))</f>
        <v/>
      </c>
      <c r="AH106">
        <f>IF(Z106,0,IF(N106+O106&gt;=80,5,IF(N106+O106&gt;=70,4,IF(N106+O106&gt;=60,3.5,IF(N106+O106&gt;=50,3,IF(N106+O106&gt;=40,2,IF(N106+O106&gt;=33,1,0)))))))</f>
        <v/>
      </c>
      <c r="AI106">
        <f>IF(AA106,0,IF(P106+Q106&gt;=80,5,IF(P106+Q106&gt;=70,4,IF(P106+Q106&gt;=60,3.5,IF(P106+Q106&gt;=50,3,IF(P106+Q106&gt;=40,2,IF(P106+Q106&gt;=33,1,0)))))))</f>
        <v/>
      </c>
      <c r="AJ106">
        <f>IF(R106&lt;8.25,0,IF(R106*2&gt;=80,5,IF(R106*2&gt;=70,4,IF(R106*2&gt;=60,3.5,IF(R106*2&gt;=50,3,IF(R106*2&gt;=40,2,IF(R106*2&gt;=33,1,0)))))))</f>
        <v/>
      </c>
      <c r="AK106">
        <f>IF(S106&lt;33,0,IF(S106&gt;=80,5,IF(S106&gt;=70,4,IF(S106&gt;=60,3.5,IF(S106&gt;=50,3,IF(S106&gt;=40,2,IF(S106&gt;=33,1,0)))))))</f>
        <v/>
      </c>
      <c r="AL106">
        <f>(AC106+AD106+AE106+AF106+AG106+AH106+AI106+AJ106)/8</f>
        <v/>
      </c>
      <c r="AM106">
        <f>IF(AK106&gt;=2,(AK106-2)/8,0)</f>
        <v/>
      </c>
    </row>
    <row r="107">
      <c r="T107">
        <f>SUM(C107:R107)</f>
        <v/>
      </c>
      <c r="U107" s="6">
        <f>ROUND(T107/11.5,2)</f>
        <v/>
      </c>
      <c r="V107" s="7">
        <f>IF(B107="","",IF(AB107,0,ROUND(AL107,2)))</f>
        <v/>
      </c>
      <c r="W107" s="7">
        <f>IF(B107="","",IF(AB107,0,MIN(5,ROUND(AL107+AM107,2))))</f>
        <v/>
      </c>
      <c r="X107" s="8">
        <f>IF(B107="","",IF(W107&gt;=5,"A+",IF(W107&gt;=4,"A",IF(W107&gt;=3.5,"A-",IF(W107&gt;=3,"B",IF(W107&gt;=2,"C",IF(W107&gt;=1,"D","F")))))))</f>
        <v/>
      </c>
      <c r="Y107">
        <f>NOT(OR(AND(J107&gt;=10,K107&gt;=23,L107&gt;=10,M107&gt;=23),AND(J107+L107&gt;=20,K107+M107&gt;=46)))</f>
        <v/>
      </c>
      <c r="Z107">
        <f>OR(N107&lt;10,O107&lt;23)</f>
        <v/>
      </c>
      <c r="AA107">
        <f>OR(P107&lt;10,Q107&lt;23)</f>
        <v/>
      </c>
      <c r="AB107">
        <f>OR((C107+D107)&lt;66,(E107+F107)&lt;66,G107&lt;33,(H107+I107)&lt;66,Y107,Z107,AA107,R107&lt;8.25)</f>
        <v/>
      </c>
      <c r="AC107">
        <f>IF(C107+D107&lt;66,0,IF((C107+D107)/2&gt;=80,5,IF((C107+D107)/2&gt;=70,4,IF((C107+D107)/2&gt;=60,3.5,IF((C107+D107)/2&gt;=50,3,IF((C107+D107)/2&gt;=40,2,IF((C107+D107)/2&gt;=33,1,0)))))))</f>
        <v/>
      </c>
      <c r="AD107">
        <f>IF(E107+F107&lt;66,0,IF((E107+F107)/2&gt;=80,5,IF((E107+F107)/2&gt;=70,4,IF((E107+F107)/2&gt;=60,3.5,IF((E107+F107)/2&gt;=50,3,IF((E107+F107)/2&gt;=40,2,IF((E107+F107)/2&gt;=33,1,0)))))))</f>
        <v/>
      </c>
      <c r="AE107">
        <f>IF(G107&lt;33,0,IF(G107&gt;=80,5,IF(G107&gt;=70,4,IF(G107&gt;=60,3.5,IF(G107&gt;=50,3,IF(G107&gt;=40,2,IF(G107&gt;=33,1,0)))))))</f>
        <v/>
      </c>
      <c r="AF107">
        <f>IF(H107+I107&lt;66,0,IF((H107+I107)/2&gt;=80,5,IF((H107+I107)/2&gt;=70,4,IF((H107+I107)/2&gt;=60,3.5,IF((H107+I107)/2&gt;=50,3,IF((H107+I107)/2&gt;=40,2,IF((H107+I107)/2&gt;=33,1,0)))))))</f>
        <v/>
      </c>
      <c r="AG107">
        <f>IF(Y107,0,IF((J107+K107+L107+M107)/2&gt;=80,5,IF((J107+K107+L107+M107)/2&gt;=70,4,IF((J107+K107+L107+M107)/2&gt;=60,3.5,IF((J107+K107+L107+M107)/2&gt;=50,3,IF((J107+K107+L107+M107)/2&gt;=40,2,IF((J107+K107+L107+M107)/2&gt;=33,1,0)))))))</f>
        <v/>
      </c>
      <c r="AH107">
        <f>IF(Z107,0,IF(N107+O107&gt;=80,5,IF(N107+O107&gt;=70,4,IF(N107+O107&gt;=60,3.5,IF(N107+O107&gt;=50,3,IF(N107+O107&gt;=40,2,IF(N107+O107&gt;=33,1,0)))))))</f>
        <v/>
      </c>
      <c r="AI107">
        <f>IF(AA107,0,IF(P107+Q107&gt;=80,5,IF(P107+Q107&gt;=70,4,IF(P107+Q107&gt;=60,3.5,IF(P107+Q107&gt;=50,3,IF(P107+Q107&gt;=40,2,IF(P107+Q107&gt;=33,1,0)))))))</f>
        <v/>
      </c>
      <c r="AJ107">
        <f>IF(R107&lt;8.25,0,IF(R107*2&gt;=80,5,IF(R107*2&gt;=70,4,IF(R107*2&gt;=60,3.5,IF(R107*2&gt;=50,3,IF(R107*2&gt;=40,2,IF(R107*2&gt;=33,1,0)))))))</f>
        <v/>
      </c>
      <c r="AK107">
        <f>IF(S107&lt;33,0,IF(S107&gt;=80,5,IF(S107&gt;=70,4,IF(S107&gt;=60,3.5,IF(S107&gt;=50,3,IF(S107&gt;=40,2,IF(S107&gt;=33,1,0)))))))</f>
        <v/>
      </c>
      <c r="AL107">
        <f>(AC107+AD107+AE107+AF107+AG107+AH107+AI107+AJ107)/8</f>
        <v/>
      </c>
      <c r="AM107">
        <f>IF(AK107&gt;=2,(AK107-2)/8,0)</f>
        <v/>
      </c>
    </row>
    <row r="108">
      <c r="T108">
        <f>SUM(C108:R108)</f>
        <v/>
      </c>
      <c r="U108" s="6">
        <f>ROUND(T108/11.5,2)</f>
        <v/>
      </c>
      <c r="V108" s="7">
        <f>IF(B108="","",IF(AB108,0,ROUND(AL108,2)))</f>
        <v/>
      </c>
      <c r="W108" s="7">
        <f>IF(B108="","",IF(AB108,0,MIN(5,ROUND(AL108+AM108,2))))</f>
        <v/>
      </c>
      <c r="X108" s="8">
        <f>IF(B108="","",IF(W108&gt;=5,"A+",IF(W108&gt;=4,"A",IF(W108&gt;=3.5,"A-",IF(W108&gt;=3,"B",IF(W108&gt;=2,"C",IF(W108&gt;=1,"D","F")))))))</f>
        <v/>
      </c>
      <c r="Y108">
        <f>NOT(OR(AND(J108&gt;=10,K108&gt;=23,L108&gt;=10,M108&gt;=23),AND(J108+L108&gt;=20,K108+M108&gt;=46)))</f>
        <v/>
      </c>
      <c r="Z108">
        <f>OR(N108&lt;10,O108&lt;23)</f>
        <v/>
      </c>
      <c r="AA108">
        <f>OR(P108&lt;10,Q108&lt;23)</f>
        <v/>
      </c>
      <c r="AB108">
        <f>OR((C108+D108)&lt;66,(E108+F108)&lt;66,G108&lt;33,(H108+I108)&lt;66,Y108,Z108,AA108,R108&lt;8.25)</f>
        <v/>
      </c>
      <c r="AC108">
        <f>IF(C108+D108&lt;66,0,IF((C108+D108)/2&gt;=80,5,IF((C108+D108)/2&gt;=70,4,IF((C108+D108)/2&gt;=60,3.5,IF((C108+D108)/2&gt;=50,3,IF((C108+D108)/2&gt;=40,2,IF((C108+D108)/2&gt;=33,1,0)))))))</f>
        <v/>
      </c>
      <c r="AD108">
        <f>IF(E108+F108&lt;66,0,IF((E108+F108)/2&gt;=80,5,IF((E108+F108)/2&gt;=70,4,IF((E108+F108)/2&gt;=60,3.5,IF((E108+F108)/2&gt;=50,3,IF((E108+F108)/2&gt;=40,2,IF((E108+F108)/2&gt;=33,1,0)))))))</f>
        <v/>
      </c>
      <c r="AE108">
        <f>IF(G108&lt;33,0,IF(G108&gt;=80,5,IF(G108&gt;=70,4,IF(G108&gt;=60,3.5,IF(G108&gt;=50,3,IF(G108&gt;=40,2,IF(G108&gt;=33,1,0)))))))</f>
        <v/>
      </c>
      <c r="AF108">
        <f>IF(H108+I108&lt;66,0,IF((H108+I108)/2&gt;=80,5,IF((H108+I108)/2&gt;=70,4,IF((H108+I108)/2&gt;=60,3.5,IF((H108+I108)/2&gt;=50,3,IF((H108+I108)/2&gt;=40,2,IF((H108+I108)/2&gt;=33,1,0)))))))</f>
        <v/>
      </c>
      <c r="AG108">
        <f>IF(Y108,0,IF((J108+K108+L108+M108)/2&gt;=80,5,IF((J108+K108+L108+M108)/2&gt;=70,4,IF((J108+K108+L108+M108)/2&gt;=60,3.5,IF((J108+K108+L108+M108)/2&gt;=50,3,IF((J108+K108+L108+M108)/2&gt;=40,2,IF((J108+K108+L108+M108)/2&gt;=33,1,0)))))))</f>
        <v/>
      </c>
      <c r="AH108">
        <f>IF(Z108,0,IF(N108+O108&gt;=80,5,IF(N108+O108&gt;=70,4,IF(N108+O108&gt;=60,3.5,IF(N108+O108&gt;=50,3,IF(N108+O108&gt;=40,2,IF(N108+O108&gt;=33,1,0)))))))</f>
        <v/>
      </c>
      <c r="AI108">
        <f>IF(AA108,0,IF(P108+Q108&gt;=80,5,IF(P108+Q108&gt;=70,4,IF(P108+Q108&gt;=60,3.5,IF(P108+Q108&gt;=50,3,IF(P108+Q108&gt;=40,2,IF(P108+Q108&gt;=33,1,0)))))))</f>
        <v/>
      </c>
      <c r="AJ108">
        <f>IF(R108&lt;8.25,0,IF(R108*2&gt;=80,5,IF(R108*2&gt;=70,4,IF(R108*2&gt;=60,3.5,IF(R108*2&gt;=50,3,IF(R108*2&gt;=40,2,IF(R108*2&gt;=33,1,0)))))))</f>
        <v/>
      </c>
      <c r="AK108">
        <f>IF(S108&lt;33,0,IF(S108&gt;=80,5,IF(S108&gt;=70,4,IF(S108&gt;=60,3.5,IF(S108&gt;=50,3,IF(S108&gt;=40,2,IF(S108&gt;=33,1,0)))))))</f>
        <v/>
      </c>
      <c r="AL108">
        <f>(AC108+AD108+AE108+AF108+AG108+AH108+AI108+AJ108)/8</f>
        <v/>
      </c>
      <c r="AM108">
        <f>IF(AK108&gt;=2,(AK108-2)/8,0)</f>
        <v/>
      </c>
    </row>
    <row r="109">
      <c r="T109">
        <f>SUM(C109:R109)</f>
        <v/>
      </c>
      <c r="U109" s="6">
        <f>ROUND(T109/11.5,2)</f>
        <v/>
      </c>
      <c r="V109" s="7">
        <f>IF(B109="","",IF(AB109,0,ROUND(AL109,2)))</f>
        <v/>
      </c>
      <c r="W109" s="7">
        <f>IF(B109="","",IF(AB109,0,MIN(5,ROUND(AL109+AM109,2))))</f>
        <v/>
      </c>
      <c r="X109" s="8">
        <f>IF(B109="","",IF(W109&gt;=5,"A+",IF(W109&gt;=4,"A",IF(W109&gt;=3.5,"A-",IF(W109&gt;=3,"B",IF(W109&gt;=2,"C",IF(W109&gt;=1,"D","F")))))))</f>
        <v/>
      </c>
      <c r="Y109">
        <f>NOT(OR(AND(J109&gt;=10,K109&gt;=23,L109&gt;=10,M109&gt;=23),AND(J109+L109&gt;=20,K109+M109&gt;=46)))</f>
        <v/>
      </c>
      <c r="Z109">
        <f>OR(N109&lt;10,O109&lt;23)</f>
        <v/>
      </c>
      <c r="AA109">
        <f>OR(P109&lt;10,Q109&lt;23)</f>
        <v/>
      </c>
      <c r="AB109">
        <f>OR((C109+D109)&lt;66,(E109+F109)&lt;66,G109&lt;33,(H109+I109)&lt;66,Y109,Z109,AA109,R109&lt;8.25)</f>
        <v/>
      </c>
      <c r="AC109">
        <f>IF(C109+D109&lt;66,0,IF((C109+D109)/2&gt;=80,5,IF((C109+D109)/2&gt;=70,4,IF((C109+D109)/2&gt;=60,3.5,IF((C109+D109)/2&gt;=50,3,IF((C109+D109)/2&gt;=40,2,IF((C109+D109)/2&gt;=33,1,0)))))))</f>
        <v/>
      </c>
      <c r="AD109">
        <f>IF(E109+F109&lt;66,0,IF((E109+F109)/2&gt;=80,5,IF((E109+F109)/2&gt;=70,4,IF((E109+F109)/2&gt;=60,3.5,IF((E109+F109)/2&gt;=50,3,IF((E109+F109)/2&gt;=40,2,IF((E109+F109)/2&gt;=33,1,0)))))))</f>
        <v/>
      </c>
      <c r="AE109">
        <f>IF(G109&lt;33,0,IF(G109&gt;=80,5,IF(G109&gt;=70,4,IF(G109&gt;=60,3.5,IF(G109&gt;=50,3,IF(G109&gt;=40,2,IF(G109&gt;=33,1,0)))))))</f>
        <v/>
      </c>
      <c r="AF109">
        <f>IF(H109+I109&lt;66,0,IF((H109+I109)/2&gt;=80,5,IF((H109+I109)/2&gt;=70,4,IF((H109+I109)/2&gt;=60,3.5,IF((H109+I109)/2&gt;=50,3,IF((H109+I109)/2&gt;=40,2,IF((H109+I109)/2&gt;=33,1,0)))))))</f>
        <v/>
      </c>
      <c r="AG109">
        <f>IF(Y109,0,IF((J109+K109+L109+M109)/2&gt;=80,5,IF((J109+K109+L109+M109)/2&gt;=70,4,IF((J109+K109+L109+M109)/2&gt;=60,3.5,IF((J109+K109+L109+M109)/2&gt;=50,3,IF((J109+K109+L109+M109)/2&gt;=40,2,IF((J109+K109+L109+M109)/2&gt;=33,1,0)))))))</f>
        <v/>
      </c>
      <c r="AH109">
        <f>IF(Z109,0,IF(N109+O109&gt;=80,5,IF(N109+O109&gt;=70,4,IF(N109+O109&gt;=60,3.5,IF(N109+O109&gt;=50,3,IF(N109+O109&gt;=40,2,IF(N109+O109&gt;=33,1,0)))))))</f>
        <v/>
      </c>
      <c r="AI109">
        <f>IF(AA109,0,IF(P109+Q109&gt;=80,5,IF(P109+Q109&gt;=70,4,IF(P109+Q109&gt;=60,3.5,IF(P109+Q109&gt;=50,3,IF(P109+Q109&gt;=40,2,IF(P109+Q109&gt;=33,1,0)))))))</f>
        <v/>
      </c>
      <c r="AJ109">
        <f>IF(R109&lt;8.25,0,IF(R109*2&gt;=80,5,IF(R109*2&gt;=70,4,IF(R109*2&gt;=60,3.5,IF(R109*2&gt;=50,3,IF(R109*2&gt;=40,2,IF(R109*2&gt;=33,1,0)))))))</f>
        <v/>
      </c>
      <c r="AK109">
        <f>IF(S109&lt;33,0,IF(S109&gt;=80,5,IF(S109&gt;=70,4,IF(S109&gt;=60,3.5,IF(S109&gt;=50,3,IF(S109&gt;=40,2,IF(S109&gt;=33,1,0)))))))</f>
        <v/>
      </c>
      <c r="AL109">
        <f>(AC109+AD109+AE109+AF109+AG109+AH109+AI109+AJ109)/8</f>
        <v/>
      </c>
      <c r="AM109">
        <f>IF(AK109&gt;=2,(AK109-2)/8,0)</f>
        <v/>
      </c>
    </row>
    <row r="110">
      <c r="T110">
        <f>SUM(C110:R110)</f>
        <v/>
      </c>
      <c r="U110" s="6">
        <f>ROUND(T110/11.5,2)</f>
        <v/>
      </c>
      <c r="V110" s="7">
        <f>IF(B110="","",IF(AB110,0,ROUND(AL110,2)))</f>
        <v/>
      </c>
      <c r="W110" s="7">
        <f>IF(B110="","",IF(AB110,0,MIN(5,ROUND(AL110+AM110,2))))</f>
        <v/>
      </c>
      <c r="X110" s="8">
        <f>IF(B110="","",IF(W110&gt;=5,"A+",IF(W110&gt;=4,"A",IF(W110&gt;=3.5,"A-",IF(W110&gt;=3,"B",IF(W110&gt;=2,"C",IF(W110&gt;=1,"D","F")))))))</f>
        <v/>
      </c>
      <c r="Y110">
        <f>NOT(OR(AND(J110&gt;=10,K110&gt;=23,L110&gt;=10,M110&gt;=23),AND(J110+L110&gt;=20,K110+M110&gt;=46)))</f>
        <v/>
      </c>
      <c r="Z110">
        <f>OR(N110&lt;10,O110&lt;23)</f>
        <v/>
      </c>
      <c r="AA110">
        <f>OR(P110&lt;10,Q110&lt;23)</f>
        <v/>
      </c>
      <c r="AB110">
        <f>OR((C110+D110)&lt;66,(E110+F110)&lt;66,G110&lt;33,(H110+I110)&lt;66,Y110,Z110,AA110,R110&lt;8.25)</f>
        <v/>
      </c>
      <c r="AC110">
        <f>IF(C110+D110&lt;66,0,IF((C110+D110)/2&gt;=80,5,IF((C110+D110)/2&gt;=70,4,IF((C110+D110)/2&gt;=60,3.5,IF((C110+D110)/2&gt;=50,3,IF((C110+D110)/2&gt;=40,2,IF((C110+D110)/2&gt;=33,1,0)))))))</f>
        <v/>
      </c>
      <c r="AD110">
        <f>IF(E110+F110&lt;66,0,IF((E110+F110)/2&gt;=80,5,IF((E110+F110)/2&gt;=70,4,IF((E110+F110)/2&gt;=60,3.5,IF((E110+F110)/2&gt;=50,3,IF((E110+F110)/2&gt;=40,2,IF((E110+F110)/2&gt;=33,1,0)))))))</f>
        <v/>
      </c>
      <c r="AE110">
        <f>IF(G110&lt;33,0,IF(G110&gt;=80,5,IF(G110&gt;=70,4,IF(G110&gt;=60,3.5,IF(G110&gt;=50,3,IF(G110&gt;=40,2,IF(G110&gt;=33,1,0)))))))</f>
        <v/>
      </c>
      <c r="AF110">
        <f>IF(H110+I110&lt;66,0,IF((H110+I110)/2&gt;=80,5,IF((H110+I110)/2&gt;=70,4,IF((H110+I110)/2&gt;=60,3.5,IF((H110+I110)/2&gt;=50,3,IF((H110+I110)/2&gt;=40,2,IF((H110+I110)/2&gt;=33,1,0)))))))</f>
        <v/>
      </c>
      <c r="AG110">
        <f>IF(Y110,0,IF((J110+K110+L110+M110)/2&gt;=80,5,IF((J110+K110+L110+M110)/2&gt;=70,4,IF((J110+K110+L110+M110)/2&gt;=60,3.5,IF((J110+K110+L110+M110)/2&gt;=50,3,IF((J110+K110+L110+M110)/2&gt;=40,2,IF((J110+K110+L110+M110)/2&gt;=33,1,0)))))))</f>
        <v/>
      </c>
      <c r="AH110">
        <f>IF(Z110,0,IF(N110+O110&gt;=80,5,IF(N110+O110&gt;=70,4,IF(N110+O110&gt;=60,3.5,IF(N110+O110&gt;=50,3,IF(N110+O110&gt;=40,2,IF(N110+O110&gt;=33,1,0)))))))</f>
        <v/>
      </c>
      <c r="AI110">
        <f>IF(AA110,0,IF(P110+Q110&gt;=80,5,IF(P110+Q110&gt;=70,4,IF(P110+Q110&gt;=60,3.5,IF(P110+Q110&gt;=50,3,IF(P110+Q110&gt;=40,2,IF(P110+Q110&gt;=33,1,0)))))))</f>
        <v/>
      </c>
      <c r="AJ110">
        <f>IF(R110&lt;8.25,0,IF(R110*2&gt;=80,5,IF(R110*2&gt;=70,4,IF(R110*2&gt;=60,3.5,IF(R110*2&gt;=50,3,IF(R110*2&gt;=40,2,IF(R110*2&gt;=33,1,0)))))))</f>
        <v/>
      </c>
      <c r="AK110">
        <f>IF(S110&lt;33,0,IF(S110&gt;=80,5,IF(S110&gt;=70,4,IF(S110&gt;=60,3.5,IF(S110&gt;=50,3,IF(S110&gt;=40,2,IF(S110&gt;=33,1,0)))))))</f>
        <v/>
      </c>
      <c r="AL110">
        <f>(AC110+AD110+AE110+AF110+AG110+AH110+AI110+AJ110)/8</f>
        <v/>
      </c>
      <c r="AM110">
        <f>IF(AK110&gt;=2,(AK110-2)/8,0)</f>
        <v/>
      </c>
    </row>
    <row r="111">
      <c r="T111">
        <f>SUM(C111:R111)</f>
        <v/>
      </c>
      <c r="U111" s="6">
        <f>ROUND(T111/11.5,2)</f>
        <v/>
      </c>
      <c r="V111" s="7">
        <f>IF(B111="","",IF(AB111,0,ROUND(AL111,2)))</f>
        <v/>
      </c>
      <c r="W111" s="7">
        <f>IF(B111="","",IF(AB111,0,MIN(5,ROUND(AL111+AM111,2))))</f>
        <v/>
      </c>
      <c r="X111" s="8">
        <f>IF(B111="","",IF(W111&gt;=5,"A+",IF(W111&gt;=4,"A",IF(W111&gt;=3.5,"A-",IF(W111&gt;=3,"B",IF(W111&gt;=2,"C",IF(W111&gt;=1,"D","F")))))))</f>
        <v/>
      </c>
      <c r="Y111">
        <f>NOT(OR(AND(J111&gt;=10,K111&gt;=23,L111&gt;=10,M111&gt;=23),AND(J111+L111&gt;=20,K111+M111&gt;=46)))</f>
        <v/>
      </c>
      <c r="Z111">
        <f>OR(N111&lt;10,O111&lt;23)</f>
        <v/>
      </c>
      <c r="AA111">
        <f>OR(P111&lt;10,Q111&lt;23)</f>
        <v/>
      </c>
      <c r="AB111">
        <f>OR((C111+D111)&lt;66,(E111+F111)&lt;66,G111&lt;33,(H111+I111)&lt;66,Y111,Z111,AA111,R111&lt;8.25)</f>
        <v/>
      </c>
      <c r="AC111">
        <f>IF(C111+D111&lt;66,0,IF((C111+D111)/2&gt;=80,5,IF((C111+D111)/2&gt;=70,4,IF((C111+D111)/2&gt;=60,3.5,IF((C111+D111)/2&gt;=50,3,IF((C111+D111)/2&gt;=40,2,IF((C111+D111)/2&gt;=33,1,0)))))))</f>
        <v/>
      </c>
      <c r="AD111">
        <f>IF(E111+F111&lt;66,0,IF((E111+F111)/2&gt;=80,5,IF((E111+F111)/2&gt;=70,4,IF((E111+F111)/2&gt;=60,3.5,IF((E111+F111)/2&gt;=50,3,IF((E111+F111)/2&gt;=40,2,IF((E111+F111)/2&gt;=33,1,0)))))))</f>
        <v/>
      </c>
      <c r="AE111">
        <f>IF(G111&lt;33,0,IF(G111&gt;=80,5,IF(G111&gt;=70,4,IF(G111&gt;=60,3.5,IF(G111&gt;=50,3,IF(G111&gt;=40,2,IF(G111&gt;=33,1,0)))))))</f>
        <v/>
      </c>
      <c r="AF111">
        <f>IF(H111+I111&lt;66,0,IF((H111+I111)/2&gt;=80,5,IF((H111+I111)/2&gt;=70,4,IF((H111+I111)/2&gt;=60,3.5,IF((H111+I111)/2&gt;=50,3,IF((H111+I111)/2&gt;=40,2,IF((H111+I111)/2&gt;=33,1,0)))))))</f>
        <v/>
      </c>
      <c r="AG111">
        <f>IF(Y111,0,IF((J111+K111+L111+M111)/2&gt;=80,5,IF((J111+K111+L111+M111)/2&gt;=70,4,IF((J111+K111+L111+M111)/2&gt;=60,3.5,IF((J111+K111+L111+M111)/2&gt;=50,3,IF((J111+K111+L111+M111)/2&gt;=40,2,IF((J111+K111+L111+M111)/2&gt;=33,1,0)))))))</f>
        <v/>
      </c>
      <c r="AH111">
        <f>IF(Z111,0,IF(N111+O111&gt;=80,5,IF(N111+O111&gt;=70,4,IF(N111+O111&gt;=60,3.5,IF(N111+O111&gt;=50,3,IF(N111+O111&gt;=40,2,IF(N111+O111&gt;=33,1,0)))))))</f>
        <v/>
      </c>
      <c r="AI111">
        <f>IF(AA111,0,IF(P111+Q111&gt;=80,5,IF(P111+Q111&gt;=70,4,IF(P111+Q111&gt;=60,3.5,IF(P111+Q111&gt;=50,3,IF(P111+Q111&gt;=40,2,IF(P111+Q111&gt;=33,1,0)))))))</f>
        <v/>
      </c>
      <c r="AJ111">
        <f>IF(R111&lt;8.25,0,IF(R111*2&gt;=80,5,IF(R111*2&gt;=70,4,IF(R111*2&gt;=60,3.5,IF(R111*2&gt;=50,3,IF(R111*2&gt;=40,2,IF(R111*2&gt;=33,1,0)))))))</f>
        <v/>
      </c>
      <c r="AK111">
        <f>IF(S111&lt;33,0,IF(S111&gt;=80,5,IF(S111&gt;=70,4,IF(S111&gt;=60,3.5,IF(S111&gt;=50,3,IF(S111&gt;=40,2,IF(S111&gt;=33,1,0)))))))</f>
        <v/>
      </c>
      <c r="AL111">
        <f>(AC111+AD111+AE111+AF111+AG111+AH111+AI111+AJ111)/8</f>
        <v/>
      </c>
      <c r="AM111">
        <f>IF(AK111&gt;=2,(AK111-2)/8,0)</f>
        <v/>
      </c>
    </row>
    <row r="112">
      <c r="T112">
        <f>SUM(C112:R112)</f>
        <v/>
      </c>
      <c r="U112" s="6">
        <f>ROUND(T112/11.5,2)</f>
        <v/>
      </c>
      <c r="V112" s="7">
        <f>IF(B112="","",IF(AB112,0,ROUND(AL112,2)))</f>
        <v/>
      </c>
      <c r="W112" s="7">
        <f>IF(B112="","",IF(AB112,0,MIN(5,ROUND(AL112+AM112,2))))</f>
        <v/>
      </c>
      <c r="X112" s="8">
        <f>IF(B112="","",IF(W112&gt;=5,"A+",IF(W112&gt;=4,"A",IF(W112&gt;=3.5,"A-",IF(W112&gt;=3,"B",IF(W112&gt;=2,"C",IF(W112&gt;=1,"D","F")))))))</f>
        <v/>
      </c>
      <c r="Y112">
        <f>NOT(OR(AND(J112&gt;=10,K112&gt;=23,L112&gt;=10,M112&gt;=23),AND(J112+L112&gt;=20,K112+M112&gt;=46)))</f>
        <v/>
      </c>
      <c r="Z112">
        <f>OR(N112&lt;10,O112&lt;23)</f>
        <v/>
      </c>
      <c r="AA112">
        <f>OR(P112&lt;10,Q112&lt;23)</f>
        <v/>
      </c>
      <c r="AB112">
        <f>OR((C112+D112)&lt;66,(E112+F112)&lt;66,G112&lt;33,(H112+I112)&lt;66,Y112,Z112,AA112,R112&lt;8.25)</f>
        <v/>
      </c>
      <c r="AC112">
        <f>IF(C112+D112&lt;66,0,IF((C112+D112)/2&gt;=80,5,IF((C112+D112)/2&gt;=70,4,IF((C112+D112)/2&gt;=60,3.5,IF((C112+D112)/2&gt;=50,3,IF((C112+D112)/2&gt;=40,2,IF((C112+D112)/2&gt;=33,1,0)))))))</f>
        <v/>
      </c>
      <c r="AD112">
        <f>IF(E112+F112&lt;66,0,IF((E112+F112)/2&gt;=80,5,IF((E112+F112)/2&gt;=70,4,IF((E112+F112)/2&gt;=60,3.5,IF((E112+F112)/2&gt;=50,3,IF((E112+F112)/2&gt;=40,2,IF((E112+F112)/2&gt;=33,1,0)))))))</f>
        <v/>
      </c>
      <c r="AE112">
        <f>IF(G112&lt;33,0,IF(G112&gt;=80,5,IF(G112&gt;=70,4,IF(G112&gt;=60,3.5,IF(G112&gt;=50,3,IF(G112&gt;=40,2,IF(G112&gt;=33,1,0)))))))</f>
        <v/>
      </c>
      <c r="AF112">
        <f>IF(H112+I112&lt;66,0,IF((H112+I112)/2&gt;=80,5,IF((H112+I112)/2&gt;=70,4,IF((H112+I112)/2&gt;=60,3.5,IF((H112+I112)/2&gt;=50,3,IF((H112+I112)/2&gt;=40,2,IF((H112+I112)/2&gt;=33,1,0)))))))</f>
        <v/>
      </c>
      <c r="AG112">
        <f>IF(Y112,0,IF((J112+K112+L112+M112)/2&gt;=80,5,IF((J112+K112+L112+M112)/2&gt;=70,4,IF((J112+K112+L112+M112)/2&gt;=60,3.5,IF((J112+K112+L112+M112)/2&gt;=50,3,IF((J112+K112+L112+M112)/2&gt;=40,2,IF((J112+K112+L112+M112)/2&gt;=33,1,0)))))))</f>
        <v/>
      </c>
      <c r="AH112">
        <f>IF(Z112,0,IF(N112+O112&gt;=80,5,IF(N112+O112&gt;=70,4,IF(N112+O112&gt;=60,3.5,IF(N112+O112&gt;=50,3,IF(N112+O112&gt;=40,2,IF(N112+O112&gt;=33,1,0)))))))</f>
        <v/>
      </c>
      <c r="AI112">
        <f>IF(AA112,0,IF(P112+Q112&gt;=80,5,IF(P112+Q112&gt;=70,4,IF(P112+Q112&gt;=60,3.5,IF(P112+Q112&gt;=50,3,IF(P112+Q112&gt;=40,2,IF(P112+Q112&gt;=33,1,0)))))))</f>
        <v/>
      </c>
      <c r="AJ112">
        <f>IF(R112&lt;8.25,0,IF(R112*2&gt;=80,5,IF(R112*2&gt;=70,4,IF(R112*2&gt;=60,3.5,IF(R112*2&gt;=50,3,IF(R112*2&gt;=40,2,IF(R112*2&gt;=33,1,0)))))))</f>
        <v/>
      </c>
      <c r="AK112">
        <f>IF(S112&lt;33,0,IF(S112&gt;=80,5,IF(S112&gt;=70,4,IF(S112&gt;=60,3.5,IF(S112&gt;=50,3,IF(S112&gt;=40,2,IF(S112&gt;=33,1,0)))))))</f>
        <v/>
      </c>
      <c r="AL112">
        <f>(AC112+AD112+AE112+AF112+AG112+AH112+AI112+AJ112)/8</f>
        <v/>
      </c>
      <c r="AM112">
        <f>IF(AK112&gt;=2,(AK112-2)/8,0)</f>
        <v/>
      </c>
    </row>
    <row r="113">
      <c r="T113">
        <f>SUM(C113:R113)</f>
        <v/>
      </c>
      <c r="U113" s="6">
        <f>ROUND(T113/11.5,2)</f>
        <v/>
      </c>
      <c r="V113" s="7">
        <f>IF(B113="","",IF(AB113,0,ROUND(AL113,2)))</f>
        <v/>
      </c>
      <c r="W113" s="7">
        <f>IF(B113="","",IF(AB113,0,MIN(5,ROUND(AL113+AM113,2))))</f>
        <v/>
      </c>
      <c r="X113" s="8">
        <f>IF(B113="","",IF(W113&gt;=5,"A+",IF(W113&gt;=4,"A",IF(W113&gt;=3.5,"A-",IF(W113&gt;=3,"B",IF(W113&gt;=2,"C",IF(W113&gt;=1,"D","F")))))))</f>
        <v/>
      </c>
      <c r="Y113">
        <f>NOT(OR(AND(J113&gt;=10,K113&gt;=23,L113&gt;=10,M113&gt;=23),AND(J113+L113&gt;=20,K113+M113&gt;=46)))</f>
        <v/>
      </c>
      <c r="Z113">
        <f>OR(N113&lt;10,O113&lt;23)</f>
        <v/>
      </c>
      <c r="AA113">
        <f>OR(P113&lt;10,Q113&lt;23)</f>
        <v/>
      </c>
      <c r="AB113">
        <f>OR((C113+D113)&lt;66,(E113+F113)&lt;66,G113&lt;33,(H113+I113)&lt;66,Y113,Z113,AA113,R113&lt;8.25)</f>
        <v/>
      </c>
      <c r="AC113">
        <f>IF(C113+D113&lt;66,0,IF((C113+D113)/2&gt;=80,5,IF((C113+D113)/2&gt;=70,4,IF((C113+D113)/2&gt;=60,3.5,IF((C113+D113)/2&gt;=50,3,IF((C113+D113)/2&gt;=40,2,IF((C113+D113)/2&gt;=33,1,0)))))))</f>
        <v/>
      </c>
      <c r="AD113">
        <f>IF(E113+F113&lt;66,0,IF((E113+F113)/2&gt;=80,5,IF((E113+F113)/2&gt;=70,4,IF((E113+F113)/2&gt;=60,3.5,IF((E113+F113)/2&gt;=50,3,IF((E113+F113)/2&gt;=40,2,IF((E113+F113)/2&gt;=33,1,0)))))))</f>
        <v/>
      </c>
      <c r="AE113">
        <f>IF(G113&lt;33,0,IF(G113&gt;=80,5,IF(G113&gt;=70,4,IF(G113&gt;=60,3.5,IF(G113&gt;=50,3,IF(G113&gt;=40,2,IF(G113&gt;=33,1,0)))))))</f>
        <v/>
      </c>
      <c r="AF113">
        <f>IF(H113+I113&lt;66,0,IF((H113+I113)/2&gt;=80,5,IF((H113+I113)/2&gt;=70,4,IF((H113+I113)/2&gt;=60,3.5,IF((H113+I113)/2&gt;=50,3,IF((H113+I113)/2&gt;=40,2,IF((H113+I113)/2&gt;=33,1,0)))))))</f>
        <v/>
      </c>
      <c r="AG113">
        <f>IF(Y113,0,IF((J113+K113+L113+M113)/2&gt;=80,5,IF((J113+K113+L113+M113)/2&gt;=70,4,IF((J113+K113+L113+M113)/2&gt;=60,3.5,IF((J113+K113+L113+M113)/2&gt;=50,3,IF((J113+K113+L113+M113)/2&gt;=40,2,IF((J113+K113+L113+M113)/2&gt;=33,1,0)))))))</f>
        <v/>
      </c>
      <c r="AH113">
        <f>IF(Z113,0,IF(N113+O113&gt;=80,5,IF(N113+O113&gt;=70,4,IF(N113+O113&gt;=60,3.5,IF(N113+O113&gt;=50,3,IF(N113+O113&gt;=40,2,IF(N113+O113&gt;=33,1,0)))))))</f>
        <v/>
      </c>
      <c r="AI113">
        <f>IF(AA113,0,IF(P113+Q113&gt;=80,5,IF(P113+Q113&gt;=70,4,IF(P113+Q113&gt;=60,3.5,IF(P113+Q113&gt;=50,3,IF(P113+Q113&gt;=40,2,IF(P113+Q113&gt;=33,1,0)))))))</f>
        <v/>
      </c>
      <c r="AJ113">
        <f>IF(R113&lt;8.25,0,IF(R113*2&gt;=80,5,IF(R113*2&gt;=70,4,IF(R113*2&gt;=60,3.5,IF(R113*2&gt;=50,3,IF(R113*2&gt;=40,2,IF(R113*2&gt;=33,1,0)))))))</f>
        <v/>
      </c>
      <c r="AK113">
        <f>IF(S113&lt;33,0,IF(S113&gt;=80,5,IF(S113&gt;=70,4,IF(S113&gt;=60,3.5,IF(S113&gt;=50,3,IF(S113&gt;=40,2,IF(S113&gt;=33,1,0)))))))</f>
        <v/>
      </c>
      <c r="AL113">
        <f>(AC113+AD113+AE113+AF113+AG113+AH113+AI113+AJ113)/8</f>
        <v/>
      </c>
      <c r="AM113">
        <f>IF(AK113&gt;=2,(AK113-2)/8,0)</f>
        <v/>
      </c>
    </row>
    <row r="114">
      <c r="T114">
        <f>SUM(C114:R114)</f>
        <v/>
      </c>
      <c r="U114" s="6">
        <f>ROUND(T114/11.5,2)</f>
        <v/>
      </c>
      <c r="V114" s="7">
        <f>IF(B114="","",IF(AB114,0,ROUND(AL114,2)))</f>
        <v/>
      </c>
      <c r="W114" s="7">
        <f>IF(B114="","",IF(AB114,0,MIN(5,ROUND(AL114+AM114,2))))</f>
        <v/>
      </c>
      <c r="X114" s="8">
        <f>IF(B114="","",IF(W114&gt;=5,"A+",IF(W114&gt;=4,"A",IF(W114&gt;=3.5,"A-",IF(W114&gt;=3,"B",IF(W114&gt;=2,"C",IF(W114&gt;=1,"D","F")))))))</f>
        <v/>
      </c>
      <c r="Y114">
        <f>NOT(OR(AND(J114&gt;=10,K114&gt;=23,L114&gt;=10,M114&gt;=23),AND(J114+L114&gt;=20,K114+M114&gt;=46)))</f>
        <v/>
      </c>
      <c r="Z114">
        <f>OR(N114&lt;10,O114&lt;23)</f>
        <v/>
      </c>
      <c r="AA114">
        <f>OR(P114&lt;10,Q114&lt;23)</f>
        <v/>
      </c>
      <c r="AB114">
        <f>OR((C114+D114)&lt;66,(E114+F114)&lt;66,G114&lt;33,(H114+I114)&lt;66,Y114,Z114,AA114,R114&lt;8.25)</f>
        <v/>
      </c>
      <c r="AC114">
        <f>IF(C114+D114&lt;66,0,IF((C114+D114)/2&gt;=80,5,IF((C114+D114)/2&gt;=70,4,IF((C114+D114)/2&gt;=60,3.5,IF((C114+D114)/2&gt;=50,3,IF((C114+D114)/2&gt;=40,2,IF((C114+D114)/2&gt;=33,1,0)))))))</f>
        <v/>
      </c>
      <c r="AD114">
        <f>IF(E114+F114&lt;66,0,IF((E114+F114)/2&gt;=80,5,IF((E114+F114)/2&gt;=70,4,IF((E114+F114)/2&gt;=60,3.5,IF((E114+F114)/2&gt;=50,3,IF((E114+F114)/2&gt;=40,2,IF((E114+F114)/2&gt;=33,1,0)))))))</f>
        <v/>
      </c>
      <c r="AE114">
        <f>IF(G114&lt;33,0,IF(G114&gt;=80,5,IF(G114&gt;=70,4,IF(G114&gt;=60,3.5,IF(G114&gt;=50,3,IF(G114&gt;=40,2,IF(G114&gt;=33,1,0)))))))</f>
        <v/>
      </c>
      <c r="AF114">
        <f>IF(H114+I114&lt;66,0,IF((H114+I114)/2&gt;=80,5,IF((H114+I114)/2&gt;=70,4,IF((H114+I114)/2&gt;=60,3.5,IF((H114+I114)/2&gt;=50,3,IF((H114+I114)/2&gt;=40,2,IF((H114+I114)/2&gt;=33,1,0)))))))</f>
        <v/>
      </c>
      <c r="AG114">
        <f>IF(Y114,0,IF((J114+K114+L114+M114)/2&gt;=80,5,IF((J114+K114+L114+M114)/2&gt;=70,4,IF((J114+K114+L114+M114)/2&gt;=60,3.5,IF((J114+K114+L114+M114)/2&gt;=50,3,IF((J114+K114+L114+M114)/2&gt;=40,2,IF((J114+K114+L114+M114)/2&gt;=33,1,0)))))))</f>
        <v/>
      </c>
      <c r="AH114">
        <f>IF(Z114,0,IF(N114+O114&gt;=80,5,IF(N114+O114&gt;=70,4,IF(N114+O114&gt;=60,3.5,IF(N114+O114&gt;=50,3,IF(N114+O114&gt;=40,2,IF(N114+O114&gt;=33,1,0)))))))</f>
        <v/>
      </c>
      <c r="AI114">
        <f>IF(AA114,0,IF(P114+Q114&gt;=80,5,IF(P114+Q114&gt;=70,4,IF(P114+Q114&gt;=60,3.5,IF(P114+Q114&gt;=50,3,IF(P114+Q114&gt;=40,2,IF(P114+Q114&gt;=33,1,0)))))))</f>
        <v/>
      </c>
      <c r="AJ114">
        <f>IF(R114&lt;8.25,0,IF(R114*2&gt;=80,5,IF(R114*2&gt;=70,4,IF(R114*2&gt;=60,3.5,IF(R114*2&gt;=50,3,IF(R114*2&gt;=40,2,IF(R114*2&gt;=33,1,0)))))))</f>
        <v/>
      </c>
      <c r="AK114">
        <f>IF(S114&lt;33,0,IF(S114&gt;=80,5,IF(S114&gt;=70,4,IF(S114&gt;=60,3.5,IF(S114&gt;=50,3,IF(S114&gt;=40,2,IF(S114&gt;=33,1,0)))))))</f>
        <v/>
      </c>
      <c r="AL114">
        <f>(AC114+AD114+AE114+AF114+AG114+AH114+AI114+AJ114)/8</f>
        <v/>
      </c>
      <c r="AM114">
        <f>IF(AK114&gt;=2,(AK114-2)/8,0)</f>
        <v/>
      </c>
    </row>
    <row r="115">
      <c r="T115">
        <f>SUM(C115:R115)</f>
        <v/>
      </c>
      <c r="U115" s="6">
        <f>ROUND(T115/11.5,2)</f>
        <v/>
      </c>
      <c r="V115" s="7">
        <f>IF(B115="","",IF(AB115,0,ROUND(AL115,2)))</f>
        <v/>
      </c>
      <c r="W115" s="7">
        <f>IF(B115="","",IF(AB115,0,MIN(5,ROUND(AL115+AM115,2))))</f>
        <v/>
      </c>
      <c r="X115" s="8">
        <f>IF(B115="","",IF(W115&gt;=5,"A+",IF(W115&gt;=4,"A",IF(W115&gt;=3.5,"A-",IF(W115&gt;=3,"B",IF(W115&gt;=2,"C",IF(W115&gt;=1,"D","F")))))))</f>
        <v/>
      </c>
      <c r="Y115">
        <f>NOT(OR(AND(J115&gt;=10,K115&gt;=23,L115&gt;=10,M115&gt;=23),AND(J115+L115&gt;=20,K115+M115&gt;=46)))</f>
        <v/>
      </c>
      <c r="Z115">
        <f>OR(N115&lt;10,O115&lt;23)</f>
        <v/>
      </c>
      <c r="AA115">
        <f>OR(P115&lt;10,Q115&lt;23)</f>
        <v/>
      </c>
      <c r="AB115">
        <f>OR((C115+D115)&lt;66,(E115+F115)&lt;66,G115&lt;33,(H115+I115)&lt;66,Y115,Z115,AA115,R115&lt;8.25)</f>
        <v/>
      </c>
      <c r="AC115">
        <f>IF(C115+D115&lt;66,0,IF((C115+D115)/2&gt;=80,5,IF((C115+D115)/2&gt;=70,4,IF((C115+D115)/2&gt;=60,3.5,IF((C115+D115)/2&gt;=50,3,IF((C115+D115)/2&gt;=40,2,IF((C115+D115)/2&gt;=33,1,0)))))))</f>
        <v/>
      </c>
      <c r="AD115">
        <f>IF(E115+F115&lt;66,0,IF((E115+F115)/2&gt;=80,5,IF((E115+F115)/2&gt;=70,4,IF((E115+F115)/2&gt;=60,3.5,IF((E115+F115)/2&gt;=50,3,IF((E115+F115)/2&gt;=40,2,IF((E115+F115)/2&gt;=33,1,0)))))))</f>
        <v/>
      </c>
      <c r="AE115">
        <f>IF(G115&lt;33,0,IF(G115&gt;=80,5,IF(G115&gt;=70,4,IF(G115&gt;=60,3.5,IF(G115&gt;=50,3,IF(G115&gt;=40,2,IF(G115&gt;=33,1,0)))))))</f>
        <v/>
      </c>
      <c r="AF115">
        <f>IF(H115+I115&lt;66,0,IF((H115+I115)/2&gt;=80,5,IF((H115+I115)/2&gt;=70,4,IF((H115+I115)/2&gt;=60,3.5,IF((H115+I115)/2&gt;=50,3,IF((H115+I115)/2&gt;=40,2,IF((H115+I115)/2&gt;=33,1,0)))))))</f>
        <v/>
      </c>
      <c r="AG115">
        <f>IF(Y115,0,IF((J115+K115+L115+M115)/2&gt;=80,5,IF((J115+K115+L115+M115)/2&gt;=70,4,IF((J115+K115+L115+M115)/2&gt;=60,3.5,IF((J115+K115+L115+M115)/2&gt;=50,3,IF((J115+K115+L115+M115)/2&gt;=40,2,IF((J115+K115+L115+M115)/2&gt;=33,1,0)))))))</f>
        <v/>
      </c>
      <c r="AH115">
        <f>IF(Z115,0,IF(N115+O115&gt;=80,5,IF(N115+O115&gt;=70,4,IF(N115+O115&gt;=60,3.5,IF(N115+O115&gt;=50,3,IF(N115+O115&gt;=40,2,IF(N115+O115&gt;=33,1,0)))))))</f>
        <v/>
      </c>
      <c r="AI115">
        <f>IF(AA115,0,IF(P115+Q115&gt;=80,5,IF(P115+Q115&gt;=70,4,IF(P115+Q115&gt;=60,3.5,IF(P115+Q115&gt;=50,3,IF(P115+Q115&gt;=40,2,IF(P115+Q115&gt;=33,1,0)))))))</f>
        <v/>
      </c>
      <c r="AJ115">
        <f>IF(R115&lt;8.25,0,IF(R115*2&gt;=80,5,IF(R115*2&gt;=70,4,IF(R115*2&gt;=60,3.5,IF(R115*2&gt;=50,3,IF(R115*2&gt;=40,2,IF(R115*2&gt;=33,1,0)))))))</f>
        <v/>
      </c>
      <c r="AK115">
        <f>IF(S115&lt;33,0,IF(S115&gt;=80,5,IF(S115&gt;=70,4,IF(S115&gt;=60,3.5,IF(S115&gt;=50,3,IF(S115&gt;=40,2,IF(S115&gt;=33,1,0)))))))</f>
        <v/>
      </c>
      <c r="AL115">
        <f>(AC115+AD115+AE115+AF115+AG115+AH115+AI115+AJ115)/8</f>
        <v/>
      </c>
      <c r="AM115">
        <f>IF(AK115&gt;=2,(AK115-2)/8,0)</f>
        <v/>
      </c>
    </row>
    <row r="116">
      <c r="T116">
        <f>SUM(C116:R116)</f>
        <v/>
      </c>
      <c r="U116" s="6">
        <f>ROUND(T116/11.5,2)</f>
        <v/>
      </c>
      <c r="V116" s="7">
        <f>IF(B116="","",IF(AB116,0,ROUND(AL116,2)))</f>
        <v/>
      </c>
      <c r="W116" s="7">
        <f>IF(B116="","",IF(AB116,0,MIN(5,ROUND(AL116+AM116,2))))</f>
        <v/>
      </c>
      <c r="X116" s="8">
        <f>IF(B116="","",IF(W116&gt;=5,"A+",IF(W116&gt;=4,"A",IF(W116&gt;=3.5,"A-",IF(W116&gt;=3,"B",IF(W116&gt;=2,"C",IF(W116&gt;=1,"D","F")))))))</f>
        <v/>
      </c>
      <c r="Y116">
        <f>NOT(OR(AND(J116&gt;=10,K116&gt;=23,L116&gt;=10,M116&gt;=23),AND(J116+L116&gt;=20,K116+M116&gt;=46)))</f>
        <v/>
      </c>
      <c r="Z116">
        <f>OR(N116&lt;10,O116&lt;23)</f>
        <v/>
      </c>
      <c r="AA116">
        <f>OR(P116&lt;10,Q116&lt;23)</f>
        <v/>
      </c>
      <c r="AB116">
        <f>OR((C116+D116)&lt;66,(E116+F116)&lt;66,G116&lt;33,(H116+I116)&lt;66,Y116,Z116,AA116,R116&lt;8.25)</f>
        <v/>
      </c>
      <c r="AC116">
        <f>IF(C116+D116&lt;66,0,IF((C116+D116)/2&gt;=80,5,IF((C116+D116)/2&gt;=70,4,IF((C116+D116)/2&gt;=60,3.5,IF((C116+D116)/2&gt;=50,3,IF((C116+D116)/2&gt;=40,2,IF((C116+D116)/2&gt;=33,1,0)))))))</f>
        <v/>
      </c>
      <c r="AD116">
        <f>IF(E116+F116&lt;66,0,IF((E116+F116)/2&gt;=80,5,IF((E116+F116)/2&gt;=70,4,IF((E116+F116)/2&gt;=60,3.5,IF((E116+F116)/2&gt;=50,3,IF((E116+F116)/2&gt;=40,2,IF((E116+F116)/2&gt;=33,1,0)))))))</f>
        <v/>
      </c>
      <c r="AE116">
        <f>IF(G116&lt;33,0,IF(G116&gt;=80,5,IF(G116&gt;=70,4,IF(G116&gt;=60,3.5,IF(G116&gt;=50,3,IF(G116&gt;=40,2,IF(G116&gt;=33,1,0)))))))</f>
        <v/>
      </c>
      <c r="AF116">
        <f>IF(H116+I116&lt;66,0,IF((H116+I116)/2&gt;=80,5,IF((H116+I116)/2&gt;=70,4,IF((H116+I116)/2&gt;=60,3.5,IF((H116+I116)/2&gt;=50,3,IF((H116+I116)/2&gt;=40,2,IF((H116+I116)/2&gt;=33,1,0)))))))</f>
        <v/>
      </c>
      <c r="AG116">
        <f>IF(Y116,0,IF((J116+K116+L116+M116)/2&gt;=80,5,IF((J116+K116+L116+M116)/2&gt;=70,4,IF((J116+K116+L116+M116)/2&gt;=60,3.5,IF((J116+K116+L116+M116)/2&gt;=50,3,IF((J116+K116+L116+M116)/2&gt;=40,2,IF((J116+K116+L116+M116)/2&gt;=33,1,0)))))))</f>
        <v/>
      </c>
      <c r="AH116">
        <f>IF(Z116,0,IF(N116+O116&gt;=80,5,IF(N116+O116&gt;=70,4,IF(N116+O116&gt;=60,3.5,IF(N116+O116&gt;=50,3,IF(N116+O116&gt;=40,2,IF(N116+O116&gt;=33,1,0)))))))</f>
        <v/>
      </c>
      <c r="AI116">
        <f>IF(AA116,0,IF(P116+Q116&gt;=80,5,IF(P116+Q116&gt;=70,4,IF(P116+Q116&gt;=60,3.5,IF(P116+Q116&gt;=50,3,IF(P116+Q116&gt;=40,2,IF(P116+Q116&gt;=33,1,0)))))))</f>
        <v/>
      </c>
      <c r="AJ116">
        <f>IF(R116&lt;8.25,0,IF(R116*2&gt;=80,5,IF(R116*2&gt;=70,4,IF(R116*2&gt;=60,3.5,IF(R116*2&gt;=50,3,IF(R116*2&gt;=40,2,IF(R116*2&gt;=33,1,0)))))))</f>
        <v/>
      </c>
      <c r="AK116">
        <f>IF(S116&lt;33,0,IF(S116&gt;=80,5,IF(S116&gt;=70,4,IF(S116&gt;=60,3.5,IF(S116&gt;=50,3,IF(S116&gt;=40,2,IF(S116&gt;=33,1,0)))))))</f>
        <v/>
      </c>
      <c r="AL116">
        <f>(AC116+AD116+AE116+AF116+AG116+AH116+AI116+AJ116)/8</f>
        <v/>
      </c>
      <c r="AM116">
        <f>IF(AK116&gt;=2,(AK116-2)/8,0)</f>
        <v/>
      </c>
    </row>
    <row r="117">
      <c r="T117">
        <f>SUM(C117:R117)</f>
        <v/>
      </c>
      <c r="U117" s="6">
        <f>ROUND(T117/11.5,2)</f>
        <v/>
      </c>
      <c r="V117" s="7">
        <f>IF(B117="","",IF(AB117,0,ROUND(AL117,2)))</f>
        <v/>
      </c>
      <c r="W117" s="7">
        <f>IF(B117="","",IF(AB117,0,MIN(5,ROUND(AL117+AM117,2))))</f>
        <v/>
      </c>
      <c r="X117" s="8">
        <f>IF(B117="","",IF(W117&gt;=5,"A+",IF(W117&gt;=4,"A",IF(W117&gt;=3.5,"A-",IF(W117&gt;=3,"B",IF(W117&gt;=2,"C",IF(W117&gt;=1,"D","F")))))))</f>
        <v/>
      </c>
      <c r="Y117">
        <f>NOT(OR(AND(J117&gt;=10,K117&gt;=23,L117&gt;=10,M117&gt;=23),AND(J117+L117&gt;=20,K117+M117&gt;=46)))</f>
        <v/>
      </c>
      <c r="Z117">
        <f>OR(N117&lt;10,O117&lt;23)</f>
        <v/>
      </c>
      <c r="AA117">
        <f>OR(P117&lt;10,Q117&lt;23)</f>
        <v/>
      </c>
      <c r="AB117">
        <f>OR((C117+D117)&lt;66,(E117+F117)&lt;66,G117&lt;33,(H117+I117)&lt;66,Y117,Z117,AA117,R117&lt;8.25)</f>
        <v/>
      </c>
      <c r="AC117">
        <f>IF(C117+D117&lt;66,0,IF((C117+D117)/2&gt;=80,5,IF((C117+D117)/2&gt;=70,4,IF((C117+D117)/2&gt;=60,3.5,IF((C117+D117)/2&gt;=50,3,IF((C117+D117)/2&gt;=40,2,IF((C117+D117)/2&gt;=33,1,0)))))))</f>
        <v/>
      </c>
      <c r="AD117">
        <f>IF(E117+F117&lt;66,0,IF((E117+F117)/2&gt;=80,5,IF((E117+F117)/2&gt;=70,4,IF((E117+F117)/2&gt;=60,3.5,IF((E117+F117)/2&gt;=50,3,IF((E117+F117)/2&gt;=40,2,IF((E117+F117)/2&gt;=33,1,0)))))))</f>
        <v/>
      </c>
      <c r="AE117">
        <f>IF(G117&lt;33,0,IF(G117&gt;=80,5,IF(G117&gt;=70,4,IF(G117&gt;=60,3.5,IF(G117&gt;=50,3,IF(G117&gt;=40,2,IF(G117&gt;=33,1,0)))))))</f>
        <v/>
      </c>
      <c r="AF117">
        <f>IF(H117+I117&lt;66,0,IF((H117+I117)/2&gt;=80,5,IF((H117+I117)/2&gt;=70,4,IF((H117+I117)/2&gt;=60,3.5,IF((H117+I117)/2&gt;=50,3,IF((H117+I117)/2&gt;=40,2,IF((H117+I117)/2&gt;=33,1,0)))))))</f>
        <v/>
      </c>
      <c r="AG117">
        <f>IF(Y117,0,IF((J117+K117+L117+M117)/2&gt;=80,5,IF((J117+K117+L117+M117)/2&gt;=70,4,IF((J117+K117+L117+M117)/2&gt;=60,3.5,IF((J117+K117+L117+M117)/2&gt;=50,3,IF((J117+K117+L117+M117)/2&gt;=40,2,IF((J117+K117+L117+M117)/2&gt;=33,1,0)))))))</f>
        <v/>
      </c>
      <c r="AH117">
        <f>IF(Z117,0,IF(N117+O117&gt;=80,5,IF(N117+O117&gt;=70,4,IF(N117+O117&gt;=60,3.5,IF(N117+O117&gt;=50,3,IF(N117+O117&gt;=40,2,IF(N117+O117&gt;=33,1,0)))))))</f>
        <v/>
      </c>
      <c r="AI117">
        <f>IF(AA117,0,IF(P117+Q117&gt;=80,5,IF(P117+Q117&gt;=70,4,IF(P117+Q117&gt;=60,3.5,IF(P117+Q117&gt;=50,3,IF(P117+Q117&gt;=40,2,IF(P117+Q117&gt;=33,1,0)))))))</f>
        <v/>
      </c>
      <c r="AJ117">
        <f>IF(R117&lt;8.25,0,IF(R117*2&gt;=80,5,IF(R117*2&gt;=70,4,IF(R117*2&gt;=60,3.5,IF(R117*2&gt;=50,3,IF(R117*2&gt;=40,2,IF(R117*2&gt;=33,1,0)))))))</f>
        <v/>
      </c>
      <c r="AK117">
        <f>IF(S117&lt;33,0,IF(S117&gt;=80,5,IF(S117&gt;=70,4,IF(S117&gt;=60,3.5,IF(S117&gt;=50,3,IF(S117&gt;=40,2,IF(S117&gt;=33,1,0)))))))</f>
        <v/>
      </c>
      <c r="AL117">
        <f>(AC117+AD117+AE117+AF117+AG117+AH117+AI117+AJ117)/8</f>
        <v/>
      </c>
      <c r="AM117">
        <f>IF(AK117&gt;=2,(AK117-2)/8,0)</f>
        <v/>
      </c>
    </row>
    <row r="118">
      <c r="T118">
        <f>SUM(C118:R118)</f>
        <v/>
      </c>
      <c r="U118" s="6">
        <f>ROUND(T118/11.5,2)</f>
        <v/>
      </c>
      <c r="V118" s="7">
        <f>IF(B118="","",IF(AB118,0,ROUND(AL118,2)))</f>
        <v/>
      </c>
      <c r="W118" s="7">
        <f>IF(B118="","",IF(AB118,0,MIN(5,ROUND(AL118+AM118,2))))</f>
        <v/>
      </c>
      <c r="X118" s="8">
        <f>IF(B118="","",IF(W118&gt;=5,"A+",IF(W118&gt;=4,"A",IF(W118&gt;=3.5,"A-",IF(W118&gt;=3,"B",IF(W118&gt;=2,"C",IF(W118&gt;=1,"D","F")))))))</f>
        <v/>
      </c>
      <c r="Y118">
        <f>NOT(OR(AND(J118&gt;=10,K118&gt;=23,L118&gt;=10,M118&gt;=23),AND(J118+L118&gt;=20,K118+M118&gt;=46)))</f>
        <v/>
      </c>
      <c r="Z118">
        <f>OR(N118&lt;10,O118&lt;23)</f>
        <v/>
      </c>
      <c r="AA118">
        <f>OR(P118&lt;10,Q118&lt;23)</f>
        <v/>
      </c>
      <c r="AB118">
        <f>OR((C118+D118)&lt;66,(E118+F118)&lt;66,G118&lt;33,(H118+I118)&lt;66,Y118,Z118,AA118,R118&lt;8.25)</f>
        <v/>
      </c>
      <c r="AC118">
        <f>IF(C118+D118&lt;66,0,IF((C118+D118)/2&gt;=80,5,IF((C118+D118)/2&gt;=70,4,IF((C118+D118)/2&gt;=60,3.5,IF((C118+D118)/2&gt;=50,3,IF((C118+D118)/2&gt;=40,2,IF((C118+D118)/2&gt;=33,1,0)))))))</f>
        <v/>
      </c>
      <c r="AD118">
        <f>IF(E118+F118&lt;66,0,IF((E118+F118)/2&gt;=80,5,IF((E118+F118)/2&gt;=70,4,IF((E118+F118)/2&gt;=60,3.5,IF((E118+F118)/2&gt;=50,3,IF((E118+F118)/2&gt;=40,2,IF((E118+F118)/2&gt;=33,1,0)))))))</f>
        <v/>
      </c>
      <c r="AE118">
        <f>IF(G118&lt;33,0,IF(G118&gt;=80,5,IF(G118&gt;=70,4,IF(G118&gt;=60,3.5,IF(G118&gt;=50,3,IF(G118&gt;=40,2,IF(G118&gt;=33,1,0)))))))</f>
        <v/>
      </c>
      <c r="AF118">
        <f>IF(H118+I118&lt;66,0,IF((H118+I118)/2&gt;=80,5,IF((H118+I118)/2&gt;=70,4,IF((H118+I118)/2&gt;=60,3.5,IF((H118+I118)/2&gt;=50,3,IF((H118+I118)/2&gt;=40,2,IF((H118+I118)/2&gt;=33,1,0)))))))</f>
        <v/>
      </c>
      <c r="AG118">
        <f>IF(Y118,0,IF((J118+K118+L118+M118)/2&gt;=80,5,IF((J118+K118+L118+M118)/2&gt;=70,4,IF((J118+K118+L118+M118)/2&gt;=60,3.5,IF((J118+K118+L118+M118)/2&gt;=50,3,IF((J118+K118+L118+M118)/2&gt;=40,2,IF((J118+K118+L118+M118)/2&gt;=33,1,0)))))))</f>
        <v/>
      </c>
      <c r="AH118">
        <f>IF(Z118,0,IF(N118+O118&gt;=80,5,IF(N118+O118&gt;=70,4,IF(N118+O118&gt;=60,3.5,IF(N118+O118&gt;=50,3,IF(N118+O118&gt;=40,2,IF(N118+O118&gt;=33,1,0)))))))</f>
        <v/>
      </c>
      <c r="AI118">
        <f>IF(AA118,0,IF(P118+Q118&gt;=80,5,IF(P118+Q118&gt;=70,4,IF(P118+Q118&gt;=60,3.5,IF(P118+Q118&gt;=50,3,IF(P118+Q118&gt;=40,2,IF(P118+Q118&gt;=33,1,0)))))))</f>
        <v/>
      </c>
      <c r="AJ118">
        <f>IF(R118&lt;8.25,0,IF(R118*2&gt;=80,5,IF(R118*2&gt;=70,4,IF(R118*2&gt;=60,3.5,IF(R118*2&gt;=50,3,IF(R118*2&gt;=40,2,IF(R118*2&gt;=33,1,0)))))))</f>
        <v/>
      </c>
      <c r="AK118">
        <f>IF(S118&lt;33,0,IF(S118&gt;=80,5,IF(S118&gt;=70,4,IF(S118&gt;=60,3.5,IF(S118&gt;=50,3,IF(S118&gt;=40,2,IF(S118&gt;=33,1,0)))))))</f>
        <v/>
      </c>
      <c r="AL118">
        <f>(AC118+AD118+AE118+AF118+AG118+AH118+AI118+AJ118)/8</f>
        <v/>
      </c>
      <c r="AM118">
        <f>IF(AK118&gt;=2,(AK118-2)/8,0)</f>
        <v/>
      </c>
    </row>
    <row r="119">
      <c r="T119">
        <f>SUM(C119:R119)</f>
        <v/>
      </c>
      <c r="U119" s="6">
        <f>ROUND(T119/11.5,2)</f>
        <v/>
      </c>
      <c r="V119" s="7">
        <f>IF(B119="","",IF(AB119,0,ROUND(AL119,2)))</f>
        <v/>
      </c>
      <c r="W119" s="7">
        <f>IF(B119="","",IF(AB119,0,MIN(5,ROUND(AL119+AM119,2))))</f>
        <v/>
      </c>
      <c r="X119" s="8">
        <f>IF(B119="","",IF(W119&gt;=5,"A+",IF(W119&gt;=4,"A",IF(W119&gt;=3.5,"A-",IF(W119&gt;=3,"B",IF(W119&gt;=2,"C",IF(W119&gt;=1,"D","F")))))))</f>
        <v/>
      </c>
      <c r="Y119">
        <f>NOT(OR(AND(J119&gt;=10,K119&gt;=23,L119&gt;=10,M119&gt;=23),AND(J119+L119&gt;=20,K119+M119&gt;=46)))</f>
        <v/>
      </c>
      <c r="Z119">
        <f>OR(N119&lt;10,O119&lt;23)</f>
        <v/>
      </c>
      <c r="AA119">
        <f>OR(P119&lt;10,Q119&lt;23)</f>
        <v/>
      </c>
      <c r="AB119">
        <f>OR((C119+D119)&lt;66,(E119+F119)&lt;66,G119&lt;33,(H119+I119)&lt;66,Y119,Z119,AA119,R119&lt;8.25)</f>
        <v/>
      </c>
      <c r="AC119">
        <f>IF(C119+D119&lt;66,0,IF((C119+D119)/2&gt;=80,5,IF((C119+D119)/2&gt;=70,4,IF((C119+D119)/2&gt;=60,3.5,IF((C119+D119)/2&gt;=50,3,IF((C119+D119)/2&gt;=40,2,IF((C119+D119)/2&gt;=33,1,0)))))))</f>
        <v/>
      </c>
      <c r="AD119">
        <f>IF(E119+F119&lt;66,0,IF((E119+F119)/2&gt;=80,5,IF((E119+F119)/2&gt;=70,4,IF((E119+F119)/2&gt;=60,3.5,IF((E119+F119)/2&gt;=50,3,IF((E119+F119)/2&gt;=40,2,IF((E119+F119)/2&gt;=33,1,0)))))))</f>
        <v/>
      </c>
      <c r="AE119">
        <f>IF(G119&lt;33,0,IF(G119&gt;=80,5,IF(G119&gt;=70,4,IF(G119&gt;=60,3.5,IF(G119&gt;=50,3,IF(G119&gt;=40,2,IF(G119&gt;=33,1,0)))))))</f>
        <v/>
      </c>
      <c r="AF119">
        <f>IF(H119+I119&lt;66,0,IF((H119+I119)/2&gt;=80,5,IF((H119+I119)/2&gt;=70,4,IF((H119+I119)/2&gt;=60,3.5,IF((H119+I119)/2&gt;=50,3,IF((H119+I119)/2&gt;=40,2,IF((H119+I119)/2&gt;=33,1,0)))))))</f>
        <v/>
      </c>
      <c r="AG119">
        <f>IF(Y119,0,IF((J119+K119+L119+M119)/2&gt;=80,5,IF((J119+K119+L119+M119)/2&gt;=70,4,IF((J119+K119+L119+M119)/2&gt;=60,3.5,IF((J119+K119+L119+M119)/2&gt;=50,3,IF((J119+K119+L119+M119)/2&gt;=40,2,IF((J119+K119+L119+M119)/2&gt;=33,1,0)))))))</f>
        <v/>
      </c>
      <c r="AH119">
        <f>IF(Z119,0,IF(N119+O119&gt;=80,5,IF(N119+O119&gt;=70,4,IF(N119+O119&gt;=60,3.5,IF(N119+O119&gt;=50,3,IF(N119+O119&gt;=40,2,IF(N119+O119&gt;=33,1,0)))))))</f>
        <v/>
      </c>
      <c r="AI119">
        <f>IF(AA119,0,IF(P119+Q119&gt;=80,5,IF(P119+Q119&gt;=70,4,IF(P119+Q119&gt;=60,3.5,IF(P119+Q119&gt;=50,3,IF(P119+Q119&gt;=40,2,IF(P119+Q119&gt;=33,1,0)))))))</f>
        <v/>
      </c>
      <c r="AJ119">
        <f>IF(R119&lt;8.25,0,IF(R119*2&gt;=80,5,IF(R119*2&gt;=70,4,IF(R119*2&gt;=60,3.5,IF(R119*2&gt;=50,3,IF(R119*2&gt;=40,2,IF(R119*2&gt;=33,1,0)))))))</f>
        <v/>
      </c>
      <c r="AK119">
        <f>IF(S119&lt;33,0,IF(S119&gt;=80,5,IF(S119&gt;=70,4,IF(S119&gt;=60,3.5,IF(S119&gt;=50,3,IF(S119&gt;=40,2,IF(S119&gt;=33,1,0)))))))</f>
        <v/>
      </c>
      <c r="AL119">
        <f>(AC119+AD119+AE119+AF119+AG119+AH119+AI119+AJ119)/8</f>
        <v/>
      </c>
      <c r="AM119">
        <f>IF(AK119&gt;=2,(AK119-2)/8,0)</f>
        <v/>
      </c>
    </row>
    <row r="120">
      <c r="T120">
        <f>SUM(C120:R120)</f>
        <v/>
      </c>
      <c r="U120" s="6">
        <f>ROUND(T120/11.5,2)</f>
        <v/>
      </c>
      <c r="V120" s="7">
        <f>IF(B120="","",IF(AB120,0,ROUND(AL120,2)))</f>
        <v/>
      </c>
      <c r="W120" s="7">
        <f>IF(B120="","",IF(AB120,0,MIN(5,ROUND(AL120+AM120,2))))</f>
        <v/>
      </c>
      <c r="X120" s="8">
        <f>IF(B120="","",IF(W120&gt;=5,"A+",IF(W120&gt;=4,"A",IF(W120&gt;=3.5,"A-",IF(W120&gt;=3,"B",IF(W120&gt;=2,"C",IF(W120&gt;=1,"D","F")))))))</f>
        <v/>
      </c>
      <c r="Y120">
        <f>NOT(OR(AND(J120&gt;=10,K120&gt;=23,L120&gt;=10,M120&gt;=23),AND(J120+L120&gt;=20,K120+M120&gt;=46)))</f>
        <v/>
      </c>
      <c r="Z120">
        <f>OR(N120&lt;10,O120&lt;23)</f>
        <v/>
      </c>
      <c r="AA120">
        <f>OR(P120&lt;10,Q120&lt;23)</f>
        <v/>
      </c>
      <c r="AB120">
        <f>OR((C120+D120)&lt;66,(E120+F120)&lt;66,G120&lt;33,(H120+I120)&lt;66,Y120,Z120,AA120,R120&lt;8.25)</f>
        <v/>
      </c>
      <c r="AC120">
        <f>IF(C120+D120&lt;66,0,IF((C120+D120)/2&gt;=80,5,IF((C120+D120)/2&gt;=70,4,IF((C120+D120)/2&gt;=60,3.5,IF((C120+D120)/2&gt;=50,3,IF((C120+D120)/2&gt;=40,2,IF((C120+D120)/2&gt;=33,1,0)))))))</f>
        <v/>
      </c>
      <c r="AD120">
        <f>IF(E120+F120&lt;66,0,IF((E120+F120)/2&gt;=80,5,IF((E120+F120)/2&gt;=70,4,IF((E120+F120)/2&gt;=60,3.5,IF((E120+F120)/2&gt;=50,3,IF((E120+F120)/2&gt;=40,2,IF((E120+F120)/2&gt;=33,1,0)))))))</f>
        <v/>
      </c>
      <c r="AE120">
        <f>IF(G120&lt;33,0,IF(G120&gt;=80,5,IF(G120&gt;=70,4,IF(G120&gt;=60,3.5,IF(G120&gt;=50,3,IF(G120&gt;=40,2,IF(G120&gt;=33,1,0)))))))</f>
        <v/>
      </c>
      <c r="AF120">
        <f>IF(H120+I120&lt;66,0,IF((H120+I120)/2&gt;=80,5,IF((H120+I120)/2&gt;=70,4,IF((H120+I120)/2&gt;=60,3.5,IF((H120+I120)/2&gt;=50,3,IF((H120+I120)/2&gt;=40,2,IF((H120+I120)/2&gt;=33,1,0)))))))</f>
        <v/>
      </c>
      <c r="AG120">
        <f>IF(Y120,0,IF((J120+K120+L120+M120)/2&gt;=80,5,IF((J120+K120+L120+M120)/2&gt;=70,4,IF((J120+K120+L120+M120)/2&gt;=60,3.5,IF((J120+K120+L120+M120)/2&gt;=50,3,IF((J120+K120+L120+M120)/2&gt;=40,2,IF((J120+K120+L120+M120)/2&gt;=33,1,0)))))))</f>
        <v/>
      </c>
      <c r="AH120">
        <f>IF(Z120,0,IF(N120+O120&gt;=80,5,IF(N120+O120&gt;=70,4,IF(N120+O120&gt;=60,3.5,IF(N120+O120&gt;=50,3,IF(N120+O120&gt;=40,2,IF(N120+O120&gt;=33,1,0)))))))</f>
        <v/>
      </c>
      <c r="AI120">
        <f>IF(AA120,0,IF(P120+Q120&gt;=80,5,IF(P120+Q120&gt;=70,4,IF(P120+Q120&gt;=60,3.5,IF(P120+Q120&gt;=50,3,IF(P120+Q120&gt;=40,2,IF(P120+Q120&gt;=33,1,0)))))))</f>
        <v/>
      </c>
      <c r="AJ120">
        <f>IF(R120&lt;8.25,0,IF(R120*2&gt;=80,5,IF(R120*2&gt;=70,4,IF(R120*2&gt;=60,3.5,IF(R120*2&gt;=50,3,IF(R120*2&gt;=40,2,IF(R120*2&gt;=33,1,0)))))))</f>
        <v/>
      </c>
      <c r="AK120">
        <f>IF(S120&lt;33,0,IF(S120&gt;=80,5,IF(S120&gt;=70,4,IF(S120&gt;=60,3.5,IF(S120&gt;=50,3,IF(S120&gt;=40,2,IF(S120&gt;=33,1,0)))))))</f>
        <v/>
      </c>
      <c r="AL120">
        <f>(AC120+AD120+AE120+AF120+AG120+AH120+AI120+AJ120)/8</f>
        <v/>
      </c>
      <c r="AM120">
        <f>IF(AK120&gt;=2,(AK120-2)/8,0)</f>
        <v/>
      </c>
    </row>
    <row r="121">
      <c r="T121">
        <f>SUM(C121:R121)</f>
        <v/>
      </c>
      <c r="U121" s="6">
        <f>ROUND(T121/11.5,2)</f>
        <v/>
      </c>
      <c r="V121" s="7">
        <f>IF(B121="","",IF(AB121,0,ROUND(AL121,2)))</f>
        <v/>
      </c>
      <c r="W121" s="7">
        <f>IF(B121="","",IF(AB121,0,MIN(5,ROUND(AL121+AM121,2))))</f>
        <v/>
      </c>
      <c r="X121" s="8">
        <f>IF(B121="","",IF(W121&gt;=5,"A+",IF(W121&gt;=4,"A",IF(W121&gt;=3.5,"A-",IF(W121&gt;=3,"B",IF(W121&gt;=2,"C",IF(W121&gt;=1,"D","F")))))))</f>
        <v/>
      </c>
      <c r="Y121">
        <f>NOT(OR(AND(J121&gt;=10,K121&gt;=23,L121&gt;=10,M121&gt;=23),AND(J121+L121&gt;=20,K121+M121&gt;=46)))</f>
        <v/>
      </c>
      <c r="Z121">
        <f>OR(N121&lt;10,O121&lt;23)</f>
        <v/>
      </c>
      <c r="AA121">
        <f>OR(P121&lt;10,Q121&lt;23)</f>
        <v/>
      </c>
      <c r="AB121">
        <f>OR((C121+D121)&lt;66,(E121+F121)&lt;66,G121&lt;33,(H121+I121)&lt;66,Y121,Z121,AA121,R121&lt;8.25)</f>
        <v/>
      </c>
      <c r="AC121">
        <f>IF(C121+D121&lt;66,0,IF((C121+D121)/2&gt;=80,5,IF((C121+D121)/2&gt;=70,4,IF((C121+D121)/2&gt;=60,3.5,IF((C121+D121)/2&gt;=50,3,IF((C121+D121)/2&gt;=40,2,IF((C121+D121)/2&gt;=33,1,0)))))))</f>
        <v/>
      </c>
      <c r="AD121">
        <f>IF(E121+F121&lt;66,0,IF((E121+F121)/2&gt;=80,5,IF((E121+F121)/2&gt;=70,4,IF((E121+F121)/2&gt;=60,3.5,IF((E121+F121)/2&gt;=50,3,IF((E121+F121)/2&gt;=40,2,IF((E121+F121)/2&gt;=33,1,0)))))))</f>
        <v/>
      </c>
      <c r="AE121">
        <f>IF(G121&lt;33,0,IF(G121&gt;=80,5,IF(G121&gt;=70,4,IF(G121&gt;=60,3.5,IF(G121&gt;=50,3,IF(G121&gt;=40,2,IF(G121&gt;=33,1,0)))))))</f>
        <v/>
      </c>
      <c r="AF121">
        <f>IF(H121+I121&lt;66,0,IF((H121+I121)/2&gt;=80,5,IF((H121+I121)/2&gt;=70,4,IF((H121+I121)/2&gt;=60,3.5,IF((H121+I121)/2&gt;=50,3,IF((H121+I121)/2&gt;=40,2,IF((H121+I121)/2&gt;=33,1,0)))))))</f>
        <v/>
      </c>
      <c r="AG121">
        <f>IF(Y121,0,IF((J121+K121+L121+M121)/2&gt;=80,5,IF((J121+K121+L121+M121)/2&gt;=70,4,IF((J121+K121+L121+M121)/2&gt;=60,3.5,IF((J121+K121+L121+M121)/2&gt;=50,3,IF((J121+K121+L121+M121)/2&gt;=40,2,IF((J121+K121+L121+M121)/2&gt;=33,1,0)))))))</f>
        <v/>
      </c>
      <c r="AH121">
        <f>IF(Z121,0,IF(N121+O121&gt;=80,5,IF(N121+O121&gt;=70,4,IF(N121+O121&gt;=60,3.5,IF(N121+O121&gt;=50,3,IF(N121+O121&gt;=40,2,IF(N121+O121&gt;=33,1,0)))))))</f>
        <v/>
      </c>
      <c r="AI121">
        <f>IF(AA121,0,IF(P121+Q121&gt;=80,5,IF(P121+Q121&gt;=70,4,IF(P121+Q121&gt;=60,3.5,IF(P121+Q121&gt;=50,3,IF(P121+Q121&gt;=40,2,IF(P121+Q121&gt;=33,1,0)))))))</f>
        <v/>
      </c>
      <c r="AJ121">
        <f>IF(R121&lt;8.25,0,IF(R121*2&gt;=80,5,IF(R121*2&gt;=70,4,IF(R121*2&gt;=60,3.5,IF(R121*2&gt;=50,3,IF(R121*2&gt;=40,2,IF(R121*2&gt;=33,1,0)))))))</f>
        <v/>
      </c>
      <c r="AK121">
        <f>IF(S121&lt;33,0,IF(S121&gt;=80,5,IF(S121&gt;=70,4,IF(S121&gt;=60,3.5,IF(S121&gt;=50,3,IF(S121&gt;=40,2,IF(S121&gt;=33,1,0)))))))</f>
        <v/>
      </c>
      <c r="AL121">
        <f>(AC121+AD121+AE121+AF121+AG121+AH121+AI121+AJ121)/8</f>
        <v/>
      </c>
      <c r="AM121">
        <f>IF(AK121&gt;=2,(AK121-2)/8,0)</f>
        <v/>
      </c>
    </row>
    <row r="122">
      <c r="T122">
        <f>SUM(C122:R122)</f>
        <v/>
      </c>
      <c r="U122" s="6">
        <f>ROUND(T122/11.5,2)</f>
        <v/>
      </c>
      <c r="V122" s="7">
        <f>IF(B122="","",IF(AB122,0,ROUND(AL122,2)))</f>
        <v/>
      </c>
      <c r="W122" s="7">
        <f>IF(B122="","",IF(AB122,0,MIN(5,ROUND(AL122+AM122,2))))</f>
        <v/>
      </c>
      <c r="X122" s="8">
        <f>IF(B122="","",IF(W122&gt;=5,"A+",IF(W122&gt;=4,"A",IF(W122&gt;=3.5,"A-",IF(W122&gt;=3,"B",IF(W122&gt;=2,"C",IF(W122&gt;=1,"D","F")))))))</f>
        <v/>
      </c>
      <c r="Y122">
        <f>NOT(OR(AND(J122&gt;=10,K122&gt;=23,L122&gt;=10,M122&gt;=23),AND(J122+L122&gt;=20,K122+M122&gt;=46)))</f>
        <v/>
      </c>
      <c r="Z122">
        <f>OR(N122&lt;10,O122&lt;23)</f>
        <v/>
      </c>
      <c r="AA122">
        <f>OR(P122&lt;10,Q122&lt;23)</f>
        <v/>
      </c>
      <c r="AB122">
        <f>OR((C122+D122)&lt;66,(E122+F122)&lt;66,G122&lt;33,(H122+I122)&lt;66,Y122,Z122,AA122,R122&lt;8.25)</f>
        <v/>
      </c>
      <c r="AC122">
        <f>IF(C122+D122&lt;66,0,IF((C122+D122)/2&gt;=80,5,IF((C122+D122)/2&gt;=70,4,IF((C122+D122)/2&gt;=60,3.5,IF((C122+D122)/2&gt;=50,3,IF((C122+D122)/2&gt;=40,2,IF((C122+D122)/2&gt;=33,1,0)))))))</f>
        <v/>
      </c>
      <c r="AD122">
        <f>IF(E122+F122&lt;66,0,IF((E122+F122)/2&gt;=80,5,IF((E122+F122)/2&gt;=70,4,IF((E122+F122)/2&gt;=60,3.5,IF((E122+F122)/2&gt;=50,3,IF((E122+F122)/2&gt;=40,2,IF((E122+F122)/2&gt;=33,1,0)))))))</f>
        <v/>
      </c>
      <c r="AE122">
        <f>IF(G122&lt;33,0,IF(G122&gt;=80,5,IF(G122&gt;=70,4,IF(G122&gt;=60,3.5,IF(G122&gt;=50,3,IF(G122&gt;=40,2,IF(G122&gt;=33,1,0)))))))</f>
        <v/>
      </c>
      <c r="AF122">
        <f>IF(H122+I122&lt;66,0,IF((H122+I122)/2&gt;=80,5,IF((H122+I122)/2&gt;=70,4,IF((H122+I122)/2&gt;=60,3.5,IF((H122+I122)/2&gt;=50,3,IF((H122+I122)/2&gt;=40,2,IF((H122+I122)/2&gt;=33,1,0)))))))</f>
        <v/>
      </c>
      <c r="AG122">
        <f>IF(Y122,0,IF((J122+K122+L122+M122)/2&gt;=80,5,IF((J122+K122+L122+M122)/2&gt;=70,4,IF((J122+K122+L122+M122)/2&gt;=60,3.5,IF((J122+K122+L122+M122)/2&gt;=50,3,IF((J122+K122+L122+M122)/2&gt;=40,2,IF((J122+K122+L122+M122)/2&gt;=33,1,0)))))))</f>
        <v/>
      </c>
      <c r="AH122">
        <f>IF(Z122,0,IF(N122+O122&gt;=80,5,IF(N122+O122&gt;=70,4,IF(N122+O122&gt;=60,3.5,IF(N122+O122&gt;=50,3,IF(N122+O122&gt;=40,2,IF(N122+O122&gt;=33,1,0)))))))</f>
        <v/>
      </c>
      <c r="AI122">
        <f>IF(AA122,0,IF(P122+Q122&gt;=80,5,IF(P122+Q122&gt;=70,4,IF(P122+Q122&gt;=60,3.5,IF(P122+Q122&gt;=50,3,IF(P122+Q122&gt;=40,2,IF(P122+Q122&gt;=33,1,0)))))))</f>
        <v/>
      </c>
      <c r="AJ122">
        <f>IF(R122&lt;8.25,0,IF(R122*2&gt;=80,5,IF(R122*2&gt;=70,4,IF(R122*2&gt;=60,3.5,IF(R122*2&gt;=50,3,IF(R122*2&gt;=40,2,IF(R122*2&gt;=33,1,0)))))))</f>
        <v/>
      </c>
      <c r="AK122">
        <f>IF(S122&lt;33,0,IF(S122&gt;=80,5,IF(S122&gt;=70,4,IF(S122&gt;=60,3.5,IF(S122&gt;=50,3,IF(S122&gt;=40,2,IF(S122&gt;=33,1,0)))))))</f>
        <v/>
      </c>
      <c r="AL122">
        <f>(AC122+AD122+AE122+AF122+AG122+AH122+AI122+AJ122)/8</f>
        <v/>
      </c>
      <c r="AM122">
        <f>IF(AK122&gt;=2,(AK122-2)/8,0)</f>
        <v/>
      </c>
    </row>
    <row r="123">
      <c r="T123">
        <f>SUM(C123:R123)</f>
        <v/>
      </c>
      <c r="U123" s="6">
        <f>ROUND(T123/11.5,2)</f>
        <v/>
      </c>
      <c r="V123" s="7">
        <f>IF(B123="","",IF(AB123,0,ROUND(AL123,2)))</f>
        <v/>
      </c>
      <c r="W123" s="7">
        <f>IF(B123="","",IF(AB123,0,MIN(5,ROUND(AL123+AM123,2))))</f>
        <v/>
      </c>
      <c r="X123" s="8">
        <f>IF(B123="","",IF(W123&gt;=5,"A+",IF(W123&gt;=4,"A",IF(W123&gt;=3.5,"A-",IF(W123&gt;=3,"B",IF(W123&gt;=2,"C",IF(W123&gt;=1,"D","F")))))))</f>
        <v/>
      </c>
      <c r="Y123">
        <f>NOT(OR(AND(J123&gt;=10,K123&gt;=23,L123&gt;=10,M123&gt;=23),AND(J123+L123&gt;=20,K123+M123&gt;=46)))</f>
        <v/>
      </c>
      <c r="Z123">
        <f>OR(N123&lt;10,O123&lt;23)</f>
        <v/>
      </c>
      <c r="AA123">
        <f>OR(P123&lt;10,Q123&lt;23)</f>
        <v/>
      </c>
      <c r="AB123">
        <f>OR((C123+D123)&lt;66,(E123+F123)&lt;66,G123&lt;33,(H123+I123)&lt;66,Y123,Z123,AA123,R123&lt;8.25)</f>
        <v/>
      </c>
      <c r="AC123">
        <f>IF(C123+D123&lt;66,0,IF((C123+D123)/2&gt;=80,5,IF((C123+D123)/2&gt;=70,4,IF((C123+D123)/2&gt;=60,3.5,IF((C123+D123)/2&gt;=50,3,IF((C123+D123)/2&gt;=40,2,IF((C123+D123)/2&gt;=33,1,0)))))))</f>
        <v/>
      </c>
      <c r="AD123">
        <f>IF(E123+F123&lt;66,0,IF((E123+F123)/2&gt;=80,5,IF((E123+F123)/2&gt;=70,4,IF((E123+F123)/2&gt;=60,3.5,IF((E123+F123)/2&gt;=50,3,IF((E123+F123)/2&gt;=40,2,IF((E123+F123)/2&gt;=33,1,0)))))))</f>
        <v/>
      </c>
      <c r="AE123">
        <f>IF(G123&lt;33,0,IF(G123&gt;=80,5,IF(G123&gt;=70,4,IF(G123&gt;=60,3.5,IF(G123&gt;=50,3,IF(G123&gt;=40,2,IF(G123&gt;=33,1,0)))))))</f>
        <v/>
      </c>
      <c r="AF123">
        <f>IF(H123+I123&lt;66,0,IF((H123+I123)/2&gt;=80,5,IF((H123+I123)/2&gt;=70,4,IF((H123+I123)/2&gt;=60,3.5,IF((H123+I123)/2&gt;=50,3,IF((H123+I123)/2&gt;=40,2,IF((H123+I123)/2&gt;=33,1,0)))))))</f>
        <v/>
      </c>
      <c r="AG123">
        <f>IF(Y123,0,IF((J123+K123+L123+M123)/2&gt;=80,5,IF((J123+K123+L123+M123)/2&gt;=70,4,IF((J123+K123+L123+M123)/2&gt;=60,3.5,IF((J123+K123+L123+M123)/2&gt;=50,3,IF((J123+K123+L123+M123)/2&gt;=40,2,IF((J123+K123+L123+M123)/2&gt;=33,1,0)))))))</f>
        <v/>
      </c>
      <c r="AH123">
        <f>IF(Z123,0,IF(N123+O123&gt;=80,5,IF(N123+O123&gt;=70,4,IF(N123+O123&gt;=60,3.5,IF(N123+O123&gt;=50,3,IF(N123+O123&gt;=40,2,IF(N123+O123&gt;=33,1,0)))))))</f>
        <v/>
      </c>
      <c r="AI123">
        <f>IF(AA123,0,IF(P123+Q123&gt;=80,5,IF(P123+Q123&gt;=70,4,IF(P123+Q123&gt;=60,3.5,IF(P123+Q123&gt;=50,3,IF(P123+Q123&gt;=40,2,IF(P123+Q123&gt;=33,1,0)))))))</f>
        <v/>
      </c>
      <c r="AJ123">
        <f>IF(R123&lt;8.25,0,IF(R123*2&gt;=80,5,IF(R123*2&gt;=70,4,IF(R123*2&gt;=60,3.5,IF(R123*2&gt;=50,3,IF(R123*2&gt;=40,2,IF(R123*2&gt;=33,1,0)))))))</f>
        <v/>
      </c>
      <c r="AK123">
        <f>IF(S123&lt;33,0,IF(S123&gt;=80,5,IF(S123&gt;=70,4,IF(S123&gt;=60,3.5,IF(S123&gt;=50,3,IF(S123&gt;=40,2,IF(S123&gt;=33,1,0)))))))</f>
        <v/>
      </c>
      <c r="AL123">
        <f>(AC123+AD123+AE123+AF123+AG123+AH123+AI123+AJ123)/8</f>
        <v/>
      </c>
      <c r="AM123">
        <f>IF(AK123&gt;=2,(AK123-2)/8,0)</f>
        <v/>
      </c>
    </row>
    <row r="124">
      <c r="T124">
        <f>SUM(C124:R124)</f>
        <v/>
      </c>
      <c r="U124" s="6">
        <f>ROUND(T124/11.5,2)</f>
        <v/>
      </c>
      <c r="V124" s="7">
        <f>IF(B124="","",IF(AB124,0,ROUND(AL124,2)))</f>
        <v/>
      </c>
      <c r="W124" s="7">
        <f>IF(B124="","",IF(AB124,0,MIN(5,ROUND(AL124+AM124,2))))</f>
        <v/>
      </c>
      <c r="X124" s="8">
        <f>IF(B124="","",IF(W124&gt;=5,"A+",IF(W124&gt;=4,"A",IF(W124&gt;=3.5,"A-",IF(W124&gt;=3,"B",IF(W124&gt;=2,"C",IF(W124&gt;=1,"D","F")))))))</f>
        <v/>
      </c>
      <c r="Y124">
        <f>NOT(OR(AND(J124&gt;=10,K124&gt;=23,L124&gt;=10,M124&gt;=23),AND(J124+L124&gt;=20,K124+M124&gt;=46)))</f>
        <v/>
      </c>
      <c r="Z124">
        <f>OR(N124&lt;10,O124&lt;23)</f>
        <v/>
      </c>
      <c r="AA124">
        <f>OR(P124&lt;10,Q124&lt;23)</f>
        <v/>
      </c>
      <c r="AB124">
        <f>OR((C124+D124)&lt;66,(E124+F124)&lt;66,G124&lt;33,(H124+I124)&lt;66,Y124,Z124,AA124,R124&lt;8.25)</f>
        <v/>
      </c>
      <c r="AC124">
        <f>IF(C124+D124&lt;66,0,IF((C124+D124)/2&gt;=80,5,IF((C124+D124)/2&gt;=70,4,IF((C124+D124)/2&gt;=60,3.5,IF((C124+D124)/2&gt;=50,3,IF((C124+D124)/2&gt;=40,2,IF((C124+D124)/2&gt;=33,1,0)))))))</f>
        <v/>
      </c>
      <c r="AD124">
        <f>IF(E124+F124&lt;66,0,IF((E124+F124)/2&gt;=80,5,IF((E124+F124)/2&gt;=70,4,IF((E124+F124)/2&gt;=60,3.5,IF((E124+F124)/2&gt;=50,3,IF((E124+F124)/2&gt;=40,2,IF((E124+F124)/2&gt;=33,1,0)))))))</f>
        <v/>
      </c>
      <c r="AE124">
        <f>IF(G124&lt;33,0,IF(G124&gt;=80,5,IF(G124&gt;=70,4,IF(G124&gt;=60,3.5,IF(G124&gt;=50,3,IF(G124&gt;=40,2,IF(G124&gt;=33,1,0)))))))</f>
        <v/>
      </c>
      <c r="AF124">
        <f>IF(H124+I124&lt;66,0,IF((H124+I124)/2&gt;=80,5,IF((H124+I124)/2&gt;=70,4,IF((H124+I124)/2&gt;=60,3.5,IF((H124+I124)/2&gt;=50,3,IF((H124+I124)/2&gt;=40,2,IF((H124+I124)/2&gt;=33,1,0)))))))</f>
        <v/>
      </c>
      <c r="AG124">
        <f>IF(Y124,0,IF((J124+K124+L124+M124)/2&gt;=80,5,IF((J124+K124+L124+M124)/2&gt;=70,4,IF((J124+K124+L124+M124)/2&gt;=60,3.5,IF((J124+K124+L124+M124)/2&gt;=50,3,IF((J124+K124+L124+M124)/2&gt;=40,2,IF((J124+K124+L124+M124)/2&gt;=33,1,0)))))))</f>
        <v/>
      </c>
      <c r="AH124">
        <f>IF(Z124,0,IF(N124+O124&gt;=80,5,IF(N124+O124&gt;=70,4,IF(N124+O124&gt;=60,3.5,IF(N124+O124&gt;=50,3,IF(N124+O124&gt;=40,2,IF(N124+O124&gt;=33,1,0)))))))</f>
        <v/>
      </c>
      <c r="AI124">
        <f>IF(AA124,0,IF(P124+Q124&gt;=80,5,IF(P124+Q124&gt;=70,4,IF(P124+Q124&gt;=60,3.5,IF(P124+Q124&gt;=50,3,IF(P124+Q124&gt;=40,2,IF(P124+Q124&gt;=33,1,0)))))))</f>
        <v/>
      </c>
      <c r="AJ124">
        <f>IF(R124&lt;8.25,0,IF(R124*2&gt;=80,5,IF(R124*2&gt;=70,4,IF(R124*2&gt;=60,3.5,IF(R124*2&gt;=50,3,IF(R124*2&gt;=40,2,IF(R124*2&gt;=33,1,0)))))))</f>
        <v/>
      </c>
      <c r="AK124">
        <f>IF(S124&lt;33,0,IF(S124&gt;=80,5,IF(S124&gt;=70,4,IF(S124&gt;=60,3.5,IF(S124&gt;=50,3,IF(S124&gt;=40,2,IF(S124&gt;=33,1,0)))))))</f>
        <v/>
      </c>
      <c r="AL124">
        <f>(AC124+AD124+AE124+AF124+AG124+AH124+AI124+AJ124)/8</f>
        <v/>
      </c>
      <c r="AM124">
        <f>IF(AK124&gt;=2,(AK124-2)/8,0)</f>
        <v/>
      </c>
    </row>
    <row r="125">
      <c r="T125">
        <f>SUM(C125:R125)</f>
        <v/>
      </c>
      <c r="U125" s="6">
        <f>ROUND(T125/11.5,2)</f>
        <v/>
      </c>
      <c r="V125" s="7">
        <f>IF(B125="","",IF(AB125,0,ROUND(AL125,2)))</f>
        <v/>
      </c>
      <c r="W125" s="7">
        <f>IF(B125="","",IF(AB125,0,MIN(5,ROUND(AL125+AM125,2))))</f>
        <v/>
      </c>
      <c r="X125" s="8">
        <f>IF(B125="","",IF(W125&gt;=5,"A+",IF(W125&gt;=4,"A",IF(W125&gt;=3.5,"A-",IF(W125&gt;=3,"B",IF(W125&gt;=2,"C",IF(W125&gt;=1,"D","F")))))))</f>
        <v/>
      </c>
      <c r="Y125">
        <f>NOT(OR(AND(J125&gt;=10,K125&gt;=23,L125&gt;=10,M125&gt;=23),AND(J125+L125&gt;=20,K125+M125&gt;=46)))</f>
        <v/>
      </c>
      <c r="Z125">
        <f>OR(N125&lt;10,O125&lt;23)</f>
        <v/>
      </c>
      <c r="AA125">
        <f>OR(P125&lt;10,Q125&lt;23)</f>
        <v/>
      </c>
      <c r="AB125">
        <f>OR((C125+D125)&lt;66,(E125+F125)&lt;66,G125&lt;33,(H125+I125)&lt;66,Y125,Z125,AA125,R125&lt;8.25)</f>
        <v/>
      </c>
      <c r="AC125">
        <f>IF(C125+D125&lt;66,0,IF((C125+D125)/2&gt;=80,5,IF((C125+D125)/2&gt;=70,4,IF((C125+D125)/2&gt;=60,3.5,IF((C125+D125)/2&gt;=50,3,IF((C125+D125)/2&gt;=40,2,IF((C125+D125)/2&gt;=33,1,0)))))))</f>
        <v/>
      </c>
      <c r="AD125">
        <f>IF(E125+F125&lt;66,0,IF((E125+F125)/2&gt;=80,5,IF((E125+F125)/2&gt;=70,4,IF((E125+F125)/2&gt;=60,3.5,IF((E125+F125)/2&gt;=50,3,IF((E125+F125)/2&gt;=40,2,IF((E125+F125)/2&gt;=33,1,0)))))))</f>
        <v/>
      </c>
      <c r="AE125">
        <f>IF(G125&lt;33,0,IF(G125&gt;=80,5,IF(G125&gt;=70,4,IF(G125&gt;=60,3.5,IF(G125&gt;=50,3,IF(G125&gt;=40,2,IF(G125&gt;=33,1,0)))))))</f>
        <v/>
      </c>
      <c r="AF125">
        <f>IF(H125+I125&lt;66,0,IF((H125+I125)/2&gt;=80,5,IF((H125+I125)/2&gt;=70,4,IF((H125+I125)/2&gt;=60,3.5,IF((H125+I125)/2&gt;=50,3,IF((H125+I125)/2&gt;=40,2,IF((H125+I125)/2&gt;=33,1,0)))))))</f>
        <v/>
      </c>
      <c r="AG125">
        <f>IF(Y125,0,IF((J125+K125+L125+M125)/2&gt;=80,5,IF((J125+K125+L125+M125)/2&gt;=70,4,IF((J125+K125+L125+M125)/2&gt;=60,3.5,IF((J125+K125+L125+M125)/2&gt;=50,3,IF((J125+K125+L125+M125)/2&gt;=40,2,IF((J125+K125+L125+M125)/2&gt;=33,1,0)))))))</f>
        <v/>
      </c>
      <c r="AH125">
        <f>IF(Z125,0,IF(N125+O125&gt;=80,5,IF(N125+O125&gt;=70,4,IF(N125+O125&gt;=60,3.5,IF(N125+O125&gt;=50,3,IF(N125+O125&gt;=40,2,IF(N125+O125&gt;=33,1,0)))))))</f>
        <v/>
      </c>
      <c r="AI125">
        <f>IF(AA125,0,IF(P125+Q125&gt;=80,5,IF(P125+Q125&gt;=70,4,IF(P125+Q125&gt;=60,3.5,IF(P125+Q125&gt;=50,3,IF(P125+Q125&gt;=40,2,IF(P125+Q125&gt;=33,1,0)))))))</f>
        <v/>
      </c>
      <c r="AJ125">
        <f>IF(R125&lt;8.25,0,IF(R125*2&gt;=80,5,IF(R125*2&gt;=70,4,IF(R125*2&gt;=60,3.5,IF(R125*2&gt;=50,3,IF(R125*2&gt;=40,2,IF(R125*2&gt;=33,1,0)))))))</f>
        <v/>
      </c>
      <c r="AK125">
        <f>IF(S125&lt;33,0,IF(S125&gt;=80,5,IF(S125&gt;=70,4,IF(S125&gt;=60,3.5,IF(S125&gt;=50,3,IF(S125&gt;=40,2,IF(S125&gt;=33,1,0)))))))</f>
        <v/>
      </c>
      <c r="AL125">
        <f>(AC125+AD125+AE125+AF125+AG125+AH125+AI125+AJ125)/8</f>
        <v/>
      </c>
      <c r="AM125">
        <f>IF(AK125&gt;=2,(AK125-2)/8,0)</f>
        <v/>
      </c>
    </row>
    <row r="126">
      <c r="T126">
        <f>SUM(C126:R126)</f>
        <v/>
      </c>
      <c r="U126" s="6">
        <f>ROUND(T126/11.5,2)</f>
        <v/>
      </c>
      <c r="V126" s="7">
        <f>IF(B126="","",IF(AB126,0,ROUND(AL126,2)))</f>
        <v/>
      </c>
      <c r="W126" s="7">
        <f>IF(B126="","",IF(AB126,0,MIN(5,ROUND(AL126+AM126,2))))</f>
        <v/>
      </c>
      <c r="X126" s="8">
        <f>IF(B126="","",IF(W126&gt;=5,"A+",IF(W126&gt;=4,"A",IF(W126&gt;=3.5,"A-",IF(W126&gt;=3,"B",IF(W126&gt;=2,"C",IF(W126&gt;=1,"D","F")))))))</f>
        <v/>
      </c>
      <c r="Y126">
        <f>NOT(OR(AND(J126&gt;=10,K126&gt;=23,L126&gt;=10,M126&gt;=23),AND(J126+L126&gt;=20,K126+M126&gt;=46)))</f>
        <v/>
      </c>
      <c r="Z126">
        <f>OR(N126&lt;10,O126&lt;23)</f>
        <v/>
      </c>
      <c r="AA126">
        <f>OR(P126&lt;10,Q126&lt;23)</f>
        <v/>
      </c>
      <c r="AB126">
        <f>OR((C126+D126)&lt;66,(E126+F126)&lt;66,G126&lt;33,(H126+I126)&lt;66,Y126,Z126,AA126,R126&lt;8.25)</f>
        <v/>
      </c>
      <c r="AC126">
        <f>IF(C126+D126&lt;66,0,IF((C126+D126)/2&gt;=80,5,IF((C126+D126)/2&gt;=70,4,IF((C126+D126)/2&gt;=60,3.5,IF((C126+D126)/2&gt;=50,3,IF((C126+D126)/2&gt;=40,2,IF((C126+D126)/2&gt;=33,1,0)))))))</f>
        <v/>
      </c>
      <c r="AD126">
        <f>IF(E126+F126&lt;66,0,IF((E126+F126)/2&gt;=80,5,IF((E126+F126)/2&gt;=70,4,IF((E126+F126)/2&gt;=60,3.5,IF((E126+F126)/2&gt;=50,3,IF((E126+F126)/2&gt;=40,2,IF((E126+F126)/2&gt;=33,1,0)))))))</f>
        <v/>
      </c>
      <c r="AE126">
        <f>IF(G126&lt;33,0,IF(G126&gt;=80,5,IF(G126&gt;=70,4,IF(G126&gt;=60,3.5,IF(G126&gt;=50,3,IF(G126&gt;=40,2,IF(G126&gt;=33,1,0)))))))</f>
        <v/>
      </c>
      <c r="AF126">
        <f>IF(H126+I126&lt;66,0,IF((H126+I126)/2&gt;=80,5,IF((H126+I126)/2&gt;=70,4,IF((H126+I126)/2&gt;=60,3.5,IF((H126+I126)/2&gt;=50,3,IF((H126+I126)/2&gt;=40,2,IF((H126+I126)/2&gt;=33,1,0)))))))</f>
        <v/>
      </c>
      <c r="AG126">
        <f>IF(Y126,0,IF((J126+K126+L126+M126)/2&gt;=80,5,IF((J126+K126+L126+M126)/2&gt;=70,4,IF((J126+K126+L126+M126)/2&gt;=60,3.5,IF((J126+K126+L126+M126)/2&gt;=50,3,IF((J126+K126+L126+M126)/2&gt;=40,2,IF((J126+K126+L126+M126)/2&gt;=33,1,0)))))))</f>
        <v/>
      </c>
      <c r="AH126">
        <f>IF(Z126,0,IF(N126+O126&gt;=80,5,IF(N126+O126&gt;=70,4,IF(N126+O126&gt;=60,3.5,IF(N126+O126&gt;=50,3,IF(N126+O126&gt;=40,2,IF(N126+O126&gt;=33,1,0)))))))</f>
        <v/>
      </c>
      <c r="AI126">
        <f>IF(AA126,0,IF(P126+Q126&gt;=80,5,IF(P126+Q126&gt;=70,4,IF(P126+Q126&gt;=60,3.5,IF(P126+Q126&gt;=50,3,IF(P126+Q126&gt;=40,2,IF(P126+Q126&gt;=33,1,0)))))))</f>
        <v/>
      </c>
      <c r="AJ126">
        <f>IF(R126&lt;8.25,0,IF(R126*2&gt;=80,5,IF(R126*2&gt;=70,4,IF(R126*2&gt;=60,3.5,IF(R126*2&gt;=50,3,IF(R126*2&gt;=40,2,IF(R126*2&gt;=33,1,0)))))))</f>
        <v/>
      </c>
      <c r="AK126">
        <f>IF(S126&lt;33,0,IF(S126&gt;=80,5,IF(S126&gt;=70,4,IF(S126&gt;=60,3.5,IF(S126&gt;=50,3,IF(S126&gt;=40,2,IF(S126&gt;=33,1,0)))))))</f>
        <v/>
      </c>
      <c r="AL126">
        <f>(AC126+AD126+AE126+AF126+AG126+AH126+AI126+AJ126)/8</f>
        <v/>
      </c>
      <c r="AM126">
        <f>IF(AK126&gt;=2,(AK126-2)/8,0)</f>
        <v/>
      </c>
    </row>
    <row r="127">
      <c r="T127">
        <f>SUM(C127:R127)</f>
        <v/>
      </c>
      <c r="U127" s="6">
        <f>ROUND(T127/11.5,2)</f>
        <v/>
      </c>
      <c r="V127" s="7">
        <f>IF(B127="","",IF(AB127,0,ROUND(AL127,2)))</f>
        <v/>
      </c>
      <c r="W127" s="7">
        <f>IF(B127="","",IF(AB127,0,MIN(5,ROUND(AL127+AM127,2))))</f>
        <v/>
      </c>
      <c r="X127" s="8">
        <f>IF(B127="","",IF(W127&gt;=5,"A+",IF(W127&gt;=4,"A",IF(W127&gt;=3.5,"A-",IF(W127&gt;=3,"B",IF(W127&gt;=2,"C",IF(W127&gt;=1,"D","F")))))))</f>
        <v/>
      </c>
      <c r="Y127">
        <f>NOT(OR(AND(J127&gt;=10,K127&gt;=23,L127&gt;=10,M127&gt;=23),AND(J127+L127&gt;=20,K127+M127&gt;=46)))</f>
        <v/>
      </c>
      <c r="Z127">
        <f>OR(N127&lt;10,O127&lt;23)</f>
        <v/>
      </c>
      <c r="AA127">
        <f>OR(P127&lt;10,Q127&lt;23)</f>
        <v/>
      </c>
      <c r="AB127">
        <f>OR((C127+D127)&lt;66,(E127+F127)&lt;66,G127&lt;33,(H127+I127)&lt;66,Y127,Z127,AA127,R127&lt;8.25)</f>
        <v/>
      </c>
      <c r="AC127">
        <f>IF(C127+D127&lt;66,0,IF((C127+D127)/2&gt;=80,5,IF((C127+D127)/2&gt;=70,4,IF((C127+D127)/2&gt;=60,3.5,IF((C127+D127)/2&gt;=50,3,IF((C127+D127)/2&gt;=40,2,IF((C127+D127)/2&gt;=33,1,0)))))))</f>
        <v/>
      </c>
      <c r="AD127">
        <f>IF(E127+F127&lt;66,0,IF((E127+F127)/2&gt;=80,5,IF((E127+F127)/2&gt;=70,4,IF((E127+F127)/2&gt;=60,3.5,IF((E127+F127)/2&gt;=50,3,IF((E127+F127)/2&gt;=40,2,IF((E127+F127)/2&gt;=33,1,0)))))))</f>
        <v/>
      </c>
      <c r="AE127">
        <f>IF(G127&lt;33,0,IF(G127&gt;=80,5,IF(G127&gt;=70,4,IF(G127&gt;=60,3.5,IF(G127&gt;=50,3,IF(G127&gt;=40,2,IF(G127&gt;=33,1,0)))))))</f>
        <v/>
      </c>
      <c r="AF127">
        <f>IF(H127+I127&lt;66,0,IF((H127+I127)/2&gt;=80,5,IF((H127+I127)/2&gt;=70,4,IF((H127+I127)/2&gt;=60,3.5,IF((H127+I127)/2&gt;=50,3,IF((H127+I127)/2&gt;=40,2,IF((H127+I127)/2&gt;=33,1,0)))))))</f>
        <v/>
      </c>
      <c r="AG127">
        <f>IF(Y127,0,IF((J127+K127+L127+M127)/2&gt;=80,5,IF((J127+K127+L127+M127)/2&gt;=70,4,IF((J127+K127+L127+M127)/2&gt;=60,3.5,IF((J127+K127+L127+M127)/2&gt;=50,3,IF((J127+K127+L127+M127)/2&gt;=40,2,IF((J127+K127+L127+M127)/2&gt;=33,1,0)))))))</f>
        <v/>
      </c>
      <c r="AH127">
        <f>IF(Z127,0,IF(N127+O127&gt;=80,5,IF(N127+O127&gt;=70,4,IF(N127+O127&gt;=60,3.5,IF(N127+O127&gt;=50,3,IF(N127+O127&gt;=40,2,IF(N127+O127&gt;=33,1,0)))))))</f>
        <v/>
      </c>
      <c r="AI127">
        <f>IF(AA127,0,IF(P127+Q127&gt;=80,5,IF(P127+Q127&gt;=70,4,IF(P127+Q127&gt;=60,3.5,IF(P127+Q127&gt;=50,3,IF(P127+Q127&gt;=40,2,IF(P127+Q127&gt;=33,1,0)))))))</f>
        <v/>
      </c>
      <c r="AJ127">
        <f>IF(R127&lt;8.25,0,IF(R127*2&gt;=80,5,IF(R127*2&gt;=70,4,IF(R127*2&gt;=60,3.5,IF(R127*2&gt;=50,3,IF(R127*2&gt;=40,2,IF(R127*2&gt;=33,1,0)))))))</f>
        <v/>
      </c>
      <c r="AK127">
        <f>IF(S127&lt;33,0,IF(S127&gt;=80,5,IF(S127&gt;=70,4,IF(S127&gt;=60,3.5,IF(S127&gt;=50,3,IF(S127&gt;=40,2,IF(S127&gt;=33,1,0)))))))</f>
        <v/>
      </c>
      <c r="AL127">
        <f>(AC127+AD127+AE127+AF127+AG127+AH127+AI127+AJ127)/8</f>
        <v/>
      </c>
      <c r="AM127">
        <f>IF(AK127&gt;=2,(AK127-2)/8,0)</f>
        <v/>
      </c>
    </row>
    <row r="128">
      <c r="T128">
        <f>SUM(C128:R128)</f>
        <v/>
      </c>
      <c r="U128" s="6">
        <f>ROUND(T128/11.5,2)</f>
        <v/>
      </c>
      <c r="V128" s="7">
        <f>IF(B128="","",IF(AB128,0,ROUND(AL128,2)))</f>
        <v/>
      </c>
      <c r="W128" s="7">
        <f>IF(B128="","",IF(AB128,0,MIN(5,ROUND(AL128+AM128,2))))</f>
        <v/>
      </c>
      <c r="X128" s="8">
        <f>IF(B128="","",IF(W128&gt;=5,"A+",IF(W128&gt;=4,"A",IF(W128&gt;=3.5,"A-",IF(W128&gt;=3,"B",IF(W128&gt;=2,"C",IF(W128&gt;=1,"D","F")))))))</f>
        <v/>
      </c>
      <c r="Y128">
        <f>NOT(OR(AND(J128&gt;=10,K128&gt;=23,L128&gt;=10,M128&gt;=23),AND(J128+L128&gt;=20,K128+M128&gt;=46)))</f>
        <v/>
      </c>
      <c r="Z128">
        <f>OR(N128&lt;10,O128&lt;23)</f>
        <v/>
      </c>
      <c r="AA128">
        <f>OR(P128&lt;10,Q128&lt;23)</f>
        <v/>
      </c>
      <c r="AB128">
        <f>OR((C128+D128)&lt;66,(E128+F128)&lt;66,G128&lt;33,(H128+I128)&lt;66,Y128,Z128,AA128,R128&lt;8.25)</f>
        <v/>
      </c>
      <c r="AC128">
        <f>IF(C128+D128&lt;66,0,IF((C128+D128)/2&gt;=80,5,IF((C128+D128)/2&gt;=70,4,IF((C128+D128)/2&gt;=60,3.5,IF((C128+D128)/2&gt;=50,3,IF((C128+D128)/2&gt;=40,2,IF((C128+D128)/2&gt;=33,1,0)))))))</f>
        <v/>
      </c>
      <c r="AD128">
        <f>IF(E128+F128&lt;66,0,IF((E128+F128)/2&gt;=80,5,IF((E128+F128)/2&gt;=70,4,IF((E128+F128)/2&gt;=60,3.5,IF((E128+F128)/2&gt;=50,3,IF((E128+F128)/2&gt;=40,2,IF((E128+F128)/2&gt;=33,1,0)))))))</f>
        <v/>
      </c>
      <c r="AE128">
        <f>IF(G128&lt;33,0,IF(G128&gt;=80,5,IF(G128&gt;=70,4,IF(G128&gt;=60,3.5,IF(G128&gt;=50,3,IF(G128&gt;=40,2,IF(G128&gt;=33,1,0)))))))</f>
        <v/>
      </c>
      <c r="AF128">
        <f>IF(H128+I128&lt;66,0,IF((H128+I128)/2&gt;=80,5,IF((H128+I128)/2&gt;=70,4,IF((H128+I128)/2&gt;=60,3.5,IF((H128+I128)/2&gt;=50,3,IF((H128+I128)/2&gt;=40,2,IF((H128+I128)/2&gt;=33,1,0)))))))</f>
        <v/>
      </c>
      <c r="AG128">
        <f>IF(Y128,0,IF((J128+K128+L128+M128)/2&gt;=80,5,IF((J128+K128+L128+M128)/2&gt;=70,4,IF((J128+K128+L128+M128)/2&gt;=60,3.5,IF((J128+K128+L128+M128)/2&gt;=50,3,IF((J128+K128+L128+M128)/2&gt;=40,2,IF((J128+K128+L128+M128)/2&gt;=33,1,0)))))))</f>
        <v/>
      </c>
      <c r="AH128">
        <f>IF(Z128,0,IF(N128+O128&gt;=80,5,IF(N128+O128&gt;=70,4,IF(N128+O128&gt;=60,3.5,IF(N128+O128&gt;=50,3,IF(N128+O128&gt;=40,2,IF(N128+O128&gt;=33,1,0)))))))</f>
        <v/>
      </c>
      <c r="AI128">
        <f>IF(AA128,0,IF(P128+Q128&gt;=80,5,IF(P128+Q128&gt;=70,4,IF(P128+Q128&gt;=60,3.5,IF(P128+Q128&gt;=50,3,IF(P128+Q128&gt;=40,2,IF(P128+Q128&gt;=33,1,0)))))))</f>
        <v/>
      </c>
      <c r="AJ128">
        <f>IF(R128&lt;8.25,0,IF(R128*2&gt;=80,5,IF(R128*2&gt;=70,4,IF(R128*2&gt;=60,3.5,IF(R128*2&gt;=50,3,IF(R128*2&gt;=40,2,IF(R128*2&gt;=33,1,0)))))))</f>
        <v/>
      </c>
      <c r="AK128">
        <f>IF(S128&lt;33,0,IF(S128&gt;=80,5,IF(S128&gt;=70,4,IF(S128&gt;=60,3.5,IF(S128&gt;=50,3,IF(S128&gt;=40,2,IF(S128&gt;=33,1,0)))))))</f>
        <v/>
      </c>
      <c r="AL128">
        <f>(AC128+AD128+AE128+AF128+AG128+AH128+AI128+AJ128)/8</f>
        <v/>
      </c>
      <c r="AM128">
        <f>IF(AK128&gt;=2,(AK128-2)/8,0)</f>
        <v/>
      </c>
    </row>
    <row r="129">
      <c r="T129">
        <f>SUM(C129:R129)</f>
        <v/>
      </c>
      <c r="U129" s="6">
        <f>ROUND(T129/11.5,2)</f>
        <v/>
      </c>
      <c r="V129" s="7">
        <f>IF(B129="","",IF(AB129,0,ROUND(AL129,2)))</f>
        <v/>
      </c>
      <c r="W129" s="7">
        <f>IF(B129="","",IF(AB129,0,MIN(5,ROUND(AL129+AM129,2))))</f>
        <v/>
      </c>
      <c r="X129" s="8">
        <f>IF(B129="","",IF(W129&gt;=5,"A+",IF(W129&gt;=4,"A",IF(W129&gt;=3.5,"A-",IF(W129&gt;=3,"B",IF(W129&gt;=2,"C",IF(W129&gt;=1,"D","F")))))))</f>
        <v/>
      </c>
      <c r="Y129">
        <f>NOT(OR(AND(J129&gt;=10,K129&gt;=23,L129&gt;=10,M129&gt;=23),AND(J129+L129&gt;=20,K129+M129&gt;=46)))</f>
        <v/>
      </c>
      <c r="Z129">
        <f>OR(N129&lt;10,O129&lt;23)</f>
        <v/>
      </c>
      <c r="AA129">
        <f>OR(P129&lt;10,Q129&lt;23)</f>
        <v/>
      </c>
      <c r="AB129">
        <f>OR((C129+D129)&lt;66,(E129+F129)&lt;66,G129&lt;33,(H129+I129)&lt;66,Y129,Z129,AA129,R129&lt;8.25)</f>
        <v/>
      </c>
      <c r="AC129">
        <f>IF(C129+D129&lt;66,0,IF((C129+D129)/2&gt;=80,5,IF((C129+D129)/2&gt;=70,4,IF((C129+D129)/2&gt;=60,3.5,IF((C129+D129)/2&gt;=50,3,IF((C129+D129)/2&gt;=40,2,IF((C129+D129)/2&gt;=33,1,0)))))))</f>
        <v/>
      </c>
      <c r="AD129">
        <f>IF(E129+F129&lt;66,0,IF((E129+F129)/2&gt;=80,5,IF((E129+F129)/2&gt;=70,4,IF((E129+F129)/2&gt;=60,3.5,IF((E129+F129)/2&gt;=50,3,IF((E129+F129)/2&gt;=40,2,IF((E129+F129)/2&gt;=33,1,0)))))))</f>
        <v/>
      </c>
      <c r="AE129">
        <f>IF(G129&lt;33,0,IF(G129&gt;=80,5,IF(G129&gt;=70,4,IF(G129&gt;=60,3.5,IF(G129&gt;=50,3,IF(G129&gt;=40,2,IF(G129&gt;=33,1,0)))))))</f>
        <v/>
      </c>
      <c r="AF129">
        <f>IF(H129+I129&lt;66,0,IF((H129+I129)/2&gt;=80,5,IF((H129+I129)/2&gt;=70,4,IF((H129+I129)/2&gt;=60,3.5,IF((H129+I129)/2&gt;=50,3,IF((H129+I129)/2&gt;=40,2,IF((H129+I129)/2&gt;=33,1,0)))))))</f>
        <v/>
      </c>
      <c r="AG129">
        <f>IF(Y129,0,IF((J129+K129+L129+M129)/2&gt;=80,5,IF((J129+K129+L129+M129)/2&gt;=70,4,IF((J129+K129+L129+M129)/2&gt;=60,3.5,IF((J129+K129+L129+M129)/2&gt;=50,3,IF((J129+K129+L129+M129)/2&gt;=40,2,IF((J129+K129+L129+M129)/2&gt;=33,1,0)))))))</f>
        <v/>
      </c>
      <c r="AH129">
        <f>IF(Z129,0,IF(N129+O129&gt;=80,5,IF(N129+O129&gt;=70,4,IF(N129+O129&gt;=60,3.5,IF(N129+O129&gt;=50,3,IF(N129+O129&gt;=40,2,IF(N129+O129&gt;=33,1,0)))))))</f>
        <v/>
      </c>
      <c r="AI129">
        <f>IF(AA129,0,IF(P129+Q129&gt;=80,5,IF(P129+Q129&gt;=70,4,IF(P129+Q129&gt;=60,3.5,IF(P129+Q129&gt;=50,3,IF(P129+Q129&gt;=40,2,IF(P129+Q129&gt;=33,1,0)))))))</f>
        <v/>
      </c>
      <c r="AJ129">
        <f>IF(R129&lt;8.25,0,IF(R129*2&gt;=80,5,IF(R129*2&gt;=70,4,IF(R129*2&gt;=60,3.5,IF(R129*2&gt;=50,3,IF(R129*2&gt;=40,2,IF(R129*2&gt;=33,1,0)))))))</f>
        <v/>
      </c>
      <c r="AK129">
        <f>IF(S129&lt;33,0,IF(S129&gt;=80,5,IF(S129&gt;=70,4,IF(S129&gt;=60,3.5,IF(S129&gt;=50,3,IF(S129&gt;=40,2,IF(S129&gt;=33,1,0)))))))</f>
        <v/>
      </c>
      <c r="AL129">
        <f>(AC129+AD129+AE129+AF129+AG129+AH129+AI129+AJ129)/8</f>
        <v/>
      </c>
      <c r="AM129">
        <f>IF(AK129&gt;=2,(AK129-2)/8,0)</f>
        <v/>
      </c>
    </row>
    <row r="130">
      <c r="T130">
        <f>SUM(C130:R130)</f>
        <v/>
      </c>
      <c r="U130" s="6">
        <f>ROUND(T130/11.5,2)</f>
        <v/>
      </c>
      <c r="V130" s="7">
        <f>IF(B130="","",IF(AB130,0,ROUND(AL130,2)))</f>
        <v/>
      </c>
      <c r="W130" s="7">
        <f>IF(B130="","",IF(AB130,0,MIN(5,ROUND(AL130+AM130,2))))</f>
        <v/>
      </c>
      <c r="X130" s="8">
        <f>IF(B130="","",IF(W130&gt;=5,"A+",IF(W130&gt;=4,"A",IF(W130&gt;=3.5,"A-",IF(W130&gt;=3,"B",IF(W130&gt;=2,"C",IF(W130&gt;=1,"D","F")))))))</f>
        <v/>
      </c>
      <c r="Y130">
        <f>NOT(OR(AND(J130&gt;=10,K130&gt;=23,L130&gt;=10,M130&gt;=23),AND(J130+L130&gt;=20,K130+M130&gt;=46)))</f>
        <v/>
      </c>
      <c r="Z130">
        <f>OR(N130&lt;10,O130&lt;23)</f>
        <v/>
      </c>
      <c r="AA130">
        <f>OR(P130&lt;10,Q130&lt;23)</f>
        <v/>
      </c>
      <c r="AB130">
        <f>OR((C130+D130)&lt;66,(E130+F130)&lt;66,G130&lt;33,(H130+I130)&lt;66,Y130,Z130,AA130,R130&lt;8.25)</f>
        <v/>
      </c>
      <c r="AC130">
        <f>IF(C130+D130&lt;66,0,IF((C130+D130)/2&gt;=80,5,IF((C130+D130)/2&gt;=70,4,IF((C130+D130)/2&gt;=60,3.5,IF((C130+D130)/2&gt;=50,3,IF((C130+D130)/2&gt;=40,2,IF((C130+D130)/2&gt;=33,1,0)))))))</f>
        <v/>
      </c>
      <c r="AD130">
        <f>IF(E130+F130&lt;66,0,IF((E130+F130)/2&gt;=80,5,IF((E130+F130)/2&gt;=70,4,IF((E130+F130)/2&gt;=60,3.5,IF((E130+F130)/2&gt;=50,3,IF((E130+F130)/2&gt;=40,2,IF((E130+F130)/2&gt;=33,1,0)))))))</f>
        <v/>
      </c>
      <c r="AE130">
        <f>IF(G130&lt;33,0,IF(G130&gt;=80,5,IF(G130&gt;=70,4,IF(G130&gt;=60,3.5,IF(G130&gt;=50,3,IF(G130&gt;=40,2,IF(G130&gt;=33,1,0)))))))</f>
        <v/>
      </c>
      <c r="AF130">
        <f>IF(H130+I130&lt;66,0,IF((H130+I130)/2&gt;=80,5,IF((H130+I130)/2&gt;=70,4,IF((H130+I130)/2&gt;=60,3.5,IF((H130+I130)/2&gt;=50,3,IF((H130+I130)/2&gt;=40,2,IF((H130+I130)/2&gt;=33,1,0)))))))</f>
        <v/>
      </c>
      <c r="AG130">
        <f>IF(Y130,0,IF((J130+K130+L130+M130)/2&gt;=80,5,IF((J130+K130+L130+M130)/2&gt;=70,4,IF((J130+K130+L130+M130)/2&gt;=60,3.5,IF((J130+K130+L130+M130)/2&gt;=50,3,IF((J130+K130+L130+M130)/2&gt;=40,2,IF((J130+K130+L130+M130)/2&gt;=33,1,0)))))))</f>
        <v/>
      </c>
      <c r="AH130">
        <f>IF(Z130,0,IF(N130+O130&gt;=80,5,IF(N130+O130&gt;=70,4,IF(N130+O130&gt;=60,3.5,IF(N130+O130&gt;=50,3,IF(N130+O130&gt;=40,2,IF(N130+O130&gt;=33,1,0)))))))</f>
        <v/>
      </c>
      <c r="AI130">
        <f>IF(AA130,0,IF(P130+Q130&gt;=80,5,IF(P130+Q130&gt;=70,4,IF(P130+Q130&gt;=60,3.5,IF(P130+Q130&gt;=50,3,IF(P130+Q130&gt;=40,2,IF(P130+Q130&gt;=33,1,0)))))))</f>
        <v/>
      </c>
      <c r="AJ130">
        <f>IF(R130&lt;8.25,0,IF(R130*2&gt;=80,5,IF(R130*2&gt;=70,4,IF(R130*2&gt;=60,3.5,IF(R130*2&gt;=50,3,IF(R130*2&gt;=40,2,IF(R130*2&gt;=33,1,0)))))))</f>
        <v/>
      </c>
      <c r="AK130">
        <f>IF(S130&lt;33,0,IF(S130&gt;=80,5,IF(S130&gt;=70,4,IF(S130&gt;=60,3.5,IF(S130&gt;=50,3,IF(S130&gt;=40,2,IF(S130&gt;=33,1,0)))))))</f>
        <v/>
      </c>
      <c r="AL130">
        <f>(AC130+AD130+AE130+AF130+AG130+AH130+AI130+AJ130)/8</f>
        <v/>
      </c>
      <c r="AM130">
        <f>IF(AK130&gt;=2,(AK130-2)/8,0)</f>
        <v/>
      </c>
    </row>
    <row r="131">
      <c r="T131">
        <f>SUM(C131:R131)</f>
        <v/>
      </c>
      <c r="U131" s="6">
        <f>ROUND(T131/11.5,2)</f>
        <v/>
      </c>
      <c r="V131" s="7">
        <f>IF(B131="","",IF(AB131,0,ROUND(AL131,2)))</f>
        <v/>
      </c>
      <c r="W131" s="7">
        <f>IF(B131="","",IF(AB131,0,MIN(5,ROUND(AL131+AM131,2))))</f>
        <v/>
      </c>
      <c r="X131" s="8">
        <f>IF(B131="","",IF(W131&gt;=5,"A+",IF(W131&gt;=4,"A",IF(W131&gt;=3.5,"A-",IF(W131&gt;=3,"B",IF(W131&gt;=2,"C",IF(W131&gt;=1,"D","F")))))))</f>
        <v/>
      </c>
      <c r="Y131">
        <f>NOT(OR(AND(J131&gt;=10,K131&gt;=23,L131&gt;=10,M131&gt;=23),AND(J131+L131&gt;=20,K131+M131&gt;=46)))</f>
        <v/>
      </c>
      <c r="Z131">
        <f>OR(N131&lt;10,O131&lt;23)</f>
        <v/>
      </c>
      <c r="AA131">
        <f>OR(P131&lt;10,Q131&lt;23)</f>
        <v/>
      </c>
      <c r="AB131">
        <f>OR((C131+D131)&lt;66,(E131+F131)&lt;66,G131&lt;33,(H131+I131)&lt;66,Y131,Z131,AA131,R131&lt;8.25)</f>
        <v/>
      </c>
      <c r="AC131">
        <f>IF(C131+D131&lt;66,0,IF((C131+D131)/2&gt;=80,5,IF((C131+D131)/2&gt;=70,4,IF((C131+D131)/2&gt;=60,3.5,IF((C131+D131)/2&gt;=50,3,IF((C131+D131)/2&gt;=40,2,IF((C131+D131)/2&gt;=33,1,0)))))))</f>
        <v/>
      </c>
      <c r="AD131">
        <f>IF(E131+F131&lt;66,0,IF((E131+F131)/2&gt;=80,5,IF((E131+F131)/2&gt;=70,4,IF((E131+F131)/2&gt;=60,3.5,IF((E131+F131)/2&gt;=50,3,IF((E131+F131)/2&gt;=40,2,IF((E131+F131)/2&gt;=33,1,0)))))))</f>
        <v/>
      </c>
      <c r="AE131">
        <f>IF(G131&lt;33,0,IF(G131&gt;=80,5,IF(G131&gt;=70,4,IF(G131&gt;=60,3.5,IF(G131&gt;=50,3,IF(G131&gt;=40,2,IF(G131&gt;=33,1,0)))))))</f>
        <v/>
      </c>
      <c r="AF131">
        <f>IF(H131+I131&lt;66,0,IF((H131+I131)/2&gt;=80,5,IF((H131+I131)/2&gt;=70,4,IF((H131+I131)/2&gt;=60,3.5,IF((H131+I131)/2&gt;=50,3,IF((H131+I131)/2&gt;=40,2,IF((H131+I131)/2&gt;=33,1,0)))))))</f>
        <v/>
      </c>
      <c r="AG131">
        <f>IF(Y131,0,IF((J131+K131+L131+M131)/2&gt;=80,5,IF((J131+K131+L131+M131)/2&gt;=70,4,IF((J131+K131+L131+M131)/2&gt;=60,3.5,IF((J131+K131+L131+M131)/2&gt;=50,3,IF((J131+K131+L131+M131)/2&gt;=40,2,IF((J131+K131+L131+M131)/2&gt;=33,1,0)))))))</f>
        <v/>
      </c>
      <c r="AH131">
        <f>IF(Z131,0,IF(N131+O131&gt;=80,5,IF(N131+O131&gt;=70,4,IF(N131+O131&gt;=60,3.5,IF(N131+O131&gt;=50,3,IF(N131+O131&gt;=40,2,IF(N131+O131&gt;=33,1,0)))))))</f>
        <v/>
      </c>
      <c r="AI131">
        <f>IF(AA131,0,IF(P131+Q131&gt;=80,5,IF(P131+Q131&gt;=70,4,IF(P131+Q131&gt;=60,3.5,IF(P131+Q131&gt;=50,3,IF(P131+Q131&gt;=40,2,IF(P131+Q131&gt;=33,1,0)))))))</f>
        <v/>
      </c>
      <c r="AJ131">
        <f>IF(R131&lt;8.25,0,IF(R131*2&gt;=80,5,IF(R131*2&gt;=70,4,IF(R131*2&gt;=60,3.5,IF(R131*2&gt;=50,3,IF(R131*2&gt;=40,2,IF(R131*2&gt;=33,1,0)))))))</f>
        <v/>
      </c>
      <c r="AK131">
        <f>IF(S131&lt;33,0,IF(S131&gt;=80,5,IF(S131&gt;=70,4,IF(S131&gt;=60,3.5,IF(S131&gt;=50,3,IF(S131&gt;=40,2,IF(S131&gt;=33,1,0)))))))</f>
        <v/>
      </c>
      <c r="AL131">
        <f>(AC131+AD131+AE131+AF131+AG131+AH131+AI131+AJ131)/8</f>
        <v/>
      </c>
      <c r="AM131">
        <f>IF(AK131&gt;=2,(AK131-2)/8,0)</f>
        <v/>
      </c>
    </row>
    <row r="132">
      <c r="T132">
        <f>SUM(C132:R132)</f>
        <v/>
      </c>
      <c r="U132" s="6">
        <f>ROUND(T132/11.5,2)</f>
        <v/>
      </c>
      <c r="V132" s="7">
        <f>IF(B132="","",IF(AB132,0,ROUND(AL132,2)))</f>
        <v/>
      </c>
      <c r="W132" s="7">
        <f>IF(B132="","",IF(AB132,0,MIN(5,ROUND(AL132+AM132,2))))</f>
        <v/>
      </c>
      <c r="X132" s="8">
        <f>IF(B132="","",IF(W132&gt;=5,"A+",IF(W132&gt;=4,"A",IF(W132&gt;=3.5,"A-",IF(W132&gt;=3,"B",IF(W132&gt;=2,"C",IF(W132&gt;=1,"D","F")))))))</f>
        <v/>
      </c>
      <c r="Y132">
        <f>NOT(OR(AND(J132&gt;=10,K132&gt;=23,L132&gt;=10,M132&gt;=23),AND(J132+L132&gt;=20,K132+M132&gt;=46)))</f>
        <v/>
      </c>
      <c r="Z132">
        <f>OR(N132&lt;10,O132&lt;23)</f>
        <v/>
      </c>
      <c r="AA132">
        <f>OR(P132&lt;10,Q132&lt;23)</f>
        <v/>
      </c>
      <c r="AB132">
        <f>OR((C132+D132)&lt;66,(E132+F132)&lt;66,G132&lt;33,(H132+I132)&lt;66,Y132,Z132,AA132,R132&lt;8.25)</f>
        <v/>
      </c>
      <c r="AC132">
        <f>IF(C132+D132&lt;66,0,IF((C132+D132)/2&gt;=80,5,IF((C132+D132)/2&gt;=70,4,IF((C132+D132)/2&gt;=60,3.5,IF((C132+D132)/2&gt;=50,3,IF((C132+D132)/2&gt;=40,2,IF((C132+D132)/2&gt;=33,1,0)))))))</f>
        <v/>
      </c>
      <c r="AD132">
        <f>IF(E132+F132&lt;66,0,IF((E132+F132)/2&gt;=80,5,IF((E132+F132)/2&gt;=70,4,IF((E132+F132)/2&gt;=60,3.5,IF((E132+F132)/2&gt;=50,3,IF((E132+F132)/2&gt;=40,2,IF((E132+F132)/2&gt;=33,1,0)))))))</f>
        <v/>
      </c>
      <c r="AE132">
        <f>IF(G132&lt;33,0,IF(G132&gt;=80,5,IF(G132&gt;=70,4,IF(G132&gt;=60,3.5,IF(G132&gt;=50,3,IF(G132&gt;=40,2,IF(G132&gt;=33,1,0)))))))</f>
        <v/>
      </c>
      <c r="AF132">
        <f>IF(H132+I132&lt;66,0,IF((H132+I132)/2&gt;=80,5,IF((H132+I132)/2&gt;=70,4,IF((H132+I132)/2&gt;=60,3.5,IF((H132+I132)/2&gt;=50,3,IF((H132+I132)/2&gt;=40,2,IF((H132+I132)/2&gt;=33,1,0)))))))</f>
        <v/>
      </c>
      <c r="AG132">
        <f>IF(Y132,0,IF((J132+K132+L132+M132)/2&gt;=80,5,IF((J132+K132+L132+M132)/2&gt;=70,4,IF((J132+K132+L132+M132)/2&gt;=60,3.5,IF((J132+K132+L132+M132)/2&gt;=50,3,IF((J132+K132+L132+M132)/2&gt;=40,2,IF((J132+K132+L132+M132)/2&gt;=33,1,0)))))))</f>
        <v/>
      </c>
      <c r="AH132">
        <f>IF(Z132,0,IF(N132+O132&gt;=80,5,IF(N132+O132&gt;=70,4,IF(N132+O132&gt;=60,3.5,IF(N132+O132&gt;=50,3,IF(N132+O132&gt;=40,2,IF(N132+O132&gt;=33,1,0)))))))</f>
        <v/>
      </c>
      <c r="AI132">
        <f>IF(AA132,0,IF(P132+Q132&gt;=80,5,IF(P132+Q132&gt;=70,4,IF(P132+Q132&gt;=60,3.5,IF(P132+Q132&gt;=50,3,IF(P132+Q132&gt;=40,2,IF(P132+Q132&gt;=33,1,0)))))))</f>
        <v/>
      </c>
      <c r="AJ132">
        <f>IF(R132&lt;8.25,0,IF(R132*2&gt;=80,5,IF(R132*2&gt;=70,4,IF(R132*2&gt;=60,3.5,IF(R132*2&gt;=50,3,IF(R132*2&gt;=40,2,IF(R132*2&gt;=33,1,0)))))))</f>
        <v/>
      </c>
      <c r="AK132">
        <f>IF(S132&lt;33,0,IF(S132&gt;=80,5,IF(S132&gt;=70,4,IF(S132&gt;=60,3.5,IF(S132&gt;=50,3,IF(S132&gt;=40,2,IF(S132&gt;=33,1,0)))))))</f>
        <v/>
      </c>
      <c r="AL132">
        <f>(AC132+AD132+AE132+AF132+AG132+AH132+AI132+AJ132)/8</f>
        <v/>
      </c>
      <c r="AM132">
        <f>IF(AK132&gt;=2,(AK132-2)/8,0)</f>
        <v/>
      </c>
    </row>
    <row r="133">
      <c r="T133">
        <f>SUM(C133:R133)</f>
        <v/>
      </c>
      <c r="U133" s="6">
        <f>ROUND(T133/11.5,2)</f>
        <v/>
      </c>
      <c r="V133" s="7">
        <f>IF(B133="","",IF(AB133,0,ROUND(AL133,2)))</f>
        <v/>
      </c>
      <c r="W133" s="7">
        <f>IF(B133="","",IF(AB133,0,MIN(5,ROUND(AL133+AM133,2))))</f>
        <v/>
      </c>
      <c r="X133" s="8">
        <f>IF(B133="","",IF(W133&gt;=5,"A+",IF(W133&gt;=4,"A",IF(W133&gt;=3.5,"A-",IF(W133&gt;=3,"B",IF(W133&gt;=2,"C",IF(W133&gt;=1,"D","F")))))))</f>
        <v/>
      </c>
      <c r="Y133">
        <f>NOT(OR(AND(J133&gt;=10,K133&gt;=23,L133&gt;=10,M133&gt;=23),AND(J133+L133&gt;=20,K133+M133&gt;=46)))</f>
        <v/>
      </c>
      <c r="Z133">
        <f>OR(N133&lt;10,O133&lt;23)</f>
        <v/>
      </c>
      <c r="AA133">
        <f>OR(P133&lt;10,Q133&lt;23)</f>
        <v/>
      </c>
      <c r="AB133">
        <f>OR((C133+D133)&lt;66,(E133+F133)&lt;66,G133&lt;33,(H133+I133)&lt;66,Y133,Z133,AA133,R133&lt;8.25)</f>
        <v/>
      </c>
      <c r="AC133">
        <f>IF(C133+D133&lt;66,0,IF((C133+D133)/2&gt;=80,5,IF((C133+D133)/2&gt;=70,4,IF((C133+D133)/2&gt;=60,3.5,IF((C133+D133)/2&gt;=50,3,IF((C133+D133)/2&gt;=40,2,IF((C133+D133)/2&gt;=33,1,0)))))))</f>
        <v/>
      </c>
      <c r="AD133">
        <f>IF(E133+F133&lt;66,0,IF((E133+F133)/2&gt;=80,5,IF((E133+F133)/2&gt;=70,4,IF((E133+F133)/2&gt;=60,3.5,IF((E133+F133)/2&gt;=50,3,IF((E133+F133)/2&gt;=40,2,IF((E133+F133)/2&gt;=33,1,0)))))))</f>
        <v/>
      </c>
      <c r="AE133">
        <f>IF(G133&lt;33,0,IF(G133&gt;=80,5,IF(G133&gt;=70,4,IF(G133&gt;=60,3.5,IF(G133&gt;=50,3,IF(G133&gt;=40,2,IF(G133&gt;=33,1,0)))))))</f>
        <v/>
      </c>
      <c r="AF133">
        <f>IF(H133+I133&lt;66,0,IF((H133+I133)/2&gt;=80,5,IF((H133+I133)/2&gt;=70,4,IF((H133+I133)/2&gt;=60,3.5,IF((H133+I133)/2&gt;=50,3,IF((H133+I133)/2&gt;=40,2,IF((H133+I133)/2&gt;=33,1,0)))))))</f>
        <v/>
      </c>
      <c r="AG133">
        <f>IF(Y133,0,IF((J133+K133+L133+M133)/2&gt;=80,5,IF((J133+K133+L133+M133)/2&gt;=70,4,IF((J133+K133+L133+M133)/2&gt;=60,3.5,IF((J133+K133+L133+M133)/2&gt;=50,3,IF((J133+K133+L133+M133)/2&gt;=40,2,IF((J133+K133+L133+M133)/2&gt;=33,1,0)))))))</f>
        <v/>
      </c>
      <c r="AH133">
        <f>IF(Z133,0,IF(N133+O133&gt;=80,5,IF(N133+O133&gt;=70,4,IF(N133+O133&gt;=60,3.5,IF(N133+O133&gt;=50,3,IF(N133+O133&gt;=40,2,IF(N133+O133&gt;=33,1,0)))))))</f>
        <v/>
      </c>
      <c r="AI133">
        <f>IF(AA133,0,IF(P133+Q133&gt;=80,5,IF(P133+Q133&gt;=70,4,IF(P133+Q133&gt;=60,3.5,IF(P133+Q133&gt;=50,3,IF(P133+Q133&gt;=40,2,IF(P133+Q133&gt;=33,1,0)))))))</f>
        <v/>
      </c>
      <c r="AJ133">
        <f>IF(R133&lt;8.25,0,IF(R133*2&gt;=80,5,IF(R133*2&gt;=70,4,IF(R133*2&gt;=60,3.5,IF(R133*2&gt;=50,3,IF(R133*2&gt;=40,2,IF(R133*2&gt;=33,1,0)))))))</f>
        <v/>
      </c>
      <c r="AK133">
        <f>IF(S133&lt;33,0,IF(S133&gt;=80,5,IF(S133&gt;=70,4,IF(S133&gt;=60,3.5,IF(S133&gt;=50,3,IF(S133&gt;=40,2,IF(S133&gt;=33,1,0)))))))</f>
        <v/>
      </c>
      <c r="AL133">
        <f>(AC133+AD133+AE133+AF133+AG133+AH133+AI133+AJ133)/8</f>
        <v/>
      </c>
      <c r="AM133">
        <f>IF(AK133&gt;=2,(AK133-2)/8,0)</f>
        <v/>
      </c>
    </row>
    <row r="134">
      <c r="T134">
        <f>SUM(C134:R134)</f>
        <v/>
      </c>
      <c r="U134" s="6">
        <f>ROUND(T134/11.5,2)</f>
        <v/>
      </c>
      <c r="V134" s="7">
        <f>IF(B134="","",IF(AB134,0,ROUND(AL134,2)))</f>
        <v/>
      </c>
      <c r="W134" s="7">
        <f>IF(B134="","",IF(AB134,0,MIN(5,ROUND(AL134+AM134,2))))</f>
        <v/>
      </c>
      <c r="X134" s="8">
        <f>IF(B134="","",IF(W134&gt;=5,"A+",IF(W134&gt;=4,"A",IF(W134&gt;=3.5,"A-",IF(W134&gt;=3,"B",IF(W134&gt;=2,"C",IF(W134&gt;=1,"D","F")))))))</f>
        <v/>
      </c>
      <c r="Y134">
        <f>NOT(OR(AND(J134&gt;=10,K134&gt;=23,L134&gt;=10,M134&gt;=23),AND(J134+L134&gt;=20,K134+M134&gt;=46)))</f>
        <v/>
      </c>
      <c r="Z134">
        <f>OR(N134&lt;10,O134&lt;23)</f>
        <v/>
      </c>
      <c r="AA134">
        <f>OR(P134&lt;10,Q134&lt;23)</f>
        <v/>
      </c>
      <c r="AB134">
        <f>OR((C134+D134)&lt;66,(E134+F134)&lt;66,G134&lt;33,(H134+I134)&lt;66,Y134,Z134,AA134,R134&lt;8.25)</f>
        <v/>
      </c>
      <c r="AC134">
        <f>IF(C134+D134&lt;66,0,IF((C134+D134)/2&gt;=80,5,IF((C134+D134)/2&gt;=70,4,IF((C134+D134)/2&gt;=60,3.5,IF((C134+D134)/2&gt;=50,3,IF((C134+D134)/2&gt;=40,2,IF((C134+D134)/2&gt;=33,1,0)))))))</f>
        <v/>
      </c>
      <c r="AD134">
        <f>IF(E134+F134&lt;66,0,IF((E134+F134)/2&gt;=80,5,IF((E134+F134)/2&gt;=70,4,IF((E134+F134)/2&gt;=60,3.5,IF((E134+F134)/2&gt;=50,3,IF((E134+F134)/2&gt;=40,2,IF((E134+F134)/2&gt;=33,1,0)))))))</f>
        <v/>
      </c>
      <c r="AE134">
        <f>IF(G134&lt;33,0,IF(G134&gt;=80,5,IF(G134&gt;=70,4,IF(G134&gt;=60,3.5,IF(G134&gt;=50,3,IF(G134&gt;=40,2,IF(G134&gt;=33,1,0)))))))</f>
        <v/>
      </c>
      <c r="AF134">
        <f>IF(H134+I134&lt;66,0,IF((H134+I134)/2&gt;=80,5,IF((H134+I134)/2&gt;=70,4,IF((H134+I134)/2&gt;=60,3.5,IF((H134+I134)/2&gt;=50,3,IF((H134+I134)/2&gt;=40,2,IF((H134+I134)/2&gt;=33,1,0)))))))</f>
        <v/>
      </c>
      <c r="AG134">
        <f>IF(Y134,0,IF((J134+K134+L134+M134)/2&gt;=80,5,IF((J134+K134+L134+M134)/2&gt;=70,4,IF((J134+K134+L134+M134)/2&gt;=60,3.5,IF((J134+K134+L134+M134)/2&gt;=50,3,IF((J134+K134+L134+M134)/2&gt;=40,2,IF((J134+K134+L134+M134)/2&gt;=33,1,0)))))))</f>
        <v/>
      </c>
      <c r="AH134">
        <f>IF(Z134,0,IF(N134+O134&gt;=80,5,IF(N134+O134&gt;=70,4,IF(N134+O134&gt;=60,3.5,IF(N134+O134&gt;=50,3,IF(N134+O134&gt;=40,2,IF(N134+O134&gt;=33,1,0)))))))</f>
        <v/>
      </c>
      <c r="AI134">
        <f>IF(AA134,0,IF(P134+Q134&gt;=80,5,IF(P134+Q134&gt;=70,4,IF(P134+Q134&gt;=60,3.5,IF(P134+Q134&gt;=50,3,IF(P134+Q134&gt;=40,2,IF(P134+Q134&gt;=33,1,0)))))))</f>
        <v/>
      </c>
      <c r="AJ134">
        <f>IF(R134&lt;8.25,0,IF(R134*2&gt;=80,5,IF(R134*2&gt;=70,4,IF(R134*2&gt;=60,3.5,IF(R134*2&gt;=50,3,IF(R134*2&gt;=40,2,IF(R134*2&gt;=33,1,0)))))))</f>
        <v/>
      </c>
      <c r="AK134">
        <f>IF(S134&lt;33,0,IF(S134&gt;=80,5,IF(S134&gt;=70,4,IF(S134&gt;=60,3.5,IF(S134&gt;=50,3,IF(S134&gt;=40,2,IF(S134&gt;=33,1,0)))))))</f>
        <v/>
      </c>
      <c r="AL134">
        <f>(AC134+AD134+AE134+AF134+AG134+AH134+AI134+AJ134)/8</f>
        <v/>
      </c>
      <c r="AM134">
        <f>IF(AK134&gt;=2,(AK134-2)/8,0)</f>
        <v/>
      </c>
    </row>
    <row r="135">
      <c r="T135">
        <f>SUM(C135:R135)</f>
        <v/>
      </c>
      <c r="U135" s="6">
        <f>ROUND(T135/11.5,2)</f>
        <v/>
      </c>
      <c r="V135" s="7">
        <f>IF(B135="","",IF(AB135,0,ROUND(AL135,2)))</f>
        <v/>
      </c>
      <c r="W135" s="7">
        <f>IF(B135="","",IF(AB135,0,MIN(5,ROUND(AL135+AM135,2))))</f>
        <v/>
      </c>
      <c r="X135" s="8">
        <f>IF(B135="","",IF(W135&gt;=5,"A+",IF(W135&gt;=4,"A",IF(W135&gt;=3.5,"A-",IF(W135&gt;=3,"B",IF(W135&gt;=2,"C",IF(W135&gt;=1,"D","F")))))))</f>
        <v/>
      </c>
      <c r="Y135">
        <f>NOT(OR(AND(J135&gt;=10,K135&gt;=23,L135&gt;=10,M135&gt;=23),AND(J135+L135&gt;=20,K135+M135&gt;=46)))</f>
        <v/>
      </c>
      <c r="Z135">
        <f>OR(N135&lt;10,O135&lt;23)</f>
        <v/>
      </c>
      <c r="AA135">
        <f>OR(P135&lt;10,Q135&lt;23)</f>
        <v/>
      </c>
      <c r="AB135">
        <f>OR((C135+D135)&lt;66,(E135+F135)&lt;66,G135&lt;33,(H135+I135)&lt;66,Y135,Z135,AA135,R135&lt;8.25)</f>
        <v/>
      </c>
      <c r="AC135">
        <f>IF(C135+D135&lt;66,0,IF((C135+D135)/2&gt;=80,5,IF((C135+D135)/2&gt;=70,4,IF((C135+D135)/2&gt;=60,3.5,IF((C135+D135)/2&gt;=50,3,IF((C135+D135)/2&gt;=40,2,IF((C135+D135)/2&gt;=33,1,0)))))))</f>
        <v/>
      </c>
      <c r="AD135">
        <f>IF(E135+F135&lt;66,0,IF((E135+F135)/2&gt;=80,5,IF((E135+F135)/2&gt;=70,4,IF((E135+F135)/2&gt;=60,3.5,IF((E135+F135)/2&gt;=50,3,IF((E135+F135)/2&gt;=40,2,IF((E135+F135)/2&gt;=33,1,0)))))))</f>
        <v/>
      </c>
      <c r="AE135">
        <f>IF(G135&lt;33,0,IF(G135&gt;=80,5,IF(G135&gt;=70,4,IF(G135&gt;=60,3.5,IF(G135&gt;=50,3,IF(G135&gt;=40,2,IF(G135&gt;=33,1,0)))))))</f>
        <v/>
      </c>
      <c r="AF135">
        <f>IF(H135+I135&lt;66,0,IF((H135+I135)/2&gt;=80,5,IF((H135+I135)/2&gt;=70,4,IF((H135+I135)/2&gt;=60,3.5,IF((H135+I135)/2&gt;=50,3,IF((H135+I135)/2&gt;=40,2,IF((H135+I135)/2&gt;=33,1,0)))))))</f>
        <v/>
      </c>
      <c r="AG135">
        <f>IF(Y135,0,IF((J135+K135+L135+M135)/2&gt;=80,5,IF((J135+K135+L135+M135)/2&gt;=70,4,IF((J135+K135+L135+M135)/2&gt;=60,3.5,IF((J135+K135+L135+M135)/2&gt;=50,3,IF((J135+K135+L135+M135)/2&gt;=40,2,IF((J135+K135+L135+M135)/2&gt;=33,1,0)))))))</f>
        <v/>
      </c>
      <c r="AH135">
        <f>IF(Z135,0,IF(N135+O135&gt;=80,5,IF(N135+O135&gt;=70,4,IF(N135+O135&gt;=60,3.5,IF(N135+O135&gt;=50,3,IF(N135+O135&gt;=40,2,IF(N135+O135&gt;=33,1,0)))))))</f>
        <v/>
      </c>
      <c r="AI135">
        <f>IF(AA135,0,IF(P135+Q135&gt;=80,5,IF(P135+Q135&gt;=70,4,IF(P135+Q135&gt;=60,3.5,IF(P135+Q135&gt;=50,3,IF(P135+Q135&gt;=40,2,IF(P135+Q135&gt;=33,1,0)))))))</f>
        <v/>
      </c>
      <c r="AJ135">
        <f>IF(R135&lt;8.25,0,IF(R135*2&gt;=80,5,IF(R135*2&gt;=70,4,IF(R135*2&gt;=60,3.5,IF(R135*2&gt;=50,3,IF(R135*2&gt;=40,2,IF(R135*2&gt;=33,1,0)))))))</f>
        <v/>
      </c>
      <c r="AK135">
        <f>IF(S135&lt;33,0,IF(S135&gt;=80,5,IF(S135&gt;=70,4,IF(S135&gt;=60,3.5,IF(S135&gt;=50,3,IF(S135&gt;=40,2,IF(S135&gt;=33,1,0)))))))</f>
        <v/>
      </c>
      <c r="AL135">
        <f>(AC135+AD135+AE135+AF135+AG135+AH135+AI135+AJ135)/8</f>
        <v/>
      </c>
      <c r="AM135">
        <f>IF(AK135&gt;=2,(AK135-2)/8,0)</f>
        <v/>
      </c>
    </row>
    <row r="136">
      <c r="T136">
        <f>SUM(C136:R136)</f>
        <v/>
      </c>
      <c r="U136" s="6">
        <f>ROUND(T136/11.5,2)</f>
        <v/>
      </c>
      <c r="V136" s="7">
        <f>IF(B136="","",IF(AB136,0,ROUND(AL136,2)))</f>
        <v/>
      </c>
      <c r="W136" s="7">
        <f>IF(B136="","",IF(AB136,0,MIN(5,ROUND(AL136+AM136,2))))</f>
        <v/>
      </c>
      <c r="X136" s="8">
        <f>IF(B136="","",IF(W136&gt;=5,"A+",IF(W136&gt;=4,"A",IF(W136&gt;=3.5,"A-",IF(W136&gt;=3,"B",IF(W136&gt;=2,"C",IF(W136&gt;=1,"D","F")))))))</f>
        <v/>
      </c>
      <c r="Y136">
        <f>NOT(OR(AND(J136&gt;=10,K136&gt;=23,L136&gt;=10,M136&gt;=23),AND(J136+L136&gt;=20,K136+M136&gt;=46)))</f>
        <v/>
      </c>
      <c r="Z136">
        <f>OR(N136&lt;10,O136&lt;23)</f>
        <v/>
      </c>
      <c r="AA136">
        <f>OR(P136&lt;10,Q136&lt;23)</f>
        <v/>
      </c>
      <c r="AB136">
        <f>OR((C136+D136)&lt;66,(E136+F136)&lt;66,G136&lt;33,(H136+I136)&lt;66,Y136,Z136,AA136,R136&lt;8.25)</f>
        <v/>
      </c>
      <c r="AC136">
        <f>IF(C136+D136&lt;66,0,IF((C136+D136)/2&gt;=80,5,IF((C136+D136)/2&gt;=70,4,IF((C136+D136)/2&gt;=60,3.5,IF((C136+D136)/2&gt;=50,3,IF((C136+D136)/2&gt;=40,2,IF((C136+D136)/2&gt;=33,1,0)))))))</f>
        <v/>
      </c>
      <c r="AD136">
        <f>IF(E136+F136&lt;66,0,IF((E136+F136)/2&gt;=80,5,IF((E136+F136)/2&gt;=70,4,IF((E136+F136)/2&gt;=60,3.5,IF((E136+F136)/2&gt;=50,3,IF((E136+F136)/2&gt;=40,2,IF((E136+F136)/2&gt;=33,1,0)))))))</f>
        <v/>
      </c>
      <c r="AE136">
        <f>IF(G136&lt;33,0,IF(G136&gt;=80,5,IF(G136&gt;=70,4,IF(G136&gt;=60,3.5,IF(G136&gt;=50,3,IF(G136&gt;=40,2,IF(G136&gt;=33,1,0)))))))</f>
        <v/>
      </c>
      <c r="AF136">
        <f>IF(H136+I136&lt;66,0,IF((H136+I136)/2&gt;=80,5,IF((H136+I136)/2&gt;=70,4,IF((H136+I136)/2&gt;=60,3.5,IF((H136+I136)/2&gt;=50,3,IF((H136+I136)/2&gt;=40,2,IF((H136+I136)/2&gt;=33,1,0)))))))</f>
        <v/>
      </c>
      <c r="AG136">
        <f>IF(Y136,0,IF((J136+K136+L136+M136)/2&gt;=80,5,IF((J136+K136+L136+M136)/2&gt;=70,4,IF((J136+K136+L136+M136)/2&gt;=60,3.5,IF((J136+K136+L136+M136)/2&gt;=50,3,IF((J136+K136+L136+M136)/2&gt;=40,2,IF((J136+K136+L136+M136)/2&gt;=33,1,0)))))))</f>
        <v/>
      </c>
      <c r="AH136">
        <f>IF(Z136,0,IF(N136+O136&gt;=80,5,IF(N136+O136&gt;=70,4,IF(N136+O136&gt;=60,3.5,IF(N136+O136&gt;=50,3,IF(N136+O136&gt;=40,2,IF(N136+O136&gt;=33,1,0)))))))</f>
        <v/>
      </c>
      <c r="AI136">
        <f>IF(AA136,0,IF(P136+Q136&gt;=80,5,IF(P136+Q136&gt;=70,4,IF(P136+Q136&gt;=60,3.5,IF(P136+Q136&gt;=50,3,IF(P136+Q136&gt;=40,2,IF(P136+Q136&gt;=33,1,0)))))))</f>
        <v/>
      </c>
      <c r="AJ136">
        <f>IF(R136&lt;8.25,0,IF(R136*2&gt;=80,5,IF(R136*2&gt;=70,4,IF(R136*2&gt;=60,3.5,IF(R136*2&gt;=50,3,IF(R136*2&gt;=40,2,IF(R136*2&gt;=33,1,0)))))))</f>
        <v/>
      </c>
      <c r="AK136">
        <f>IF(S136&lt;33,0,IF(S136&gt;=80,5,IF(S136&gt;=70,4,IF(S136&gt;=60,3.5,IF(S136&gt;=50,3,IF(S136&gt;=40,2,IF(S136&gt;=33,1,0)))))))</f>
        <v/>
      </c>
      <c r="AL136">
        <f>(AC136+AD136+AE136+AF136+AG136+AH136+AI136+AJ136)/8</f>
        <v/>
      </c>
      <c r="AM136">
        <f>IF(AK136&gt;=2,(AK136-2)/8,0)</f>
        <v/>
      </c>
    </row>
    <row r="137">
      <c r="T137">
        <f>SUM(C137:R137)</f>
        <v/>
      </c>
      <c r="U137" s="6">
        <f>ROUND(T137/11.5,2)</f>
        <v/>
      </c>
      <c r="V137" s="7">
        <f>IF(B137="","",IF(AB137,0,ROUND(AL137,2)))</f>
        <v/>
      </c>
      <c r="W137" s="7">
        <f>IF(B137="","",IF(AB137,0,MIN(5,ROUND(AL137+AM137,2))))</f>
        <v/>
      </c>
      <c r="X137" s="8">
        <f>IF(B137="","",IF(W137&gt;=5,"A+",IF(W137&gt;=4,"A",IF(W137&gt;=3.5,"A-",IF(W137&gt;=3,"B",IF(W137&gt;=2,"C",IF(W137&gt;=1,"D","F")))))))</f>
        <v/>
      </c>
      <c r="Y137">
        <f>NOT(OR(AND(J137&gt;=10,K137&gt;=23,L137&gt;=10,M137&gt;=23),AND(J137+L137&gt;=20,K137+M137&gt;=46)))</f>
        <v/>
      </c>
      <c r="Z137">
        <f>OR(N137&lt;10,O137&lt;23)</f>
        <v/>
      </c>
      <c r="AA137">
        <f>OR(P137&lt;10,Q137&lt;23)</f>
        <v/>
      </c>
      <c r="AB137">
        <f>OR((C137+D137)&lt;66,(E137+F137)&lt;66,G137&lt;33,(H137+I137)&lt;66,Y137,Z137,AA137,R137&lt;8.25)</f>
        <v/>
      </c>
      <c r="AC137">
        <f>IF(C137+D137&lt;66,0,IF((C137+D137)/2&gt;=80,5,IF((C137+D137)/2&gt;=70,4,IF((C137+D137)/2&gt;=60,3.5,IF((C137+D137)/2&gt;=50,3,IF((C137+D137)/2&gt;=40,2,IF((C137+D137)/2&gt;=33,1,0)))))))</f>
        <v/>
      </c>
      <c r="AD137">
        <f>IF(E137+F137&lt;66,0,IF((E137+F137)/2&gt;=80,5,IF((E137+F137)/2&gt;=70,4,IF((E137+F137)/2&gt;=60,3.5,IF((E137+F137)/2&gt;=50,3,IF((E137+F137)/2&gt;=40,2,IF((E137+F137)/2&gt;=33,1,0)))))))</f>
        <v/>
      </c>
      <c r="AE137">
        <f>IF(G137&lt;33,0,IF(G137&gt;=80,5,IF(G137&gt;=70,4,IF(G137&gt;=60,3.5,IF(G137&gt;=50,3,IF(G137&gt;=40,2,IF(G137&gt;=33,1,0)))))))</f>
        <v/>
      </c>
      <c r="AF137">
        <f>IF(H137+I137&lt;66,0,IF((H137+I137)/2&gt;=80,5,IF((H137+I137)/2&gt;=70,4,IF((H137+I137)/2&gt;=60,3.5,IF((H137+I137)/2&gt;=50,3,IF((H137+I137)/2&gt;=40,2,IF((H137+I137)/2&gt;=33,1,0)))))))</f>
        <v/>
      </c>
      <c r="AG137">
        <f>IF(Y137,0,IF((J137+K137+L137+M137)/2&gt;=80,5,IF((J137+K137+L137+M137)/2&gt;=70,4,IF((J137+K137+L137+M137)/2&gt;=60,3.5,IF((J137+K137+L137+M137)/2&gt;=50,3,IF((J137+K137+L137+M137)/2&gt;=40,2,IF((J137+K137+L137+M137)/2&gt;=33,1,0)))))))</f>
        <v/>
      </c>
      <c r="AH137">
        <f>IF(Z137,0,IF(N137+O137&gt;=80,5,IF(N137+O137&gt;=70,4,IF(N137+O137&gt;=60,3.5,IF(N137+O137&gt;=50,3,IF(N137+O137&gt;=40,2,IF(N137+O137&gt;=33,1,0)))))))</f>
        <v/>
      </c>
      <c r="AI137">
        <f>IF(AA137,0,IF(P137+Q137&gt;=80,5,IF(P137+Q137&gt;=70,4,IF(P137+Q137&gt;=60,3.5,IF(P137+Q137&gt;=50,3,IF(P137+Q137&gt;=40,2,IF(P137+Q137&gt;=33,1,0)))))))</f>
        <v/>
      </c>
      <c r="AJ137">
        <f>IF(R137&lt;8.25,0,IF(R137*2&gt;=80,5,IF(R137*2&gt;=70,4,IF(R137*2&gt;=60,3.5,IF(R137*2&gt;=50,3,IF(R137*2&gt;=40,2,IF(R137*2&gt;=33,1,0)))))))</f>
        <v/>
      </c>
      <c r="AK137">
        <f>IF(S137&lt;33,0,IF(S137&gt;=80,5,IF(S137&gt;=70,4,IF(S137&gt;=60,3.5,IF(S137&gt;=50,3,IF(S137&gt;=40,2,IF(S137&gt;=33,1,0)))))))</f>
        <v/>
      </c>
      <c r="AL137">
        <f>(AC137+AD137+AE137+AF137+AG137+AH137+AI137+AJ137)/8</f>
        <v/>
      </c>
      <c r="AM137">
        <f>IF(AK137&gt;=2,(AK137-2)/8,0)</f>
        <v/>
      </c>
    </row>
    <row r="138">
      <c r="T138">
        <f>SUM(C138:R138)</f>
        <v/>
      </c>
      <c r="U138" s="6">
        <f>ROUND(T138/11.5,2)</f>
        <v/>
      </c>
      <c r="V138" s="7">
        <f>IF(B138="","",IF(AB138,0,ROUND(AL138,2)))</f>
        <v/>
      </c>
      <c r="W138" s="7">
        <f>IF(B138="","",IF(AB138,0,MIN(5,ROUND(AL138+AM138,2))))</f>
        <v/>
      </c>
      <c r="X138" s="8">
        <f>IF(B138="","",IF(W138&gt;=5,"A+",IF(W138&gt;=4,"A",IF(W138&gt;=3.5,"A-",IF(W138&gt;=3,"B",IF(W138&gt;=2,"C",IF(W138&gt;=1,"D","F")))))))</f>
        <v/>
      </c>
      <c r="Y138">
        <f>NOT(OR(AND(J138&gt;=10,K138&gt;=23,L138&gt;=10,M138&gt;=23),AND(J138+L138&gt;=20,K138+M138&gt;=46)))</f>
        <v/>
      </c>
      <c r="Z138">
        <f>OR(N138&lt;10,O138&lt;23)</f>
        <v/>
      </c>
      <c r="AA138">
        <f>OR(P138&lt;10,Q138&lt;23)</f>
        <v/>
      </c>
      <c r="AB138">
        <f>OR((C138+D138)&lt;66,(E138+F138)&lt;66,G138&lt;33,(H138+I138)&lt;66,Y138,Z138,AA138,R138&lt;8.25)</f>
        <v/>
      </c>
      <c r="AC138">
        <f>IF(C138+D138&lt;66,0,IF((C138+D138)/2&gt;=80,5,IF((C138+D138)/2&gt;=70,4,IF((C138+D138)/2&gt;=60,3.5,IF((C138+D138)/2&gt;=50,3,IF((C138+D138)/2&gt;=40,2,IF((C138+D138)/2&gt;=33,1,0)))))))</f>
        <v/>
      </c>
      <c r="AD138">
        <f>IF(E138+F138&lt;66,0,IF((E138+F138)/2&gt;=80,5,IF((E138+F138)/2&gt;=70,4,IF((E138+F138)/2&gt;=60,3.5,IF((E138+F138)/2&gt;=50,3,IF((E138+F138)/2&gt;=40,2,IF((E138+F138)/2&gt;=33,1,0)))))))</f>
        <v/>
      </c>
      <c r="AE138">
        <f>IF(G138&lt;33,0,IF(G138&gt;=80,5,IF(G138&gt;=70,4,IF(G138&gt;=60,3.5,IF(G138&gt;=50,3,IF(G138&gt;=40,2,IF(G138&gt;=33,1,0)))))))</f>
        <v/>
      </c>
      <c r="AF138">
        <f>IF(H138+I138&lt;66,0,IF((H138+I138)/2&gt;=80,5,IF((H138+I138)/2&gt;=70,4,IF((H138+I138)/2&gt;=60,3.5,IF((H138+I138)/2&gt;=50,3,IF((H138+I138)/2&gt;=40,2,IF((H138+I138)/2&gt;=33,1,0)))))))</f>
        <v/>
      </c>
      <c r="AG138">
        <f>IF(Y138,0,IF((J138+K138+L138+M138)/2&gt;=80,5,IF((J138+K138+L138+M138)/2&gt;=70,4,IF((J138+K138+L138+M138)/2&gt;=60,3.5,IF((J138+K138+L138+M138)/2&gt;=50,3,IF((J138+K138+L138+M138)/2&gt;=40,2,IF((J138+K138+L138+M138)/2&gt;=33,1,0)))))))</f>
        <v/>
      </c>
      <c r="AH138">
        <f>IF(Z138,0,IF(N138+O138&gt;=80,5,IF(N138+O138&gt;=70,4,IF(N138+O138&gt;=60,3.5,IF(N138+O138&gt;=50,3,IF(N138+O138&gt;=40,2,IF(N138+O138&gt;=33,1,0)))))))</f>
        <v/>
      </c>
      <c r="AI138">
        <f>IF(AA138,0,IF(P138+Q138&gt;=80,5,IF(P138+Q138&gt;=70,4,IF(P138+Q138&gt;=60,3.5,IF(P138+Q138&gt;=50,3,IF(P138+Q138&gt;=40,2,IF(P138+Q138&gt;=33,1,0)))))))</f>
        <v/>
      </c>
      <c r="AJ138">
        <f>IF(R138&lt;8.25,0,IF(R138*2&gt;=80,5,IF(R138*2&gt;=70,4,IF(R138*2&gt;=60,3.5,IF(R138*2&gt;=50,3,IF(R138*2&gt;=40,2,IF(R138*2&gt;=33,1,0)))))))</f>
        <v/>
      </c>
      <c r="AK138">
        <f>IF(S138&lt;33,0,IF(S138&gt;=80,5,IF(S138&gt;=70,4,IF(S138&gt;=60,3.5,IF(S138&gt;=50,3,IF(S138&gt;=40,2,IF(S138&gt;=33,1,0)))))))</f>
        <v/>
      </c>
      <c r="AL138">
        <f>(AC138+AD138+AE138+AF138+AG138+AH138+AI138+AJ138)/8</f>
        <v/>
      </c>
      <c r="AM138">
        <f>IF(AK138&gt;=2,(AK138-2)/8,0)</f>
        <v/>
      </c>
    </row>
    <row r="139">
      <c r="T139">
        <f>SUM(C139:R139)</f>
        <v/>
      </c>
      <c r="U139" s="6">
        <f>ROUND(T139/11.5,2)</f>
        <v/>
      </c>
      <c r="V139" s="7">
        <f>IF(B139="","",IF(AB139,0,ROUND(AL139,2)))</f>
        <v/>
      </c>
      <c r="W139" s="7">
        <f>IF(B139="","",IF(AB139,0,MIN(5,ROUND(AL139+AM139,2))))</f>
        <v/>
      </c>
      <c r="X139" s="8">
        <f>IF(B139="","",IF(W139&gt;=5,"A+",IF(W139&gt;=4,"A",IF(W139&gt;=3.5,"A-",IF(W139&gt;=3,"B",IF(W139&gt;=2,"C",IF(W139&gt;=1,"D","F")))))))</f>
        <v/>
      </c>
      <c r="Y139">
        <f>NOT(OR(AND(J139&gt;=10,K139&gt;=23,L139&gt;=10,M139&gt;=23),AND(J139+L139&gt;=20,K139+M139&gt;=46)))</f>
        <v/>
      </c>
      <c r="Z139">
        <f>OR(N139&lt;10,O139&lt;23)</f>
        <v/>
      </c>
      <c r="AA139">
        <f>OR(P139&lt;10,Q139&lt;23)</f>
        <v/>
      </c>
      <c r="AB139">
        <f>OR((C139+D139)&lt;66,(E139+F139)&lt;66,G139&lt;33,(H139+I139)&lt;66,Y139,Z139,AA139,R139&lt;8.25)</f>
        <v/>
      </c>
      <c r="AC139">
        <f>IF(C139+D139&lt;66,0,IF((C139+D139)/2&gt;=80,5,IF((C139+D139)/2&gt;=70,4,IF((C139+D139)/2&gt;=60,3.5,IF((C139+D139)/2&gt;=50,3,IF((C139+D139)/2&gt;=40,2,IF((C139+D139)/2&gt;=33,1,0)))))))</f>
        <v/>
      </c>
      <c r="AD139">
        <f>IF(E139+F139&lt;66,0,IF((E139+F139)/2&gt;=80,5,IF((E139+F139)/2&gt;=70,4,IF((E139+F139)/2&gt;=60,3.5,IF((E139+F139)/2&gt;=50,3,IF((E139+F139)/2&gt;=40,2,IF((E139+F139)/2&gt;=33,1,0)))))))</f>
        <v/>
      </c>
      <c r="AE139">
        <f>IF(G139&lt;33,0,IF(G139&gt;=80,5,IF(G139&gt;=70,4,IF(G139&gt;=60,3.5,IF(G139&gt;=50,3,IF(G139&gt;=40,2,IF(G139&gt;=33,1,0)))))))</f>
        <v/>
      </c>
      <c r="AF139">
        <f>IF(H139+I139&lt;66,0,IF((H139+I139)/2&gt;=80,5,IF((H139+I139)/2&gt;=70,4,IF((H139+I139)/2&gt;=60,3.5,IF((H139+I139)/2&gt;=50,3,IF((H139+I139)/2&gt;=40,2,IF((H139+I139)/2&gt;=33,1,0)))))))</f>
        <v/>
      </c>
      <c r="AG139">
        <f>IF(Y139,0,IF((J139+K139+L139+M139)/2&gt;=80,5,IF((J139+K139+L139+M139)/2&gt;=70,4,IF((J139+K139+L139+M139)/2&gt;=60,3.5,IF((J139+K139+L139+M139)/2&gt;=50,3,IF((J139+K139+L139+M139)/2&gt;=40,2,IF((J139+K139+L139+M139)/2&gt;=33,1,0)))))))</f>
        <v/>
      </c>
      <c r="AH139">
        <f>IF(Z139,0,IF(N139+O139&gt;=80,5,IF(N139+O139&gt;=70,4,IF(N139+O139&gt;=60,3.5,IF(N139+O139&gt;=50,3,IF(N139+O139&gt;=40,2,IF(N139+O139&gt;=33,1,0)))))))</f>
        <v/>
      </c>
      <c r="AI139">
        <f>IF(AA139,0,IF(P139+Q139&gt;=80,5,IF(P139+Q139&gt;=70,4,IF(P139+Q139&gt;=60,3.5,IF(P139+Q139&gt;=50,3,IF(P139+Q139&gt;=40,2,IF(P139+Q139&gt;=33,1,0)))))))</f>
        <v/>
      </c>
      <c r="AJ139">
        <f>IF(R139&lt;8.25,0,IF(R139*2&gt;=80,5,IF(R139*2&gt;=70,4,IF(R139*2&gt;=60,3.5,IF(R139*2&gt;=50,3,IF(R139*2&gt;=40,2,IF(R139*2&gt;=33,1,0)))))))</f>
        <v/>
      </c>
      <c r="AK139">
        <f>IF(S139&lt;33,0,IF(S139&gt;=80,5,IF(S139&gt;=70,4,IF(S139&gt;=60,3.5,IF(S139&gt;=50,3,IF(S139&gt;=40,2,IF(S139&gt;=33,1,0)))))))</f>
        <v/>
      </c>
      <c r="AL139">
        <f>(AC139+AD139+AE139+AF139+AG139+AH139+AI139+AJ139)/8</f>
        <v/>
      </c>
      <c r="AM139">
        <f>IF(AK139&gt;=2,(AK139-2)/8,0)</f>
        <v/>
      </c>
    </row>
    <row r="140">
      <c r="T140">
        <f>SUM(C140:R140)</f>
        <v/>
      </c>
      <c r="U140" s="6">
        <f>ROUND(T140/11.5,2)</f>
        <v/>
      </c>
      <c r="V140" s="7">
        <f>IF(B140="","",IF(AB140,0,ROUND(AL140,2)))</f>
        <v/>
      </c>
      <c r="W140" s="7">
        <f>IF(B140="","",IF(AB140,0,MIN(5,ROUND(AL140+AM140,2))))</f>
        <v/>
      </c>
      <c r="X140" s="8">
        <f>IF(B140="","",IF(W140&gt;=5,"A+",IF(W140&gt;=4,"A",IF(W140&gt;=3.5,"A-",IF(W140&gt;=3,"B",IF(W140&gt;=2,"C",IF(W140&gt;=1,"D","F")))))))</f>
        <v/>
      </c>
      <c r="Y140">
        <f>NOT(OR(AND(J140&gt;=10,K140&gt;=23,L140&gt;=10,M140&gt;=23),AND(J140+L140&gt;=20,K140+M140&gt;=46)))</f>
        <v/>
      </c>
      <c r="Z140">
        <f>OR(N140&lt;10,O140&lt;23)</f>
        <v/>
      </c>
      <c r="AA140">
        <f>OR(P140&lt;10,Q140&lt;23)</f>
        <v/>
      </c>
      <c r="AB140">
        <f>OR((C140+D140)&lt;66,(E140+F140)&lt;66,G140&lt;33,(H140+I140)&lt;66,Y140,Z140,AA140,R140&lt;8.25)</f>
        <v/>
      </c>
      <c r="AC140">
        <f>IF(C140+D140&lt;66,0,IF((C140+D140)/2&gt;=80,5,IF((C140+D140)/2&gt;=70,4,IF((C140+D140)/2&gt;=60,3.5,IF((C140+D140)/2&gt;=50,3,IF((C140+D140)/2&gt;=40,2,IF((C140+D140)/2&gt;=33,1,0)))))))</f>
        <v/>
      </c>
      <c r="AD140">
        <f>IF(E140+F140&lt;66,0,IF((E140+F140)/2&gt;=80,5,IF((E140+F140)/2&gt;=70,4,IF((E140+F140)/2&gt;=60,3.5,IF((E140+F140)/2&gt;=50,3,IF((E140+F140)/2&gt;=40,2,IF((E140+F140)/2&gt;=33,1,0)))))))</f>
        <v/>
      </c>
      <c r="AE140">
        <f>IF(G140&lt;33,0,IF(G140&gt;=80,5,IF(G140&gt;=70,4,IF(G140&gt;=60,3.5,IF(G140&gt;=50,3,IF(G140&gt;=40,2,IF(G140&gt;=33,1,0)))))))</f>
        <v/>
      </c>
      <c r="AF140">
        <f>IF(H140+I140&lt;66,0,IF((H140+I140)/2&gt;=80,5,IF((H140+I140)/2&gt;=70,4,IF((H140+I140)/2&gt;=60,3.5,IF((H140+I140)/2&gt;=50,3,IF((H140+I140)/2&gt;=40,2,IF((H140+I140)/2&gt;=33,1,0)))))))</f>
        <v/>
      </c>
      <c r="AG140">
        <f>IF(Y140,0,IF((J140+K140+L140+M140)/2&gt;=80,5,IF((J140+K140+L140+M140)/2&gt;=70,4,IF((J140+K140+L140+M140)/2&gt;=60,3.5,IF((J140+K140+L140+M140)/2&gt;=50,3,IF((J140+K140+L140+M140)/2&gt;=40,2,IF((J140+K140+L140+M140)/2&gt;=33,1,0)))))))</f>
        <v/>
      </c>
      <c r="AH140">
        <f>IF(Z140,0,IF(N140+O140&gt;=80,5,IF(N140+O140&gt;=70,4,IF(N140+O140&gt;=60,3.5,IF(N140+O140&gt;=50,3,IF(N140+O140&gt;=40,2,IF(N140+O140&gt;=33,1,0)))))))</f>
        <v/>
      </c>
      <c r="AI140">
        <f>IF(AA140,0,IF(P140+Q140&gt;=80,5,IF(P140+Q140&gt;=70,4,IF(P140+Q140&gt;=60,3.5,IF(P140+Q140&gt;=50,3,IF(P140+Q140&gt;=40,2,IF(P140+Q140&gt;=33,1,0)))))))</f>
        <v/>
      </c>
      <c r="AJ140">
        <f>IF(R140&lt;8.25,0,IF(R140*2&gt;=80,5,IF(R140*2&gt;=70,4,IF(R140*2&gt;=60,3.5,IF(R140*2&gt;=50,3,IF(R140*2&gt;=40,2,IF(R140*2&gt;=33,1,0)))))))</f>
        <v/>
      </c>
      <c r="AK140">
        <f>IF(S140&lt;33,0,IF(S140&gt;=80,5,IF(S140&gt;=70,4,IF(S140&gt;=60,3.5,IF(S140&gt;=50,3,IF(S140&gt;=40,2,IF(S140&gt;=33,1,0)))))))</f>
        <v/>
      </c>
      <c r="AL140">
        <f>(AC140+AD140+AE140+AF140+AG140+AH140+AI140+AJ140)/8</f>
        <v/>
      </c>
      <c r="AM140">
        <f>IF(AK140&gt;=2,(AK140-2)/8,0)</f>
        <v/>
      </c>
    </row>
    <row r="141">
      <c r="T141">
        <f>SUM(C141:R141)</f>
        <v/>
      </c>
      <c r="U141" s="6">
        <f>ROUND(T141/11.5,2)</f>
        <v/>
      </c>
      <c r="V141" s="7">
        <f>IF(B141="","",IF(AB141,0,ROUND(AL141,2)))</f>
        <v/>
      </c>
      <c r="W141" s="7">
        <f>IF(B141="","",IF(AB141,0,MIN(5,ROUND(AL141+AM141,2))))</f>
        <v/>
      </c>
      <c r="X141" s="8">
        <f>IF(B141="","",IF(W141&gt;=5,"A+",IF(W141&gt;=4,"A",IF(W141&gt;=3.5,"A-",IF(W141&gt;=3,"B",IF(W141&gt;=2,"C",IF(W141&gt;=1,"D","F")))))))</f>
        <v/>
      </c>
      <c r="Y141">
        <f>NOT(OR(AND(J141&gt;=10,K141&gt;=23,L141&gt;=10,M141&gt;=23),AND(J141+L141&gt;=20,K141+M141&gt;=46)))</f>
        <v/>
      </c>
      <c r="Z141">
        <f>OR(N141&lt;10,O141&lt;23)</f>
        <v/>
      </c>
      <c r="AA141">
        <f>OR(P141&lt;10,Q141&lt;23)</f>
        <v/>
      </c>
      <c r="AB141">
        <f>OR((C141+D141)&lt;66,(E141+F141)&lt;66,G141&lt;33,(H141+I141)&lt;66,Y141,Z141,AA141,R141&lt;8.25)</f>
        <v/>
      </c>
      <c r="AC141">
        <f>IF(C141+D141&lt;66,0,IF((C141+D141)/2&gt;=80,5,IF((C141+D141)/2&gt;=70,4,IF((C141+D141)/2&gt;=60,3.5,IF((C141+D141)/2&gt;=50,3,IF((C141+D141)/2&gt;=40,2,IF((C141+D141)/2&gt;=33,1,0)))))))</f>
        <v/>
      </c>
      <c r="AD141">
        <f>IF(E141+F141&lt;66,0,IF((E141+F141)/2&gt;=80,5,IF((E141+F141)/2&gt;=70,4,IF((E141+F141)/2&gt;=60,3.5,IF((E141+F141)/2&gt;=50,3,IF((E141+F141)/2&gt;=40,2,IF((E141+F141)/2&gt;=33,1,0)))))))</f>
        <v/>
      </c>
      <c r="AE141">
        <f>IF(G141&lt;33,0,IF(G141&gt;=80,5,IF(G141&gt;=70,4,IF(G141&gt;=60,3.5,IF(G141&gt;=50,3,IF(G141&gt;=40,2,IF(G141&gt;=33,1,0)))))))</f>
        <v/>
      </c>
      <c r="AF141">
        <f>IF(H141+I141&lt;66,0,IF((H141+I141)/2&gt;=80,5,IF((H141+I141)/2&gt;=70,4,IF((H141+I141)/2&gt;=60,3.5,IF((H141+I141)/2&gt;=50,3,IF((H141+I141)/2&gt;=40,2,IF((H141+I141)/2&gt;=33,1,0)))))))</f>
        <v/>
      </c>
      <c r="AG141">
        <f>IF(Y141,0,IF((J141+K141+L141+M141)/2&gt;=80,5,IF((J141+K141+L141+M141)/2&gt;=70,4,IF((J141+K141+L141+M141)/2&gt;=60,3.5,IF((J141+K141+L141+M141)/2&gt;=50,3,IF((J141+K141+L141+M141)/2&gt;=40,2,IF((J141+K141+L141+M141)/2&gt;=33,1,0)))))))</f>
        <v/>
      </c>
      <c r="AH141">
        <f>IF(Z141,0,IF(N141+O141&gt;=80,5,IF(N141+O141&gt;=70,4,IF(N141+O141&gt;=60,3.5,IF(N141+O141&gt;=50,3,IF(N141+O141&gt;=40,2,IF(N141+O141&gt;=33,1,0)))))))</f>
        <v/>
      </c>
      <c r="AI141">
        <f>IF(AA141,0,IF(P141+Q141&gt;=80,5,IF(P141+Q141&gt;=70,4,IF(P141+Q141&gt;=60,3.5,IF(P141+Q141&gt;=50,3,IF(P141+Q141&gt;=40,2,IF(P141+Q141&gt;=33,1,0)))))))</f>
        <v/>
      </c>
      <c r="AJ141">
        <f>IF(R141&lt;8.25,0,IF(R141*2&gt;=80,5,IF(R141*2&gt;=70,4,IF(R141*2&gt;=60,3.5,IF(R141*2&gt;=50,3,IF(R141*2&gt;=40,2,IF(R141*2&gt;=33,1,0)))))))</f>
        <v/>
      </c>
      <c r="AK141">
        <f>IF(S141&lt;33,0,IF(S141&gt;=80,5,IF(S141&gt;=70,4,IF(S141&gt;=60,3.5,IF(S141&gt;=50,3,IF(S141&gt;=40,2,IF(S141&gt;=33,1,0)))))))</f>
        <v/>
      </c>
      <c r="AL141">
        <f>(AC141+AD141+AE141+AF141+AG141+AH141+AI141+AJ141)/8</f>
        <v/>
      </c>
      <c r="AM141">
        <f>IF(AK141&gt;=2,(AK141-2)/8,0)</f>
        <v/>
      </c>
    </row>
    <row r="142">
      <c r="T142">
        <f>SUM(C142:R142)</f>
        <v/>
      </c>
      <c r="U142" s="6">
        <f>ROUND(T142/11.5,2)</f>
        <v/>
      </c>
      <c r="V142" s="7">
        <f>IF(B142="","",IF(AB142,0,ROUND(AL142,2)))</f>
        <v/>
      </c>
      <c r="W142" s="7">
        <f>IF(B142="","",IF(AB142,0,MIN(5,ROUND(AL142+AM142,2))))</f>
        <v/>
      </c>
      <c r="X142" s="8">
        <f>IF(B142="","",IF(W142&gt;=5,"A+",IF(W142&gt;=4,"A",IF(W142&gt;=3.5,"A-",IF(W142&gt;=3,"B",IF(W142&gt;=2,"C",IF(W142&gt;=1,"D","F")))))))</f>
        <v/>
      </c>
      <c r="Y142">
        <f>NOT(OR(AND(J142&gt;=10,K142&gt;=23,L142&gt;=10,M142&gt;=23),AND(J142+L142&gt;=20,K142+M142&gt;=46)))</f>
        <v/>
      </c>
      <c r="Z142">
        <f>OR(N142&lt;10,O142&lt;23)</f>
        <v/>
      </c>
      <c r="AA142">
        <f>OR(P142&lt;10,Q142&lt;23)</f>
        <v/>
      </c>
      <c r="AB142">
        <f>OR((C142+D142)&lt;66,(E142+F142)&lt;66,G142&lt;33,(H142+I142)&lt;66,Y142,Z142,AA142,R142&lt;8.25)</f>
        <v/>
      </c>
      <c r="AC142">
        <f>IF(C142+D142&lt;66,0,IF((C142+D142)/2&gt;=80,5,IF((C142+D142)/2&gt;=70,4,IF((C142+D142)/2&gt;=60,3.5,IF((C142+D142)/2&gt;=50,3,IF((C142+D142)/2&gt;=40,2,IF((C142+D142)/2&gt;=33,1,0)))))))</f>
        <v/>
      </c>
      <c r="AD142">
        <f>IF(E142+F142&lt;66,0,IF((E142+F142)/2&gt;=80,5,IF((E142+F142)/2&gt;=70,4,IF((E142+F142)/2&gt;=60,3.5,IF((E142+F142)/2&gt;=50,3,IF((E142+F142)/2&gt;=40,2,IF((E142+F142)/2&gt;=33,1,0)))))))</f>
        <v/>
      </c>
      <c r="AE142">
        <f>IF(G142&lt;33,0,IF(G142&gt;=80,5,IF(G142&gt;=70,4,IF(G142&gt;=60,3.5,IF(G142&gt;=50,3,IF(G142&gt;=40,2,IF(G142&gt;=33,1,0)))))))</f>
        <v/>
      </c>
      <c r="AF142">
        <f>IF(H142+I142&lt;66,0,IF((H142+I142)/2&gt;=80,5,IF((H142+I142)/2&gt;=70,4,IF((H142+I142)/2&gt;=60,3.5,IF((H142+I142)/2&gt;=50,3,IF((H142+I142)/2&gt;=40,2,IF((H142+I142)/2&gt;=33,1,0)))))))</f>
        <v/>
      </c>
      <c r="AG142">
        <f>IF(Y142,0,IF((J142+K142+L142+M142)/2&gt;=80,5,IF((J142+K142+L142+M142)/2&gt;=70,4,IF((J142+K142+L142+M142)/2&gt;=60,3.5,IF((J142+K142+L142+M142)/2&gt;=50,3,IF((J142+K142+L142+M142)/2&gt;=40,2,IF((J142+K142+L142+M142)/2&gt;=33,1,0)))))))</f>
        <v/>
      </c>
      <c r="AH142">
        <f>IF(Z142,0,IF(N142+O142&gt;=80,5,IF(N142+O142&gt;=70,4,IF(N142+O142&gt;=60,3.5,IF(N142+O142&gt;=50,3,IF(N142+O142&gt;=40,2,IF(N142+O142&gt;=33,1,0)))))))</f>
        <v/>
      </c>
      <c r="AI142">
        <f>IF(AA142,0,IF(P142+Q142&gt;=80,5,IF(P142+Q142&gt;=70,4,IF(P142+Q142&gt;=60,3.5,IF(P142+Q142&gt;=50,3,IF(P142+Q142&gt;=40,2,IF(P142+Q142&gt;=33,1,0)))))))</f>
        <v/>
      </c>
      <c r="AJ142">
        <f>IF(R142&lt;8.25,0,IF(R142*2&gt;=80,5,IF(R142*2&gt;=70,4,IF(R142*2&gt;=60,3.5,IF(R142*2&gt;=50,3,IF(R142*2&gt;=40,2,IF(R142*2&gt;=33,1,0)))))))</f>
        <v/>
      </c>
      <c r="AK142">
        <f>IF(S142&lt;33,0,IF(S142&gt;=80,5,IF(S142&gt;=70,4,IF(S142&gt;=60,3.5,IF(S142&gt;=50,3,IF(S142&gt;=40,2,IF(S142&gt;=33,1,0)))))))</f>
        <v/>
      </c>
      <c r="AL142">
        <f>(AC142+AD142+AE142+AF142+AG142+AH142+AI142+AJ142)/8</f>
        <v/>
      </c>
      <c r="AM142">
        <f>IF(AK142&gt;=2,(AK142-2)/8,0)</f>
        <v/>
      </c>
    </row>
    <row r="143">
      <c r="T143">
        <f>SUM(C143:R143)</f>
        <v/>
      </c>
      <c r="U143" s="6">
        <f>ROUND(T143/11.5,2)</f>
        <v/>
      </c>
      <c r="V143" s="7">
        <f>IF(B143="","",IF(AB143,0,ROUND(AL143,2)))</f>
        <v/>
      </c>
      <c r="W143" s="7">
        <f>IF(B143="","",IF(AB143,0,MIN(5,ROUND(AL143+AM143,2))))</f>
        <v/>
      </c>
      <c r="X143" s="8">
        <f>IF(B143="","",IF(W143&gt;=5,"A+",IF(W143&gt;=4,"A",IF(W143&gt;=3.5,"A-",IF(W143&gt;=3,"B",IF(W143&gt;=2,"C",IF(W143&gt;=1,"D","F")))))))</f>
        <v/>
      </c>
      <c r="Y143">
        <f>NOT(OR(AND(J143&gt;=10,K143&gt;=23,L143&gt;=10,M143&gt;=23),AND(J143+L143&gt;=20,K143+M143&gt;=46)))</f>
        <v/>
      </c>
      <c r="Z143">
        <f>OR(N143&lt;10,O143&lt;23)</f>
        <v/>
      </c>
      <c r="AA143">
        <f>OR(P143&lt;10,Q143&lt;23)</f>
        <v/>
      </c>
      <c r="AB143">
        <f>OR((C143+D143)&lt;66,(E143+F143)&lt;66,G143&lt;33,(H143+I143)&lt;66,Y143,Z143,AA143,R143&lt;8.25)</f>
        <v/>
      </c>
      <c r="AC143">
        <f>IF(C143+D143&lt;66,0,IF((C143+D143)/2&gt;=80,5,IF((C143+D143)/2&gt;=70,4,IF((C143+D143)/2&gt;=60,3.5,IF((C143+D143)/2&gt;=50,3,IF((C143+D143)/2&gt;=40,2,IF((C143+D143)/2&gt;=33,1,0)))))))</f>
        <v/>
      </c>
      <c r="AD143">
        <f>IF(E143+F143&lt;66,0,IF((E143+F143)/2&gt;=80,5,IF((E143+F143)/2&gt;=70,4,IF((E143+F143)/2&gt;=60,3.5,IF((E143+F143)/2&gt;=50,3,IF((E143+F143)/2&gt;=40,2,IF((E143+F143)/2&gt;=33,1,0)))))))</f>
        <v/>
      </c>
      <c r="AE143">
        <f>IF(G143&lt;33,0,IF(G143&gt;=80,5,IF(G143&gt;=70,4,IF(G143&gt;=60,3.5,IF(G143&gt;=50,3,IF(G143&gt;=40,2,IF(G143&gt;=33,1,0)))))))</f>
        <v/>
      </c>
      <c r="AF143">
        <f>IF(H143+I143&lt;66,0,IF((H143+I143)/2&gt;=80,5,IF((H143+I143)/2&gt;=70,4,IF((H143+I143)/2&gt;=60,3.5,IF((H143+I143)/2&gt;=50,3,IF((H143+I143)/2&gt;=40,2,IF((H143+I143)/2&gt;=33,1,0)))))))</f>
        <v/>
      </c>
      <c r="AG143">
        <f>IF(Y143,0,IF((J143+K143+L143+M143)/2&gt;=80,5,IF((J143+K143+L143+M143)/2&gt;=70,4,IF((J143+K143+L143+M143)/2&gt;=60,3.5,IF((J143+K143+L143+M143)/2&gt;=50,3,IF((J143+K143+L143+M143)/2&gt;=40,2,IF((J143+K143+L143+M143)/2&gt;=33,1,0)))))))</f>
        <v/>
      </c>
      <c r="AH143">
        <f>IF(Z143,0,IF(N143+O143&gt;=80,5,IF(N143+O143&gt;=70,4,IF(N143+O143&gt;=60,3.5,IF(N143+O143&gt;=50,3,IF(N143+O143&gt;=40,2,IF(N143+O143&gt;=33,1,0)))))))</f>
        <v/>
      </c>
      <c r="AI143">
        <f>IF(AA143,0,IF(P143+Q143&gt;=80,5,IF(P143+Q143&gt;=70,4,IF(P143+Q143&gt;=60,3.5,IF(P143+Q143&gt;=50,3,IF(P143+Q143&gt;=40,2,IF(P143+Q143&gt;=33,1,0)))))))</f>
        <v/>
      </c>
      <c r="AJ143">
        <f>IF(R143&lt;8.25,0,IF(R143*2&gt;=80,5,IF(R143*2&gt;=70,4,IF(R143*2&gt;=60,3.5,IF(R143*2&gt;=50,3,IF(R143*2&gt;=40,2,IF(R143*2&gt;=33,1,0)))))))</f>
        <v/>
      </c>
      <c r="AK143">
        <f>IF(S143&lt;33,0,IF(S143&gt;=80,5,IF(S143&gt;=70,4,IF(S143&gt;=60,3.5,IF(S143&gt;=50,3,IF(S143&gt;=40,2,IF(S143&gt;=33,1,0)))))))</f>
        <v/>
      </c>
      <c r="AL143">
        <f>(AC143+AD143+AE143+AF143+AG143+AH143+AI143+AJ143)/8</f>
        <v/>
      </c>
      <c r="AM143">
        <f>IF(AK143&gt;=2,(AK143-2)/8,0)</f>
        <v/>
      </c>
    </row>
    <row r="144">
      <c r="T144">
        <f>SUM(C144:R144)</f>
        <v/>
      </c>
      <c r="U144" s="6">
        <f>ROUND(T144/11.5,2)</f>
        <v/>
      </c>
      <c r="V144" s="7">
        <f>IF(B144="","",IF(AB144,0,ROUND(AL144,2)))</f>
        <v/>
      </c>
      <c r="W144" s="7">
        <f>IF(B144="","",IF(AB144,0,MIN(5,ROUND(AL144+AM144,2))))</f>
        <v/>
      </c>
      <c r="X144" s="8">
        <f>IF(B144="","",IF(W144&gt;=5,"A+",IF(W144&gt;=4,"A",IF(W144&gt;=3.5,"A-",IF(W144&gt;=3,"B",IF(W144&gt;=2,"C",IF(W144&gt;=1,"D","F")))))))</f>
        <v/>
      </c>
      <c r="Y144">
        <f>NOT(OR(AND(J144&gt;=10,K144&gt;=23,L144&gt;=10,M144&gt;=23),AND(J144+L144&gt;=20,K144+M144&gt;=46)))</f>
        <v/>
      </c>
      <c r="Z144">
        <f>OR(N144&lt;10,O144&lt;23)</f>
        <v/>
      </c>
      <c r="AA144">
        <f>OR(P144&lt;10,Q144&lt;23)</f>
        <v/>
      </c>
      <c r="AB144">
        <f>OR((C144+D144)&lt;66,(E144+F144)&lt;66,G144&lt;33,(H144+I144)&lt;66,Y144,Z144,AA144,R144&lt;8.25)</f>
        <v/>
      </c>
      <c r="AC144">
        <f>IF(C144+D144&lt;66,0,IF((C144+D144)/2&gt;=80,5,IF((C144+D144)/2&gt;=70,4,IF((C144+D144)/2&gt;=60,3.5,IF((C144+D144)/2&gt;=50,3,IF((C144+D144)/2&gt;=40,2,IF((C144+D144)/2&gt;=33,1,0)))))))</f>
        <v/>
      </c>
      <c r="AD144">
        <f>IF(E144+F144&lt;66,0,IF((E144+F144)/2&gt;=80,5,IF((E144+F144)/2&gt;=70,4,IF((E144+F144)/2&gt;=60,3.5,IF((E144+F144)/2&gt;=50,3,IF((E144+F144)/2&gt;=40,2,IF((E144+F144)/2&gt;=33,1,0)))))))</f>
        <v/>
      </c>
      <c r="AE144">
        <f>IF(G144&lt;33,0,IF(G144&gt;=80,5,IF(G144&gt;=70,4,IF(G144&gt;=60,3.5,IF(G144&gt;=50,3,IF(G144&gt;=40,2,IF(G144&gt;=33,1,0)))))))</f>
        <v/>
      </c>
      <c r="AF144">
        <f>IF(H144+I144&lt;66,0,IF((H144+I144)/2&gt;=80,5,IF((H144+I144)/2&gt;=70,4,IF((H144+I144)/2&gt;=60,3.5,IF((H144+I144)/2&gt;=50,3,IF((H144+I144)/2&gt;=40,2,IF((H144+I144)/2&gt;=33,1,0)))))))</f>
        <v/>
      </c>
      <c r="AG144">
        <f>IF(Y144,0,IF((J144+K144+L144+M144)/2&gt;=80,5,IF((J144+K144+L144+M144)/2&gt;=70,4,IF((J144+K144+L144+M144)/2&gt;=60,3.5,IF((J144+K144+L144+M144)/2&gt;=50,3,IF((J144+K144+L144+M144)/2&gt;=40,2,IF((J144+K144+L144+M144)/2&gt;=33,1,0)))))))</f>
        <v/>
      </c>
      <c r="AH144">
        <f>IF(Z144,0,IF(N144+O144&gt;=80,5,IF(N144+O144&gt;=70,4,IF(N144+O144&gt;=60,3.5,IF(N144+O144&gt;=50,3,IF(N144+O144&gt;=40,2,IF(N144+O144&gt;=33,1,0)))))))</f>
        <v/>
      </c>
      <c r="AI144">
        <f>IF(AA144,0,IF(P144+Q144&gt;=80,5,IF(P144+Q144&gt;=70,4,IF(P144+Q144&gt;=60,3.5,IF(P144+Q144&gt;=50,3,IF(P144+Q144&gt;=40,2,IF(P144+Q144&gt;=33,1,0)))))))</f>
        <v/>
      </c>
      <c r="AJ144">
        <f>IF(R144&lt;8.25,0,IF(R144*2&gt;=80,5,IF(R144*2&gt;=70,4,IF(R144*2&gt;=60,3.5,IF(R144*2&gt;=50,3,IF(R144*2&gt;=40,2,IF(R144*2&gt;=33,1,0)))))))</f>
        <v/>
      </c>
      <c r="AK144">
        <f>IF(S144&lt;33,0,IF(S144&gt;=80,5,IF(S144&gt;=70,4,IF(S144&gt;=60,3.5,IF(S144&gt;=50,3,IF(S144&gt;=40,2,IF(S144&gt;=33,1,0)))))))</f>
        <v/>
      </c>
      <c r="AL144">
        <f>(AC144+AD144+AE144+AF144+AG144+AH144+AI144+AJ144)/8</f>
        <v/>
      </c>
      <c r="AM144">
        <f>IF(AK144&gt;=2,(AK144-2)/8,0)</f>
        <v/>
      </c>
    </row>
    <row r="145">
      <c r="T145">
        <f>SUM(C145:R145)</f>
        <v/>
      </c>
      <c r="U145" s="6">
        <f>ROUND(T145/11.5,2)</f>
        <v/>
      </c>
      <c r="V145" s="7">
        <f>IF(B145="","",IF(AB145,0,ROUND(AL145,2)))</f>
        <v/>
      </c>
      <c r="W145" s="7">
        <f>IF(B145="","",IF(AB145,0,MIN(5,ROUND(AL145+AM145,2))))</f>
        <v/>
      </c>
      <c r="X145" s="8">
        <f>IF(B145="","",IF(W145&gt;=5,"A+",IF(W145&gt;=4,"A",IF(W145&gt;=3.5,"A-",IF(W145&gt;=3,"B",IF(W145&gt;=2,"C",IF(W145&gt;=1,"D","F")))))))</f>
        <v/>
      </c>
      <c r="Y145">
        <f>NOT(OR(AND(J145&gt;=10,K145&gt;=23,L145&gt;=10,M145&gt;=23),AND(J145+L145&gt;=20,K145+M145&gt;=46)))</f>
        <v/>
      </c>
      <c r="Z145">
        <f>OR(N145&lt;10,O145&lt;23)</f>
        <v/>
      </c>
      <c r="AA145">
        <f>OR(P145&lt;10,Q145&lt;23)</f>
        <v/>
      </c>
      <c r="AB145">
        <f>OR((C145+D145)&lt;66,(E145+F145)&lt;66,G145&lt;33,(H145+I145)&lt;66,Y145,Z145,AA145,R145&lt;8.25)</f>
        <v/>
      </c>
      <c r="AC145">
        <f>IF(C145+D145&lt;66,0,IF((C145+D145)/2&gt;=80,5,IF((C145+D145)/2&gt;=70,4,IF((C145+D145)/2&gt;=60,3.5,IF((C145+D145)/2&gt;=50,3,IF((C145+D145)/2&gt;=40,2,IF((C145+D145)/2&gt;=33,1,0)))))))</f>
        <v/>
      </c>
      <c r="AD145">
        <f>IF(E145+F145&lt;66,0,IF((E145+F145)/2&gt;=80,5,IF((E145+F145)/2&gt;=70,4,IF((E145+F145)/2&gt;=60,3.5,IF((E145+F145)/2&gt;=50,3,IF((E145+F145)/2&gt;=40,2,IF((E145+F145)/2&gt;=33,1,0)))))))</f>
        <v/>
      </c>
      <c r="AE145">
        <f>IF(G145&lt;33,0,IF(G145&gt;=80,5,IF(G145&gt;=70,4,IF(G145&gt;=60,3.5,IF(G145&gt;=50,3,IF(G145&gt;=40,2,IF(G145&gt;=33,1,0)))))))</f>
        <v/>
      </c>
      <c r="AF145">
        <f>IF(H145+I145&lt;66,0,IF((H145+I145)/2&gt;=80,5,IF((H145+I145)/2&gt;=70,4,IF((H145+I145)/2&gt;=60,3.5,IF((H145+I145)/2&gt;=50,3,IF((H145+I145)/2&gt;=40,2,IF((H145+I145)/2&gt;=33,1,0)))))))</f>
        <v/>
      </c>
      <c r="AG145">
        <f>IF(Y145,0,IF((J145+K145+L145+M145)/2&gt;=80,5,IF((J145+K145+L145+M145)/2&gt;=70,4,IF((J145+K145+L145+M145)/2&gt;=60,3.5,IF((J145+K145+L145+M145)/2&gt;=50,3,IF((J145+K145+L145+M145)/2&gt;=40,2,IF((J145+K145+L145+M145)/2&gt;=33,1,0)))))))</f>
        <v/>
      </c>
      <c r="AH145">
        <f>IF(Z145,0,IF(N145+O145&gt;=80,5,IF(N145+O145&gt;=70,4,IF(N145+O145&gt;=60,3.5,IF(N145+O145&gt;=50,3,IF(N145+O145&gt;=40,2,IF(N145+O145&gt;=33,1,0)))))))</f>
        <v/>
      </c>
      <c r="AI145">
        <f>IF(AA145,0,IF(P145+Q145&gt;=80,5,IF(P145+Q145&gt;=70,4,IF(P145+Q145&gt;=60,3.5,IF(P145+Q145&gt;=50,3,IF(P145+Q145&gt;=40,2,IF(P145+Q145&gt;=33,1,0)))))))</f>
        <v/>
      </c>
      <c r="AJ145">
        <f>IF(R145&lt;8.25,0,IF(R145*2&gt;=80,5,IF(R145*2&gt;=70,4,IF(R145*2&gt;=60,3.5,IF(R145*2&gt;=50,3,IF(R145*2&gt;=40,2,IF(R145*2&gt;=33,1,0)))))))</f>
        <v/>
      </c>
      <c r="AK145">
        <f>IF(S145&lt;33,0,IF(S145&gt;=80,5,IF(S145&gt;=70,4,IF(S145&gt;=60,3.5,IF(S145&gt;=50,3,IF(S145&gt;=40,2,IF(S145&gt;=33,1,0)))))))</f>
        <v/>
      </c>
      <c r="AL145">
        <f>(AC145+AD145+AE145+AF145+AG145+AH145+AI145+AJ145)/8</f>
        <v/>
      </c>
      <c r="AM145">
        <f>IF(AK145&gt;=2,(AK145-2)/8,0)</f>
        <v/>
      </c>
    </row>
    <row r="146">
      <c r="T146">
        <f>SUM(C146:R146)</f>
        <v/>
      </c>
      <c r="U146" s="6">
        <f>ROUND(T146/11.5,2)</f>
        <v/>
      </c>
      <c r="V146" s="7">
        <f>IF(B146="","",IF(AB146,0,ROUND(AL146,2)))</f>
        <v/>
      </c>
      <c r="W146" s="7">
        <f>IF(B146="","",IF(AB146,0,MIN(5,ROUND(AL146+AM146,2))))</f>
        <v/>
      </c>
      <c r="X146" s="8">
        <f>IF(B146="","",IF(W146&gt;=5,"A+",IF(W146&gt;=4,"A",IF(W146&gt;=3.5,"A-",IF(W146&gt;=3,"B",IF(W146&gt;=2,"C",IF(W146&gt;=1,"D","F")))))))</f>
        <v/>
      </c>
      <c r="Y146">
        <f>NOT(OR(AND(J146&gt;=10,K146&gt;=23,L146&gt;=10,M146&gt;=23),AND(J146+L146&gt;=20,K146+M146&gt;=46)))</f>
        <v/>
      </c>
      <c r="Z146">
        <f>OR(N146&lt;10,O146&lt;23)</f>
        <v/>
      </c>
      <c r="AA146">
        <f>OR(P146&lt;10,Q146&lt;23)</f>
        <v/>
      </c>
      <c r="AB146">
        <f>OR((C146+D146)&lt;66,(E146+F146)&lt;66,G146&lt;33,(H146+I146)&lt;66,Y146,Z146,AA146,R146&lt;8.25)</f>
        <v/>
      </c>
      <c r="AC146">
        <f>IF(C146+D146&lt;66,0,IF((C146+D146)/2&gt;=80,5,IF((C146+D146)/2&gt;=70,4,IF((C146+D146)/2&gt;=60,3.5,IF((C146+D146)/2&gt;=50,3,IF((C146+D146)/2&gt;=40,2,IF((C146+D146)/2&gt;=33,1,0)))))))</f>
        <v/>
      </c>
      <c r="AD146">
        <f>IF(E146+F146&lt;66,0,IF((E146+F146)/2&gt;=80,5,IF((E146+F146)/2&gt;=70,4,IF((E146+F146)/2&gt;=60,3.5,IF((E146+F146)/2&gt;=50,3,IF((E146+F146)/2&gt;=40,2,IF((E146+F146)/2&gt;=33,1,0)))))))</f>
        <v/>
      </c>
      <c r="AE146">
        <f>IF(G146&lt;33,0,IF(G146&gt;=80,5,IF(G146&gt;=70,4,IF(G146&gt;=60,3.5,IF(G146&gt;=50,3,IF(G146&gt;=40,2,IF(G146&gt;=33,1,0)))))))</f>
        <v/>
      </c>
      <c r="AF146">
        <f>IF(H146+I146&lt;66,0,IF((H146+I146)/2&gt;=80,5,IF((H146+I146)/2&gt;=70,4,IF((H146+I146)/2&gt;=60,3.5,IF((H146+I146)/2&gt;=50,3,IF((H146+I146)/2&gt;=40,2,IF((H146+I146)/2&gt;=33,1,0)))))))</f>
        <v/>
      </c>
      <c r="AG146">
        <f>IF(Y146,0,IF((J146+K146+L146+M146)/2&gt;=80,5,IF((J146+K146+L146+M146)/2&gt;=70,4,IF((J146+K146+L146+M146)/2&gt;=60,3.5,IF((J146+K146+L146+M146)/2&gt;=50,3,IF((J146+K146+L146+M146)/2&gt;=40,2,IF((J146+K146+L146+M146)/2&gt;=33,1,0)))))))</f>
        <v/>
      </c>
      <c r="AH146">
        <f>IF(Z146,0,IF(N146+O146&gt;=80,5,IF(N146+O146&gt;=70,4,IF(N146+O146&gt;=60,3.5,IF(N146+O146&gt;=50,3,IF(N146+O146&gt;=40,2,IF(N146+O146&gt;=33,1,0)))))))</f>
        <v/>
      </c>
      <c r="AI146">
        <f>IF(AA146,0,IF(P146+Q146&gt;=80,5,IF(P146+Q146&gt;=70,4,IF(P146+Q146&gt;=60,3.5,IF(P146+Q146&gt;=50,3,IF(P146+Q146&gt;=40,2,IF(P146+Q146&gt;=33,1,0)))))))</f>
        <v/>
      </c>
      <c r="AJ146">
        <f>IF(R146&lt;8.25,0,IF(R146*2&gt;=80,5,IF(R146*2&gt;=70,4,IF(R146*2&gt;=60,3.5,IF(R146*2&gt;=50,3,IF(R146*2&gt;=40,2,IF(R146*2&gt;=33,1,0)))))))</f>
        <v/>
      </c>
      <c r="AK146">
        <f>IF(S146&lt;33,0,IF(S146&gt;=80,5,IF(S146&gt;=70,4,IF(S146&gt;=60,3.5,IF(S146&gt;=50,3,IF(S146&gt;=40,2,IF(S146&gt;=33,1,0)))))))</f>
        <v/>
      </c>
      <c r="AL146">
        <f>(AC146+AD146+AE146+AF146+AG146+AH146+AI146+AJ146)/8</f>
        <v/>
      </c>
      <c r="AM146">
        <f>IF(AK146&gt;=2,(AK146-2)/8,0)</f>
        <v/>
      </c>
    </row>
    <row r="147">
      <c r="T147">
        <f>SUM(C147:R147)</f>
        <v/>
      </c>
      <c r="U147" s="6">
        <f>ROUND(T147/11.5,2)</f>
        <v/>
      </c>
      <c r="V147" s="7">
        <f>IF(B147="","",IF(AB147,0,ROUND(AL147,2)))</f>
        <v/>
      </c>
      <c r="W147" s="7">
        <f>IF(B147="","",IF(AB147,0,MIN(5,ROUND(AL147+AM147,2))))</f>
        <v/>
      </c>
      <c r="X147" s="8">
        <f>IF(B147="","",IF(W147&gt;=5,"A+",IF(W147&gt;=4,"A",IF(W147&gt;=3.5,"A-",IF(W147&gt;=3,"B",IF(W147&gt;=2,"C",IF(W147&gt;=1,"D","F")))))))</f>
        <v/>
      </c>
      <c r="Y147">
        <f>NOT(OR(AND(J147&gt;=10,K147&gt;=23,L147&gt;=10,M147&gt;=23),AND(J147+L147&gt;=20,K147+M147&gt;=46)))</f>
        <v/>
      </c>
      <c r="Z147">
        <f>OR(N147&lt;10,O147&lt;23)</f>
        <v/>
      </c>
      <c r="AA147">
        <f>OR(P147&lt;10,Q147&lt;23)</f>
        <v/>
      </c>
      <c r="AB147">
        <f>OR((C147+D147)&lt;66,(E147+F147)&lt;66,G147&lt;33,(H147+I147)&lt;66,Y147,Z147,AA147,R147&lt;8.25)</f>
        <v/>
      </c>
      <c r="AC147">
        <f>IF(C147+D147&lt;66,0,IF((C147+D147)/2&gt;=80,5,IF((C147+D147)/2&gt;=70,4,IF((C147+D147)/2&gt;=60,3.5,IF((C147+D147)/2&gt;=50,3,IF((C147+D147)/2&gt;=40,2,IF((C147+D147)/2&gt;=33,1,0)))))))</f>
        <v/>
      </c>
      <c r="AD147">
        <f>IF(E147+F147&lt;66,0,IF((E147+F147)/2&gt;=80,5,IF((E147+F147)/2&gt;=70,4,IF((E147+F147)/2&gt;=60,3.5,IF((E147+F147)/2&gt;=50,3,IF((E147+F147)/2&gt;=40,2,IF((E147+F147)/2&gt;=33,1,0)))))))</f>
        <v/>
      </c>
      <c r="AE147">
        <f>IF(G147&lt;33,0,IF(G147&gt;=80,5,IF(G147&gt;=70,4,IF(G147&gt;=60,3.5,IF(G147&gt;=50,3,IF(G147&gt;=40,2,IF(G147&gt;=33,1,0)))))))</f>
        <v/>
      </c>
      <c r="AF147">
        <f>IF(H147+I147&lt;66,0,IF((H147+I147)/2&gt;=80,5,IF((H147+I147)/2&gt;=70,4,IF((H147+I147)/2&gt;=60,3.5,IF((H147+I147)/2&gt;=50,3,IF((H147+I147)/2&gt;=40,2,IF((H147+I147)/2&gt;=33,1,0)))))))</f>
        <v/>
      </c>
      <c r="AG147">
        <f>IF(Y147,0,IF((J147+K147+L147+M147)/2&gt;=80,5,IF((J147+K147+L147+M147)/2&gt;=70,4,IF((J147+K147+L147+M147)/2&gt;=60,3.5,IF((J147+K147+L147+M147)/2&gt;=50,3,IF((J147+K147+L147+M147)/2&gt;=40,2,IF((J147+K147+L147+M147)/2&gt;=33,1,0)))))))</f>
        <v/>
      </c>
      <c r="AH147">
        <f>IF(Z147,0,IF(N147+O147&gt;=80,5,IF(N147+O147&gt;=70,4,IF(N147+O147&gt;=60,3.5,IF(N147+O147&gt;=50,3,IF(N147+O147&gt;=40,2,IF(N147+O147&gt;=33,1,0)))))))</f>
        <v/>
      </c>
      <c r="AI147">
        <f>IF(AA147,0,IF(P147+Q147&gt;=80,5,IF(P147+Q147&gt;=70,4,IF(P147+Q147&gt;=60,3.5,IF(P147+Q147&gt;=50,3,IF(P147+Q147&gt;=40,2,IF(P147+Q147&gt;=33,1,0)))))))</f>
        <v/>
      </c>
      <c r="AJ147">
        <f>IF(R147&lt;8.25,0,IF(R147*2&gt;=80,5,IF(R147*2&gt;=70,4,IF(R147*2&gt;=60,3.5,IF(R147*2&gt;=50,3,IF(R147*2&gt;=40,2,IF(R147*2&gt;=33,1,0)))))))</f>
        <v/>
      </c>
      <c r="AK147">
        <f>IF(S147&lt;33,0,IF(S147&gt;=80,5,IF(S147&gt;=70,4,IF(S147&gt;=60,3.5,IF(S147&gt;=50,3,IF(S147&gt;=40,2,IF(S147&gt;=33,1,0)))))))</f>
        <v/>
      </c>
      <c r="AL147">
        <f>(AC147+AD147+AE147+AF147+AG147+AH147+AI147+AJ147)/8</f>
        <v/>
      </c>
      <c r="AM147">
        <f>IF(AK147&gt;=2,(AK147-2)/8,0)</f>
        <v/>
      </c>
    </row>
    <row r="148">
      <c r="T148">
        <f>SUM(C148:R148)</f>
        <v/>
      </c>
      <c r="U148" s="6">
        <f>ROUND(T148/11.5,2)</f>
        <v/>
      </c>
      <c r="V148" s="7">
        <f>IF(B148="","",IF(AB148,0,ROUND(AL148,2)))</f>
        <v/>
      </c>
      <c r="W148" s="7">
        <f>IF(B148="","",IF(AB148,0,MIN(5,ROUND(AL148+AM148,2))))</f>
        <v/>
      </c>
      <c r="X148" s="8">
        <f>IF(B148="","",IF(W148&gt;=5,"A+",IF(W148&gt;=4,"A",IF(W148&gt;=3.5,"A-",IF(W148&gt;=3,"B",IF(W148&gt;=2,"C",IF(W148&gt;=1,"D","F")))))))</f>
        <v/>
      </c>
      <c r="Y148">
        <f>NOT(OR(AND(J148&gt;=10,K148&gt;=23,L148&gt;=10,M148&gt;=23),AND(J148+L148&gt;=20,K148+M148&gt;=46)))</f>
        <v/>
      </c>
      <c r="Z148">
        <f>OR(N148&lt;10,O148&lt;23)</f>
        <v/>
      </c>
      <c r="AA148">
        <f>OR(P148&lt;10,Q148&lt;23)</f>
        <v/>
      </c>
      <c r="AB148">
        <f>OR((C148+D148)&lt;66,(E148+F148)&lt;66,G148&lt;33,(H148+I148)&lt;66,Y148,Z148,AA148,R148&lt;8.25)</f>
        <v/>
      </c>
      <c r="AC148">
        <f>IF(C148+D148&lt;66,0,IF((C148+D148)/2&gt;=80,5,IF((C148+D148)/2&gt;=70,4,IF((C148+D148)/2&gt;=60,3.5,IF((C148+D148)/2&gt;=50,3,IF((C148+D148)/2&gt;=40,2,IF((C148+D148)/2&gt;=33,1,0)))))))</f>
        <v/>
      </c>
      <c r="AD148">
        <f>IF(E148+F148&lt;66,0,IF((E148+F148)/2&gt;=80,5,IF((E148+F148)/2&gt;=70,4,IF((E148+F148)/2&gt;=60,3.5,IF((E148+F148)/2&gt;=50,3,IF((E148+F148)/2&gt;=40,2,IF((E148+F148)/2&gt;=33,1,0)))))))</f>
        <v/>
      </c>
      <c r="AE148">
        <f>IF(G148&lt;33,0,IF(G148&gt;=80,5,IF(G148&gt;=70,4,IF(G148&gt;=60,3.5,IF(G148&gt;=50,3,IF(G148&gt;=40,2,IF(G148&gt;=33,1,0)))))))</f>
        <v/>
      </c>
      <c r="AF148">
        <f>IF(H148+I148&lt;66,0,IF((H148+I148)/2&gt;=80,5,IF((H148+I148)/2&gt;=70,4,IF((H148+I148)/2&gt;=60,3.5,IF((H148+I148)/2&gt;=50,3,IF((H148+I148)/2&gt;=40,2,IF((H148+I148)/2&gt;=33,1,0)))))))</f>
        <v/>
      </c>
      <c r="AG148">
        <f>IF(Y148,0,IF((J148+K148+L148+M148)/2&gt;=80,5,IF((J148+K148+L148+M148)/2&gt;=70,4,IF((J148+K148+L148+M148)/2&gt;=60,3.5,IF((J148+K148+L148+M148)/2&gt;=50,3,IF((J148+K148+L148+M148)/2&gt;=40,2,IF((J148+K148+L148+M148)/2&gt;=33,1,0)))))))</f>
        <v/>
      </c>
      <c r="AH148">
        <f>IF(Z148,0,IF(N148+O148&gt;=80,5,IF(N148+O148&gt;=70,4,IF(N148+O148&gt;=60,3.5,IF(N148+O148&gt;=50,3,IF(N148+O148&gt;=40,2,IF(N148+O148&gt;=33,1,0)))))))</f>
        <v/>
      </c>
      <c r="AI148">
        <f>IF(AA148,0,IF(P148+Q148&gt;=80,5,IF(P148+Q148&gt;=70,4,IF(P148+Q148&gt;=60,3.5,IF(P148+Q148&gt;=50,3,IF(P148+Q148&gt;=40,2,IF(P148+Q148&gt;=33,1,0)))))))</f>
        <v/>
      </c>
      <c r="AJ148">
        <f>IF(R148&lt;8.25,0,IF(R148*2&gt;=80,5,IF(R148*2&gt;=70,4,IF(R148*2&gt;=60,3.5,IF(R148*2&gt;=50,3,IF(R148*2&gt;=40,2,IF(R148*2&gt;=33,1,0)))))))</f>
        <v/>
      </c>
      <c r="AK148">
        <f>IF(S148&lt;33,0,IF(S148&gt;=80,5,IF(S148&gt;=70,4,IF(S148&gt;=60,3.5,IF(S148&gt;=50,3,IF(S148&gt;=40,2,IF(S148&gt;=33,1,0)))))))</f>
        <v/>
      </c>
      <c r="AL148">
        <f>(AC148+AD148+AE148+AF148+AG148+AH148+AI148+AJ148)/8</f>
        <v/>
      </c>
      <c r="AM148">
        <f>IF(AK148&gt;=2,(AK148-2)/8,0)</f>
        <v/>
      </c>
    </row>
    <row r="149">
      <c r="T149">
        <f>SUM(C149:R149)</f>
        <v/>
      </c>
      <c r="U149" s="6">
        <f>ROUND(T149/11.5,2)</f>
        <v/>
      </c>
      <c r="V149" s="7">
        <f>IF(B149="","",IF(AB149,0,ROUND(AL149,2)))</f>
        <v/>
      </c>
      <c r="W149" s="7">
        <f>IF(B149="","",IF(AB149,0,MIN(5,ROUND(AL149+AM149,2))))</f>
        <v/>
      </c>
      <c r="X149" s="8">
        <f>IF(B149="","",IF(W149&gt;=5,"A+",IF(W149&gt;=4,"A",IF(W149&gt;=3.5,"A-",IF(W149&gt;=3,"B",IF(W149&gt;=2,"C",IF(W149&gt;=1,"D","F")))))))</f>
        <v/>
      </c>
      <c r="Y149">
        <f>NOT(OR(AND(J149&gt;=10,K149&gt;=23,L149&gt;=10,M149&gt;=23),AND(J149+L149&gt;=20,K149+M149&gt;=46)))</f>
        <v/>
      </c>
      <c r="Z149">
        <f>OR(N149&lt;10,O149&lt;23)</f>
        <v/>
      </c>
      <c r="AA149">
        <f>OR(P149&lt;10,Q149&lt;23)</f>
        <v/>
      </c>
      <c r="AB149">
        <f>OR((C149+D149)&lt;66,(E149+F149)&lt;66,G149&lt;33,(H149+I149)&lt;66,Y149,Z149,AA149,R149&lt;8.25)</f>
        <v/>
      </c>
      <c r="AC149">
        <f>IF(C149+D149&lt;66,0,IF((C149+D149)/2&gt;=80,5,IF((C149+D149)/2&gt;=70,4,IF((C149+D149)/2&gt;=60,3.5,IF((C149+D149)/2&gt;=50,3,IF((C149+D149)/2&gt;=40,2,IF((C149+D149)/2&gt;=33,1,0)))))))</f>
        <v/>
      </c>
      <c r="AD149">
        <f>IF(E149+F149&lt;66,0,IF((E149+F149)/2&gt;=80,5,IF((E149+F149)/2&gt;=70,4,IF((E149+F149)/2&gt;=60,3.5,IF((E149+F149)/2&gt;=50,3,IF((E149+F149)/2&gt;=40,2,IF((E149+F149)/2&gt;=33,1,0)))))))</f>
        <v/>
      </c>
      <c r="AE149">
        <f>IF(G149&lt;33,0,IF(G149&gt;=80,5,IF(G149&gt;=70,4,IF(G149&gt;=60,3.5,IF(G149&gt;=50,3,IF(G149&gt;=40,2,IF(G149&gt;=33,1,0)))))))</f>
        <v/>
      </c>
      <c r="AF149">
        <f>IF(H149+I149&lt;66,0,IF((H149+I149)/2&gt;=80,5,IF((H149+I149)/2&gt;=70,4,IF((H149+I149)/2&gt;=60,3.5,IF((H149+I149)/2&gt;=50,3,IF((H149+I149)/2&gt;=40,2,IF((H149+I149)/2&gt;=33,1,0)))))))</f>
        <v/>
      </c>
      <c r="AG149">
        <f>IF(Y149,0,IF((J149+K149+L149+M149)/2&gt;=80,5,IF((J149+K149+L149+M149)/2&gt;=70,4,IF((J149+K149+L149+M149)/2&gt;=60,3.5,IF((J149+K149+L149+M149)/2&gt;=50,3,IF((J149+K149+L149+M149)/2&gt;=40,2,IF((J149+K149+L149+M149)/2&gt;=33,1,0)))))))</f>
        <v/>
      </c>
      <c r="AH149">
        <f>IF(Z149,0,IF(N149+O149&gt;=80,5,IF(N149+O149&gt;=70,4,IF(N149+O149&gt;=60,3.5,IF(N149+O149&gt;=50,3,IF(N149+O149&gt;=40,2,IF(N149+O149&gt;=33,1,0)))))))</f>
        <v/>
      </c>
      <c r="AI149">
        <f>IF(AA149,0,IF(P149+Q149&gt;=80,5,IF(P149+Q149&gt;=70,4,IF(P149+Q149&gt;=60,3.5,IF(P149+Q149&gt;=50,3,IF(P149+Q149&gt;=40,2,IF(P149+Q149&gt;=33,1,0)))))))</f>
        <v/>
      </c>
      <c r="AJ149">
        <f>IF(R149&lt;8.25,0,IF(R149*2&gt;=80,5,IF(R149*2&gt;=70,4,IF(R149*2&gt;=60,3.5,IF(R149*2&gt;=50,3,IF(R149*2&gt;=40,2,IF(R149*2&gt;=33,1,0)))))))</f>
        <v/>
      </c>
      <c r="AK149">
        <f>IF(S149&lt;33,0,IF(S149&gt;=80,5,IF(S149&gt;=70,4,IF(S149&gt;=60,3.5,IF(S149&gt;=50,3,IF(S149&gt;=40,2,IF(S149&gt;=33,1,0)))))))</f>
        <v/>
      </c>
      <c r="AL149">
        <f>(AC149+AD149+AE149+AF149+AG149+AH149+AI149+AJ149)/8</f>
        <v/>
      </c>
      <c r="AM149">
        <f>IF(AK149&gt;=2,(AK149-2)/8,0)</f>
        <v/>
      </c>
    </row>
    <row r="150">
      <c r="T150">
        <f>SUM(C150:R150)</f>
        <v/>
      </c>
      <c r="U150" s="6">
        <f>ROUND(T150/11.5,2)</f>
        <v/>
      </c>
      <c r="V150" s="7">
        <f>IF(B150="","",IF(AB150,0,ROUND(AL150,2)))</f>
        <v/>
      </c>
      <c r="W150" s="7">
        <f>IF(B150="","",IF(AB150,0,MIN(5,ROUND(AL150+AM150,2))))</f>
        <v/>
      </c>
      <c r="X150" s="8">
        <f>IF(B150="","",IF(W150&gt;=5,"A+",IF(W150&gt;=4,"A",IF(W150&gt;=3.5,"A-",IF(W150&gt;=3,"B",IF(W150&gt;=2,"C",IF(W150&gt;=1,"D","F")))))))</f>
        <v/>
      </c>
      <c r="Y150">
        <f>NOT(OR(AND(J150&gt;=10,K150&gt;=23,L150&gt;=10,M150&gt;=23),AND(J150+L150&gt;=20,K150+M150&gt;=46)))</f>
        <v/>
      </c>
      <c r="Z150">
        <f>OR(N150&lt;10,O150&lt;23)</f>
        <v/>
      </c>
      <c r="AA150">
        <f>OR(P150&lt;10,Q150&lt;23)</f>
        <v/>
      </c>
      <c r="AB150">
        <f>OR((C150+D150)&lt;66,(E150+F150)&lt;66,G150&lt;33,(H150+I150)&lt;66,Y150,Z150,AA150,R150&lt;8.25)</f>
        <v/>
      </c>
      <c r="AC150">
        <f>IF(C150+D150&lt;66,0,IF((C150+D150)/2&gt;=80,5,IF((C150+D150)/2&gt;=70,4,IF((C150+D150)/2&gt;=60,3.5,IF((C150+D150)/2&gt;=50,3,IF((C150+D150)/2&gt;=40,2,IF((C150+D150)/2&gt;=33,1,0)))))))</f>
        <v/>
      </c>
      <c r="AD150">
        <f>IF(E150+F150&lt;66,0,IF((E150+F150)/2&gt;=80,5,IF((E150+F150)/2&gt;=70,4,IF((E150+F150)/2&gt;=60,3.5,IF((E150+F150)/2&gt;=50,3,IF((E150+F150)/2&gt;=40,2,IF((E150+F150)/2&gt;=33,1,0)))))))</f>
        <v/>
      </c>
      <c r="AE150">
        <f>IF(G150&lt;33,0,IF(G150&gt;=80,5,IF(G150&gt;=70,4,IF(G150&gt;=60,3.5,IF(G150&gt;=50,3,IF(G150&gt;=40,2,IF(G150&gt;=33,1,0)))))))</f>
        <v/>
      </c>
      <c r="AF150">
        <f>IF(H150+I150&lt;66,0,IF((H150+I150)/2&gt;=80,5,IF((H150+I150)/2&gt;=70,4,IF((H150+I150)/2&gt;=60,3.5,IF((H150+I150)/2&gt;=50,3,IF((H150+I150)/2&gt;=40,2,IF((H150+I150)/2&gt;=33,1,0)))))))</f>
        <v/>
      </c>
      <c r="AG150">
        <f>IF(Y150,0,IF((J150+K150+L150+M150)/2&gt;=80,5,IF((J150+K150+L150+M150)/2&gt;=70,4,IF((J150+K150+L150+M150)/2&gt;=60,3.5,IF((J150+K150+L150+M150)/2&gt;=50,3,IF((J150+K150+L150+M150)/2&gt;=40,2,IF((J150+K150+L150+M150)/2&gt;=33,1,0)))))))</f>
        <v/>
      </c>
      <c r="AH150">
        <f>IF(Z150,0,IF(N150+O150&gt;=80,5,IF(N150+O150&gt;=70,4,IF(N150+O150&gt;=60,3.5,IF(N150+O150&gt;=50,3,IF(N150+O150&gt;=40,2,IF(N150+O150&gt;=33,1,0)))))))</f>
        <v/>
      </c>
      <c r="AI150">
        <f>IF(AA150,0,IF(P150+Q150&gt;=80,5,IF(P150+Q150&gt;=70,4,IF(P150+Q150&gt;=60,3.5,IF(P150+Q150&gt;=50,3,IF(P150+Q150&gt;=40,2,IF(P150+Q150&gt;=33,1,0)))))))</f>
        <v/>
      </c>
      <c r="AJ150">
        <f>IF(R150&lt;8.25,0,IF(R150*2&gt;=80,5,IF(R150*2&gt;=70,4,IF(R150*2&gt;=60,3.5,IF(R150*2&gt;=50,3,IF(R150*2&gt;=40,2,IF(R150*2&gt;=33,1,0)))))))</f>
        <v/>
      </c>
      <c r="AK150">
        <f>IF(S150&lt;33,0,IF(S150&gt;=80,5,IF(S150&gt;=70,4,IF(S150&gt;=60,3.5,IF(S150&gt;=50,3,IF(S150&gt;=40,2,IF(S150&gt;=33,1,0)))))))</f>
        <v/>
      </c>
      <c r="AL150">
        <f>(AC150+AD150+AE150+AF150+AG150+AH150+AI150+AJ150)/8</f>
        <v/>
      </c>
      <c r="AM150">
        <f>IF(AK150&gt;=2,(AK150-2)/8,0)</f>
        <v/>
      </c>
    </row>
    <row r="151">
      <c r="T151">
        <f>SUM(C151:R151)</f>
        <v/>
      </c>
      <c r="U151" s="6">
        <f>ROUND(T151/11.5,2)</f>
        <v/>
      </c>
      <c r="V151" s="7">
        <f>IF(B151="","",IF(AB151,0,ROUND(AL151,2)))</f>
        <v/>
      </c>
      <c r="W151" s="7">
        <f>IF(B151="","",IF(AB151,0,MIN(5,ROUND(AL151+AM151,2))))</f>
        <v/>
      </c>
      <c r="X151" s="8">
        <f>IF(B151="","",IF(W151&gt;=5,"A+",IF(W151&gt;=4,"A",IF(W151&gt;=3.5,"A-",IF(W151&gt;=3,"B",IF(W151&gt;=2,"C",IF(W151&gt;=1,"D","F")))))))</f>
        <v/>
      </c>
      <c r="Y151">
        <f>NOT(OR(AND(J151&gt;=10,K151&gt;=23,L151&gt;=10,M151&gt;=23),AND(J151+L151&gt;=20,K151+M151&gt;=46)))</f>
        <v/>
      </c>
      <c r="Z151">
        <f>OR(N151&lt;10,O151&lt;23)</f>
        <v/>
      </c>
      <c r="AA151">
        <f>OR(P151&lt;10,Q151&lt;23)</f>
        <v/>
      </c>
      <c r="AB151">
        <f>OR((C151+D151)&lt;66,(E151+F151)&lt;66,G151&lt;33,(H151+I151)&lt;66,Y151,Z151,AA151,R151&lt;8.25)</f>
        <v/>
      </c>
      <c r="AC151">
        <f>IF(C151+D151&lt;66,0,IF((C151+D151)/2&gt;=80,5,IF((C151+D151)/2&gt;=70,4,IF((C151+D151)/2&gt;=60,3.5,IF((C151+D151)/2&gt;=50,3,IF((C151+D151)/2&gt;=40,2,IF((C151+D151)/2&gt;=33,1,0)))))))</f>
        <v/>
      </c>
      <c r="AD151">
        <f>IF(E151+F151&lt;66,0,IF((E151+F151)/2&gt;=80,5,IF((E151+F151)/2&gt;=70,4,IF((E151+F151)/2&gt;=60,3.5,IF((E151+F151)/2&gt;=50,3,IF((E151+F151)/2&gt;=40,2,IF((E151+F151)/2&gt;=33,1,0)))))))</f>
        <v/>
      </c>
      <c r="AE151">
        <f>IF(G151&lt;33,0,IF(G151&gt;=80,5,IF(G151&gt;=70,4,IF(G151&gt;=60,3.5,IF(G151&gt;=50,3,IF(G151&gt;=40,2,IF(G151&gt;=33,1,0)))))))</f>
        <v/>
      </c>
      <c r="AF151">
        <f>IF(H151+I151&lt;66,0,IF((H151+I151)/2&gt;=80,5,IF((H151+I151)/2&gt;=70,4,IF((H151+I151)/2&gt;=60,3.5,IF((H151+I151)/2&gt;=50,3,IF((H151+I151)/2&gt;=40,2,IF((H151+I151)/2&gt;=33,1,0)))))))</f>
        <v/>
      </c>
      <c r="AG151">
        <f>IF(Y151,0,IF((J151+K151+L151+M151)/2&gt;=80,5,IF((J151+K151+L151+M151)/2&gt;=70,4,IF((J151+K151+L151+M151)/2&gt;=60,3.5,IF((J151+K151+L151+M151)/2&gt;=50,3,IF((J151+K151+L151+M151)/2&gt;=40,2,IF((J151+K151+L151+M151)/2&gt;=33,1,0)))))))</f>
        <v/>
      </c>
      <c r="AH151">
        <f>IF(Z151,0,IF(N151+O151&gt;=80,5,IF(N151+O151&gt;=70,4,IF(N151+O151&gt;=60,3.5,IF(N151+O151&gt;=50,3,IF(N151+O151&gt;=40,2,IF(N151+O151&gt;=33,1,0)))))))</f>
        <v/>
      </c>
      <c r="AI151">
        <f>IF(AA151,0,IF(P151+Q151&gt;=80,5,IF(P151+Q151&gt;=70,4,IF(P151+Q151&gt;=60,3.5,IF(P151+Q151&gt;=50,3,IF(P151+Q151&gt;=40,2,IF(P151+Q151&gt;=33,1,0)))))))</f>
        <v/>
      </c>
      <c r="AJ151">
        <f>IF(R151&lt;8.25,0,IF(R151*2&gt;=80,5,IF(R151*2&gt;=70,4,IF(R151*2&gt;=60,3.5,IF(R151*2&gt;=50,3,IF(R151*2&gt;=40,2,IF(R151*2&gt;=33,1,0)))))))</f>
        <v/>
      </c>
      <c r="AK151">
        <f>IF(S151&lt;33,0,IF(S151&gt;=80,5,IF(S151&gt;=70,4,IF(S151&gt;=60,3.5,IF(S151&gt;=50,3,IF(S151&gt;=40,2,IF(S151&gt;=33,1,0)))))))</f>
        <v/>
      </c>
      <c r="AL151">
        <f>(AC151+AD151+AE151+AF151+AG151+AH151+AI151+AJ151)/8</f>
        <v/>
      </c>
      <c r="AM151">
        <f>IF(AK151&gt;=2,(AK151-2)/8,0)</f>
        <v/>
      </c>
    </row>
    <row r="152">
      <c r="T152">
        <f>SUM(C152:R152)</f>
        <v/>
      </c>
      <c r="U152" s="6">
        <f>ROUND(T152/11.5,2)</f>
        <v/>
      </c>
      <c r="V152" s="7">
        <f>IF(B152="","",IF(AB152,0,ROUND(AL152,2)))</f>
        <v/>
      </c>
      <c r="W152" s="7">
        <f>IF(B152="","",IF(AB152,0,MIN(5,ROUND(AL152+AM152,2))))</f>
        <v/>
      </c>
      <c r="X152" s="8">
        <f>IF(B152="","",IF(W152&gt;=5,"A+",IF(W152&gt;=4,"A",IF(W152&gt;=3.5,"A-",IF(W152&gt;=3,"B",IF(W152&gt;=2,"C",IF(W152&gt;=1,"D","F")))))))</f>
        <v/>
      </c>
      <c r="Y152">
        <f>NOT(OR(AND(J152&gt;=10,K152&gt;=23,L152&gt;=10,M152&gt;=23),AND(J152+L152&gt;=20,K152+M152&gt;=46)))</f>
        <v/>
      </c>
      <c r="Z152">
        <f>OR(N152&lt;10,O152&lt;23)</f>
        <v/>
      </c>
      <c r="AA152">
        <f>OR(P152&lt;10,Q152&lt;23)</f>
        <v/>
      </c>
      <c r="AB152">
        <f>OR((C152+D152)&lt;66,(E152+F152)&lt;66,G152&lt;33,(H152+I152)&lt;66,Y152,Z152,AA152,R152&lt;8.25)</f>
        <v/>
      </c>
      <c r="AC152">
        <f>IF(C152+D152&lt;66,0,IF((C152+D152)/2&gt;=80,5,IF((C152+D152)/2&gt;=70,4,IF((C152+D152)/2&gt;=60,3.5,IF((C152+D152)/2&gt;=50,3,IF((C152+D152)/2&gt;=40,2,IF((C152+D152)/2&gt;=33,1,0)))))))</f>
        <v/>
      </c>
      <c r="AD152">
        <f>IF(E152+F152&lt;66,0,IF((E152+F152)/2&gt;=80,5,IF((E152+F152)/2&gt;=70,4,IF((E152+F152)/2&gt;=60,3.5,IF((E152+F152)/2&gt;=50,3,IF((E152+F152)/2&gt;=40,2,IF((E152+F152)/2&gt;=33,1,0)))))))</f>
        <v/>
      </c>
      <c r="AE152">
        <f>IF(G152&lt;33,0,IF(G152&gt;=80,5,IF(G152&gt;=70,4,IF(G152&gt;=60,3.5,IF(G152&gt;=50,3,IF(G152&gt;=40,2,IF(G152&gt;=33,1,0)))))))</f>
        <v/>
      </c>
      <c r="AF152">
        <f>IF(H152+I152&lt;66,0,IF((H152+I152)/2&gt;=80,5,IF((H152+I152)/2&gt;=70,4,IF((H152+I152)/2&gt;=60,3.5,IF((H152+I152)/2&gt;=50,3,IF((H152+I152)/2&gt;=40,2,IF((H152+I152)/2&gt;=33,1,0)))))))</f>
        <v/>
      </c>
      <c r="AG152">
        <f>IF(Y152,0,IF((J152+K152+L152+M152)/2&gt;=80,5,IF((J152+K152+L152+M152)/2&gt;=70,4,IF((J152+K152+L152+M152)/2&gt;=60,3.5,IF((J152+K152+L152+M152)/2&gt;=50,3,IF((J152+K152+L152+M152)/2&gt;=40,2,IF((J152+K152+L152+M152)/2&gt;=33,1,0)))))))</f>
        <v/>
      </c>
      <c r="AH152">
        <f>IF(Z152,0,IF(N152+O152&gt;=80,5,IF(N152+O152&gt;=70,4,IF(N152+O152&gt;=60,3.5,IF(N152+O152&gt;=50,3,IF(N152+O152&gt;=40,2,IF(N152+O152&gt;=33,1,0)))))))</f>
        <v/>
      </c>
      <c r="AI152">
        <f>IF(AA152,0,IF(P152+Q152&gt;=80,5,IF(P152+Q152&gt;=70,4,IF(P152+Q152&gt;=60,3.5,IF(P152+Q152&gt;=50,3,IF(P152+Q152&gt;=40,2,IF(P152+Q152&gt;=33,1,0)))))))</f>
        <v/>
      </c>
      <c r="AJ152">
        <f>IF(R152&lt;8.25,0,IF(R152*2&gt;=80,5,IF(R152*2&gt;=70,4,IF(R152*2&gt;=60,3.5,IF(R152*2&gt;=50,3,IF(R152*2&gt;=40,2,IF(R152*2&gt;=33,1,0)))))))</f>
        <v/>
      </c>
      <c r="AK152">
        <f>IF(S152&lt;33,0,IF(S152&gt;=80,5,IF(S152&gt;=70,4,IF(S152&gt;=60,3.5,IF(S152&gt;=50,3,IF(S152&gt;=40,2,IF(S152&gt;=33,1,0)))))))</f>
        <v/>
      </c>
      <c r="AL152">
        <f>(AC152+AD152+AE152+AF152+AG152+AH152+AI152+AJ152)/8</f>
        <v/>
      </c>
      <c r="AM152">
        <f>IF(AK152&gt;=2,(AK152-2)/8,0)</f>
        <v/>
      </c>
    </row>
    <row r="153">
      <c r="T153">
        <f>SUM(C153:R153)</f>
        <v/>
      </c>
      <c r="U153" s="6">
        <f>ROUND(T153/11.5,2)</f>
        <v/>
      </c>
      <c r="V153" s="7">
        <f>IF(B153="","",IF(AB153,0,ROUND(AL153,2)))</f>
        <v/>
      </c>
      <c r="W153" s="7">
        <f>IF(B153="","",IF(AB153,0,MIN(5,ROUND(AL153+AM153,2))))</f>
        <v/>
      </c>
      <c r="X153" s="8">
        <f>IF(B153="","",IF(W153&gt;=5,"A+",IF(W153&gt;=4,"A",IF(W153&gt;=3.5,"A-",IF(W153&gt;=3,"B",IF(W153&gt;=2,"C",IF(W153&gt;=1,"D","F")))))))</f>
        <v/>
      </c>
      <c r="Y153">
        <f>NOT(OR(AND(J153&gt;=10,K153&gt;=23,L153&gt;=10,M153&gt;=23),AND(J153+L153&gt;=20,K153+M153&gt;=46)))</f>
        <v/>
      </c>
      <c r="Z153">
        <f>OR(N153&lt;10,O153&lt;23)</f>
        <v/>
      </c>
      <c r="AA153">
        <f>OR(P153&lt;10,Q153&lt;23)</f>
        <v/>
      </c>
      <c r="AB153">
        <f>OR((C153+D153)&lt;66,(E153+F153)&lt;66,G153&lt;33,(H153+I153)&lt;66,Y153,Z153,AA153,R153&lt;8.25)</f>
        <v/>
      </c>
      <c r="AC153">
        <f>IF(C153+D153&lt;66,0,IF((C153+D153)/2&gt;=80,5,IF((C153+D153)/2&gt;=70,4,IF((C153+D153)/2&gt;=60,3.5,IF((C153+D153)/2&gt;=50,3,IF((C153+D153)/2&gt;=40,2,IF((C153+D153)/2&gt;=33,1,0)))))))</f>
        <v/>
      </c>
      <c r="AD153">
        <f>IF(E153+F153&lt;66,0,IF((E153+F153)/2&gt;=80,5,IF((E153+F153)/2&gt;=70,4,IF((E153+F153)/2&gt;=60,3.5,IF((E153+F153)/2&gt;=50,3,IF((E153+F153)/2&gt;=40,2,IF((E153+F153)/2&gt;=33,1,0)))))))</f>
        <v/>
      </c>
      <c r="AE153">
        <f>IF(G153&lt;33,0,IF(G153&gt;=80,5,IF(G153&gt;=70,4,IF(G153&gt;=60,3.5,IF(G153&gt;=50,3,IF(G153&gt;=40,2,IF(G153&gt;=33,1,0)))))))</f>
        <v/>
      </c>
      <c r="AF153">
        <f>IF(H153+I153&lt;66,0,IF((H153+I153)/2&gt;=80,5,IF((H153+I153)/2&gt;=70,4,IF((H153+I153)/2&gt;=60,3.5,IF((H153+I153)/2&gt;=50,3,IF((H153+I153)/2&gt;=40,2,IF((H153+I153)/2&gt;=33,1,0)))))))</f>
        <v/>
      </c>
      <c r="AG153">
        <f>IF(Y153,0,IF((J153+K153+L153+M153)/2&gt;=80,5,IF((J153+K153+L153+M153)/2&gt;=70,4,IF((J153+K153+L153+M153)/2&gt;=60,3.5,IF((J153+K153+L153+M153)/2&gt;=50,3,IF((J153+K153+L153+M153)/2&gt;=40,2,IF((J153+K153+L153+M153)/2&gt;=33,1,0)))))))</f>
        <v/>
      </c>
      <c r="AH153">
        <f>IF(Z153,0,IF(N153+O153&gt;=80,5,IF(N153+O153&gt;=70,4,IF(N153+O153&gt;=60,3.5,IF(N153+O153&gt;=50,3,IF(N153+O153&gt;=40,2,IF(N153+O153&gt;=33,1,0)))))))</f>
        <v/>
      </c>
      <c r="AI153">
        <f>IF(AA153,0,IF(P153+Q153&gt;=80,5,IF(P153+Q153&gt;=70,4,IF(P153+Q153&gt;=60,3.5,IF(P153+Q153&gt;=50,3,IF(P153+Q153&gt;=40,2,IF(P153+Q153&gt;=33,1,0)))))))</f>
        <v/>
      </c>
      <c r="AJ153">
        <f>IF(R153&lt;8.25,0,IF(R153*2&gt;=80,5,IF(R153*2&gt;=70,4,IF(R153*2&gt;=60,3.5,IF(R153*2&gt;=50,3,IF(R153*2&gt;=40,2,IF(R153*2&gt;=33,1,0)))))))</f>
        <v/>
      </c>
      <c r="AK153">
        <f>IF(S153&lt;33,0,IF(S153&gt;=80,5,IF(S153&gt;=70,4,IF(S153&gt;=60,3.5,IF(S153&gt;=50,3,IF(S153&gt;=40,2,IF(S153&gt;=33,1,0)))))))</f>
        <v/>
      </c>
      <c r="AL153">
        <f>(AC153+AD153+AE153+AF153+AG153+AH153+AI153+AJ153)/8</f>
        <v/>
      </c>
      <c r="AM153">
        <f>IF(AK153&gt;=2,(AK153-2)/8,0)</f>
        <v/>
      </c>
    </row>
    <row r="154">
      <c r="T154">
        <f>SUM(C154:R154)</f>
        <v/>
      </c>
      <c r="U154" s="6">
        <f>ROUND(T154/11.5,2)</f>
        <v/>
      </c>
      <c r="V154" s="7">
        <f>IF(B154="","",IF(AB154,0,ROUND(AL154,2)))</f>
        <v/>
      </c>
      <c r="W154" s="7">
        <f>IF(B154="","",IF(AB154,0,MIN(5,ROUND(AL154+AM154,2))))</f>
        <v/>
      </c>
      <c r="X154" s="8">
        <f>IF(B154="","",IF(W154&gt;=5,"A+",IF(W154&gt;=4,"A",IF(W154&gt;=3.5,"A-",IF(W154&gt;=3,"B",IF(W154&gt;=2,"C",IF(W154&gt;=1,"D","F")))))))</f>
        <v/>
      </c>
      <c r="Y154">
        <f>NOT(OR(AND(J154&gt;=10,K154&gt;=23,L154&gt;=10,M154&gt;=23),AND(J154+L154&gt;=20,K154+M154&gt;=46)))</f>
        <v/>
      </c>
      <c r="Z154">
        <f>OR(N154&lt;10,O154&lt;23)</f>
        <v/>
      </c>
      <c r="AA154">
        <f>OR(P154&lt;10,Q154&lt;23)</f>
        <v/>
      </c>
      <c r="AB154">
        <f>OR((C154+D154)&lt;66,(E154+F154)&lt;66,G154&lt;33,(H154+I154)&lt;66,Y154,Z154,AA154,R154&lt;8.25)</f>
        <v/>
      </c>
      <c r="AC154">
        <f>IF(C154+D154&lt;66,0,IF((C154+D154)/2&gt;=80,5,IF((C154+D154)/2&gt;=70,4,IF((C154+D154)/2&gt;=60,3.5,IF((C154+D154)/2&gt;=50,3,IF((C154+D154)/2&gt;=40,2,IF((C154+D154)/2&gt;=33,1,0)))))))</f>
        <v/>
      </c>
      <c r="AD154">
        <f>IF(E154+F154&lt;66,0,IF((E154+F154)/2&gt;=80,5,IF((E154+F154)/2&gt;=70,4,IF((E154+F154)/2&gt;=60,3.5,IF((E154+F154)/2&gt;=50,3,IF((E154+F154)/2&gt;=40,2,IF((E154+F154)/2&gt;=33,1,0)))))))</f>
        <v/>
      </c>
      <c r="AE154">
        <f>IF(G154&lt;33,0,IF(G154&gt;=80,5,IF(G154&gt;=70,4,IF(G154&gt;=60,3.5,IF(G154&gt;=50,3,IF(G154&gt;=40,2,IF(G154&gt;=33,1,0)))))))</f>
        <v/>
      </c>
      <c r="AF154">
        <f>IF(H154+I154&lt;66,0,IF((H154+I154)/2&gt;=80,5,IF((H154+I154)/2&gt;=70,4,IF((H154+I154)/2&gt;=60,3.5,IF((H154+I154)/2&gt;=50,3,IF((H154+I154)/2&gt;=40,2,IF((H154+I154)/2&gt;=33,1,0)))))))</f>
        <v/>
      </c>
      <c r="AG154">
        <f>IF(Y154,0,IF((J154+K154+L154+M154)/2&gt;=80,5,IF((J154+K154+L154+M154)/2&gt;=70,4,IF((J154+K154+L154+M154)/2&gt;=60,3.5,IF((J154+K154+L154+M154)/2&gt;=50,3,IF((J154+K154+L154+M154)/2&gt;=40,2,IF((J154+K154+L154+M154)/2&gt;=33,1,0)))))))</f>
        <v/>
      </c>
      <c r="AH154">
        <f>IF(Z154,0,IF(N154+O154&gt;=80,5,IF(N154+O154&gt;=70,4,IF(N154+O154&gt;=60,3.5,IF(N154+O154&gt;=50,3,IF(N154+O154&gt;=40,2,IF(N154+O154&gt;=33,1,0)))))))</f>
        <v/>
      </c>
      <c r="AI154">
        <f>IF(AA154,0,IF(P154+Q154&gt;=80,5,IF(P154+Q154&gt;=70,4,IF(P154+Q154&gt;=60,3.5,IF(P154+Q154&gt;=50,3,IF(P154+Q154&gt;=40,2,IF(P154+Q154&gt;=33,1,0)))))))</f>
        <v/>
      </c>
      <c r="AJ154">
        <f>IF(R154&lt;8.25,0,IF(R154*2&gt;=80,5,IF(R154*2&gt;=70,4,IF(R154*2&gt;=60,3.5,IF(R154*2&gt;=50,3,IF(R154*2&gt;=40,2,IF(R154*2&gt;=33,1,0)))))))</f>
        <v/>
      </c>
      <c r="AK154">
        <f>IF(S154&lt;33,0,IF(S154&gt;=80,5,IF(S154&gt;=70,4,IF(S154&gt;=60,3.5,IF(S154&gt;=50,3,IF(S154&gt;=40,2,IF(S154&gt;=33,1,0)))))))</f>
        <v/>
      </c>
      <c r="AL154">
        <f>(AC154+AD154+AE154+AF154+AG154+AH154+AI154+AJ154)/8</f>
        <v/>
      </c>
      <c r="AM154">
        <f>IF(AK154&gt;=2,(AK154-2)/8,0)</f>
        <v/>
      </c>
    </row>
    <row r="155">
      <c r="T155">
        <f>SUM(C155:R155)</f>
        <v/>
      </c>
      <c r="U155" s="6">
        <f>ROUND(T155/11.5,2)</f>
        <v/>
      </c>
      <c r="V155" s="7">
        <f>IF(B155="","",IF(AB155,0,ROUND(AL155,2)))</f>
        <v/>
      </c>
      <c r="W155" s="7">
        <f>IF(B155="","",IF(AB155,0,MIN(5,ROUND(AL155+AM155,2))))</f>
        <v/>
      </c>
      <c r="X155" s="8">
        <f>IF(B155="","",IF(W155&gt;=5,"A+",IF(W155&gt;=4,"A",IF(W155&gt;=3.5,"A-",IF(W155&gt;=3,"B",IF(W155&gt;=2,"C",IF(W155&gt;=1,"D","F")))))))</f>
        <v/>
      </c>
      <c r="Y155">
        <f>NOT(OR(AND(J155&gt;=10,K155&gt;=23,L155&gt;=10,M155&gt;=23),AND(J155+L155&gt;=20,K155+M155&gt;=46)))</f>
        <v/>
      </c>
      <c r="Z155">
        <f>OR(N155&lt;10,O155&lt;23)</f>
        <v/>
      </c>
      <c r="AA155">
        <f>OR(P155&lt;10,Q155&lt;23)</f>
        <v/>
      </c>
      <c r="AB155">
        <f>OR((C155+D155)&lt;66,(E155+F155)&lt;66,G155&lt;33,(H155+I155)&lt;66,Y155,Z155,AA155,R155&lt;8.25)</f>
        <v/>
      </c>
      <c r="AC155">
        <f>IF(C155+D155&lt;66,0,IF((C155+D155)/2&gt;=80,5,IF((C155+D155)/2&gt;=70,4,IF((C155+D155)/2&gt;=60,3.5,IF((C155+D155)/2&gt;=50,3,IF((C155+D155)/2&gt;=40,2,IF((C155+D155)/2&gt;=33,1,0)))))))</f>
        <v/>
      </c>
      <c r="AD155">
        <f>IF(E155+F155&lt;66,0,IF((E155+F155)/2&gt;=80,5,IF((E155+F155)/2&gt;=70,4,IF((E155+F155)/2&gt;=60,3.5,IF((E155+F155)/2&gt;=50,3,IF((E155+F155)/2&gt;=40,2,IF((E155+F155)/2&gt;=33,1,0)))))))</f>
        <v/>
      </c>
      <c r="AE155">
        <f>IF(G155&lt;33,0,IF(G155&gt;=80,5,IF(G155&gt;=70,4,IF(G155&gt;=60,3.5,IF(G155&gt;=50,3,IF(G155&gt;=40,2,IF(G155&gt;=33,1,0)))))))</f>
        <v/>
      </c>
      <c r="AF155">
        <f>IF(H155+I155&lt;66,0,IF((H155+I155)/2&gt;=80,5,IF((H155+I155)/2&gt;=70,4,IF((H155+I155)/2&gt;=60,3.5,IF((H155+I155)/2&gt;=50,3,IF((H155+I155)/2&gt;=40,2,IF((H155+I155)/2&gt;=33,1,0)))))))</f>
        <v/>
      </c>
      <c r="AG155">
        <f>IF(Y155,0,IF((J155+K155+L155+M155)/2&gt;=80,5,IF((J155+K155+L155+M155)/2&gt;=70,4,IF((J155+K155+L155+M155)/2&gt;=60,3.5,IF((J155+K155+L155+M155)/2&gt;=50,3,IF((J155+K155+L155+M155)/2&gt;=40,2,IF((J155+K155+L155+M155)/2&gt;=33,1,0)))))))</f>
        <v/>
      </c>
      <c r="AH155">
        <f>IF(Z155,0,IF(N155+O155&gt;=80,5,IF(N155+O155&gt;=70,4,IF(N155+O155&gt;=60,3.5,IF(N155+O155&gt;=50,3,IF(N155+O155&gt;=40,2,IF(N155+O155&gt;=33,1,0)))))))</f>
        <v/>
      </c>
      <c r="AI155">
        <f>IF(AA155,0,IF(P155+Q155&gt;=80,5,IF(P155+Q155&gt;=70,4,IF(P155+Q155&gt;=60,3.5,IF(P155+Q155&gt;=50,3,IF(P155+Q155&gt;=40,2,IF(P155+Q155&gt;=33,1,0)))))))</f>
        <v/>
      </c>
      <c r="AJ155">
        <f>IF(R155&lt;8.25,0,IF(R155*2&gt;=80,5,IF(R155*2&gt;=70,4,IF(R155*2&gt;=60,3.5,IF(R155*2&gt;=50,3,IF(R155*2&gt;=40,2,IF(R155*2&gt;=33,1,0)))))))</f>
        <v/>
      </c>
      <c r="AK155">
        <f>IF(S155&lt;33,0,IF(S155&gt;=80,5,IF(S155&gt;=70,4,IF(S155&gt;=60,3.5,IF(S155&gt;=50,3,IF(S155&gt;=40,2,IF(S155&gt;=33,1,0)))))))</f>
        <v/>
      </c>
      <c r="AL155">
        <f>(AC155+AD155+AE155+AF155+AG155+AH155+AI155+AJ155)/8</f>
        <v/>
      </c>
      <c r="AM155">
        <f>IF(AK155&gt;=2,(AK155-2)/8,0)</f>
        <v/>
      </c>
    </row>
    <row r="156">
      <c r="T156">
        <f>SUM(C156:R156)</f>
        <v/>
      </c>
      <c r="U156" s="6">
        <f>ROUND(T156/11.5,2)</f>
        <v/>
      </c>
      <c r="V156" s="7">
        <f>IF(B156="","",IF(AB156,0,ROUND(AL156,2)))</f>
        <v/>
      </c>
      <c r="W156" s="7">
        <f>IF(B156="","",IF(AB156,0,MIN(5,ROUND(AL156+AM156,2))))</f>
        <v/>
      </c>
      <c r="X156" s="8">
        <f>IF(B156="","",IF(W156&gt;=5,"A+",IF(W156&gt;=4,"A",IF(W156&gt;=3.5,"A-",IF(W156&gt;=3,"B",IF(W156&gt;=2,"C",IF(W156&gt;=1,"D","F")))))))</f>
        <v/>
      </c>
      <c r="Y156">
        <f>NOT(OR(AND(J156&gt;=10,K156&gt;=23,L156&gt;=10,M156&gt;=23),AND(J156+L156&gt;=20,K156+M156&gt;=46)))</f>
        <v/>
      </c>
      <c r="Z156">
        <f>OR(N156&lt;10,O156&lt;23)</f>
        <v/>
      </c>
      <c r="AA156">
        <f>OR(P156&lt;10,Q156&lt;23)</f>
        <v/>
      </c>
      <c r="AB156">
        <f>OR((C156+D156)&lt;66,(E156+F156)&lt;66,G156&lt;33,(H156+I156)&lt;66,Y156,Z156,AA156,R156&lt;8.25)</f>
        <v/>
      </c>
      <c r="AC156">
        <f>IF(C156+D156&lt;66,0,IF((C156+D156)/2&gt;=80,5,IF((C156+D156)/2&gt;=70,4,IF((C156+D156)/2&gt;=60,3.5,IF((C156+D156)/2&gt;=50,3,IF((C156+D156)/2&gt;=40,2,IF((C156+D156)/2&gt;=33,1,0)))))))</f>
        <v/>
      </c>
      <c r="AD156">
        <f>IF(E156+F156&lt;66,0,IF((E156+F156)/2&gt;=80,5,IF((E156+F156)/2&gt;=70,4,IF((E156+F156)/2&gt;=60,3.5,IF((E156+F156)/2&gt;=50,3,IF((E156+F156)/2&gt;=40,2,IF((E156+F156)/2&gt;=33,1,0)))))))</f>
        <v/>
      </c>
      <c r="AE156">
        <f>IF(G156&lt;33,0,IF(G156&gt;=80,5,IF(G156&gt;=70,4,IF(G156&gt;=60,3.5,IF(G156&gt;=50,3,IF(G156&gt;=40,2,IF(G156&gt;=33,1,0)))))))</f>
        <v/>
      </c>
      <c r="AF156">
        <f>IF(H156+I156&lt;66,0,IF((H156+I156)/2&gt;=80,5,IF((H156+I156)/2&gt;=70,4,IF((H156+I156)/2&gt;=60,3.5,IF((H156+I156)/2&gt;=50,3,IF((H156+I156)/2&gt;=40,2,IF((H156+I156)/2&gt;=33,1,0)))))))</f>
        <v/>
      </c>
      <c r="AG156">
        <f>IF(Y156,0,IF((J156+K156+L156+M156)/2&gt;=80,5,IF((J156+K156+L156+M156)/2&gt;=70,4,IF((J156+K156+L156+M156)/2&gt;=60,3.5,IF((J156+K156+L156+M156)/2&gt;=50,3,IF((J156+K156+L156+M156)/2&gt;=40,2,IF((J156+K156+L156+M156)/2&gt;=33,1,0)))))))</f>
        <v/>
      </c>
      <c r="AH156">
        <f>IF(Z156,0,IF(N156+O156&gt;=80,5,IF(N156+O156&gt;=70,4,IF(N156+O156&gt;=60,3.5,IF(N156+O156&gt;=50,3,IF(N156+O156&gt;=40,2,IF(N156+O156&gt;=33,1,0)))))))</f>
        <v/>
      </c>
      <c r="AI156">
        <f>IF(AA156,0,IF(P156+Q156&gt;=80,5,IF(P156+Q156&gt;=70,4,IF(P156+Q156&gt;=60,3.5,IF(P156+Q156&gt;=50,3,IF(P156+Q156&gt;=40,2,IF(P156+Q156&gt;=33,1,0)))))))</f>
        <v/>
      </c>
      <c r="AJ156">
        <f>IF(R156&lt;8.25,0,IF(R156*2&gt;=80,5,IF(R156*2&gt;=70,4,IF(R156*2&gt;=60,3.5,IF(R156*2&gt;=50,3,IF(R156*2&gt;=40,2,IF(R156*2&gt;=33,1,0)))))))</f>
        <v/>
      </c>
      <c r="AK156">
        <f>IF(S156&lt;33,0,IF(S156&gt;=80,5,IF(S156&gt;=70,4,IF(S156&gt;=60,3.5,IF(S156&gt;=50,3,IF(S156&gt;=40,2,IF(S156&gt;=33,1,0)))))))</f>
        <v/>
      </c>
      <c r="AL156">
        <f>(AC156+AD156+AE156+AF156+AG156+AH156+AI156+AJ156)/8</f>
        <v/>
      </c>
      <c r="AM156">
        <f>IF(AK156&gt;=2,(AK156-2)/8,0)</f>
        <v/>
      </c>
    </row>
    <row r="157">
      <c r="T157">
        <f>SUM(C157:R157)</f>
        <v/>
      </c>
      <c r="U157" s="6">
        <f>ROUND(T157/11.5,2)</f>
        <v/>
      </c>
      <c r="V157" s="7">
        <f>IF(B157="","",IF(AB157,0,ROUND(AL157,2)))</f>
        <v/>
      </c>
      <c r="W157" s="7">
        <f>IF(B157="","",IF(AB157,0,MIN(5,ROUND(AL157+AM157,2))))</f>
        <v/>
      </c>
      <c r="X157" s="8">
        <f>IF(B157="","",IF(W157&gt;=5,"A+",IF(W157&gt;=4,"A",IF(W157&gt;=3.5,"A-",IF(W157&gt;=3,"B",IF(W157&gt;=2,"C",IF(W157&gt;=1,"D","F")))))))</f>
        <v/>
      </c>
      <c r="Y157">
        <f>NOT(OR(AND(J157&gt;=10,K157&gt;=23,L157&gt;=10,M157&gt;=23),AND(J157+L157&gt;=20,K157+M157&gt;=46)))</f>
        <v/>
      </c>
      <c r="Z157">
        <f>OR(N157&lt;10,O157&lt;23)</f>
        <v/>
      </c>
      <c r="AA157">
        <f>OR(P157&lt;10,Q157&lt;23)</f>
        <v/>
      </c>
      <c r="AB157">
        <f>OR((C157+D157)&lt;66,(E157+F157)&lt;66,G157&lt;33,(H157+I157)&lt;66,Y157,Z157,AA157,R157&lt;8.25)</f>
        <v/>
      </c>
      <c r="AC157">
        <f>IF(C157+D157&lt;66,0,IF((C157+D157)/2&gt;=80,5,IF((C157+D157)/2&gt;=70,4,IF((C157+D157)/2&gt;=60,3.5,IF((C157+D157)/2&gt;=50,3,IF((C157+D157)/2&gt;=40,2,IF((C157+D157)/2&gt;=33,1,0)))))))</f>
        <v/>
      </c>
      <c r="AD157">
        <f>IF(E157+F157&lt;66,0,IF((E157+F157)/2&gt;=80,5,IF((E157+F157)/2&gt;=70,4,IF((E157+F157)/2&gt;=60,3.5,IF((E157+F157)/2&gt;=50,3,IF((E157+F157)/2&gt;=40,2,IF((E157+F157)/2&gt;=33,1,0)))))))</f>
        <v/>
      </c>
      <c r="AE157">
        <f>IF(G157&lt;33,0,IF(G157&gt;=80,5,IF(G157&gt;=70,4,IF(G157&gt;=60,3.5,IF(G157&gt;=50,3,IF(G157&gt;=40,2,IF(G157&gt;=33,1,0)))))))</f>
        <v/>
      </c>
      <c r="AF157">
        <f>IF(H157+I157&lt;66,0,IF((H157+I157)/2&gt;=80,5,IF((H157+I157)/2&gt;=70,4,IF((H157+I157)/2&gt;=60,3.5,IF((H157+I157)/2&gt;=50,3,IF((H157+I157)/2&gt;=40,2,IF((H157+I157)/2&gt;=33,1,0)))))))</f>
        <v/>
      </c>
      <c r="AG157">
        <f>IF(Y157,0,IF((J157+K157+L157+M157)/2&gt;=80,5,IF((J157+K157+L157+M157)/2&gt;=70,4,IF((J157+K157+L157+M157)/2&gt;=60,3.5,IF((J157+K157+L157+M157)/2&gt;=50,3,IF((J157+K157+L157+M157)/2&gt;=40,2,IF((J157+K157+L157+M157)/2&gt;=33,1,0)))))))</f>
        <v/>
      </c>
      <c r="AH157">
        <f>IF(Z157,0,IF(N157+O157&gt;=80,5,IF(N157+O157&gt;=70,4,IF(N157+O157&gt;=60,3.5,IF(N157+O157&gt;=50,3,IF(N157+O157&gt;=40,2,IF(N157+O157&gt;=33,1,0)))))))</f>
        <v/>
      </c>
      <c r="AI157">
        <f>IF(AA157,0,IF(P157+Q157&gt;=80,5,IF(P157+Q157&gt;=70,4,IF(P157+Q157&gt;=60,3.5,IF(P157+Q157&gt;=50,3,IF(P157+Q157&gt;=40,2,IF(P157+Q157&gt;=33,1,0)))))))</f>
        <v/>
      </c>
      <c r="AJ157">
        <f>IF(R157&lt;8.25,0,IF(R157*2&gt;=80,5,IF(R157*2&gt;=70,4,IF(R157*2&gt;=60,3.5,IF(R157*2&gt;=50,3,IF(R157*2&gt;=40,2,IF(R157*2&gt;=33,1,0)))))))</f>
        <v/>
      </c>
      <c r="AK157">
        <f>IF(S157&lt;33,0,IF(S157&gt;=80,5,IF(S157&gt;=70,4,IF(S157&gt;=60,3.5,IF(S157&gt;=50,3,IF(S157&gt;=40,2,IF(S157&gt;=33,1,0)))))))</f>
        <v/>
      </c>
      <c r="AL157">
        <f>(AC157+AD157+AE157+AF157+AG157+AH157+AI157+AJ157)/8</f>
        <v/>
      </c>
      <c r="AM157">
        <f>IF(AK157&gt;=2,(AK157-2)/8,0)</f>
        <v/>
      </c>
    </row>
    <row r="158">
      <c r="T158">
        <f>SUM(C158:R158)</f>
        <v/>
      </c>
      <c r="U158" s="6">
        <f>ROUND(T158/11.5,2)</f>
        <v/>
      </c>
      <c r="V158" s="7">
        <f>IF(B158="","",IF(AB158,0,ROUND(AL158,2)))</f>
        <v/>
      </c>
      <c r="W158" s="7">
        <f>IF(B158="","",IF(AB158,0,MIN(5,ROUND(AL158+AM158,2))))</f>
        <v/>
      </c>
      <c r="X158" s="8">
        <f>IF(B158="","",IF(W158&gt;=5,"A+",IF(W158&gt;=4,"A",IF(W158&gt;=3.5,"A-",IF(W158&gt;=3,"B",IF(W158&gt;=2,"C",IF(W158&gt;=1,"D","F")))))))</f>
        <v/>
      </c>
      <c r="Y158">
        <f>NOT(OR(AND(J158&gt;=10,K158&gt;=23,L158&gt;=10,M158&gt;=23),AND(J158+L158&gt;=20,K158+M158&gt;=46)))</f>
        <v/>
      </c>
      <c r="Z158">
        <f>OR(N158&lt;10,O158&lt;23)</f>
        <v/>
      </c>
      <c r="AA158">
        <f>OR(P158&lt;10,Q158&lt;23)</f>
        <v/>
      </c>
      <c r="AB158">
        <f>OR((C158+D158)&lt;66,(E158+F158)&lt;66,G158&lt;33,(H158+I158)&lt;66,Y158,Z158,AA158,R158&lt;8.25)</f>
        <v/>
      </c>
      <c r="AC158">
        <f>IF(C158+D158&lt;66,0,IF((C158+D158)/2&gt;=80,5,IF((C158+D158)/2&gt;=70,4,IF((C158+D158)/2&gt;=60,3.5,IF((C158+D158)/2&gt;=50,3,IF((C158+D158)/2&gt;=40,2,IF((C158+D158)/2&gt;=33,1,0)))))))</f>
        <v/>
      </c>
      <c r="AD158">
        <f>IF(E158+F158&lt;66,0,IF((E158+F158)/2&gt;=80,5,IF((E158+F158)/2&gt;=70,4,IF((E158+F158)/2&gt;=60,3.5,IF((E158+F158)/2&gt;=50,3,IF((E158+F158)/2&gt;=40,2,IF((E158+F158)/2&gt;=33,1,0)))))))</f>
        <v/>
      </c>
      <c r="AE158">
        <f>IF(G158&lt;33,0,IF(G158&gt;=80,5,IF(G158&gt;=70,4,IF(G158&gt;=60,3.5,IF(G158&gt;=50,3,IF(G158&gt;=40,2,IF(G158&gt;=33,1,0)))))))</f>
        <v/>
      </c>
      <c r="AF158">
        <f>IF(H158+I158&lt;66,0,IF((H158+I158)/2&gt;=80,5,IF((H158+I158)/2&gt;=70,4,IF((H158+I158)/2&gt;=60,3.5,IF((H158+I158)/2&gt;=50,3,IF((H158+I158)/2&gt;=40,2,IF((H158+I158)/2&gt;=33,1,0)))))))</f>
        <v/>
      </c>
      <c r="AG158">
        <f>IF(Y158,0,IF((J158+K158+L158+M158)/2&gt;=80,5,IF((J158+K158+L158+M158)/2&gt;=70,4,IF((J158+K158+L158+M158)/2&gt;=60,3.5,IF((J158+K158+L158+M158)/2&gt;=50,3,IF((J158+K158+L158+M158)/2&gt;=40,2,IF((J158+K158+L158+M158)/2&gt;=33,1,0)))))))</f>
        <v/>
      </c>
      <c r="AH158">
        <f>IF(Z158,0,IF(N158+O158&gt;=80,5,IF(N158+O158&gt;=70,4,IF(N158+O158&gt;=60,3.5,IF(N158+O158&gt;=50,3,IF(N158+O158&gt;=40,2,IF(N158+O158&gt;=33,1,0)))))))</f>
        <v/>
      </c>
      <c r="AI158">
        <f>IF(AA158,0,IF(P158+Q158&gt;=80,5,IF(P158+Q158&gt;=70,4,IF(P158+Q158&gt;=60,3.5,IF(P158+Q158&gt;=50,3,IF(P158+Q158&gt;=40,2,IF(P158+Q158&gt;=33,1,0)))))))</f>
        <v/>
      </c>
      <c r="AJ158">
        <f>IF(R158&lt;8.25,0,IF(R158*2&gt;=80,5,IF(R158*2&gt;=70,4,IF(R158*2&gt;=60,3.5,IF(R158*2&gt;=50,3,IF(R158*2&gt;=40,2,IF(R158*2&gt;=33,1,0)))))))</f>
        <v/>
      </c>
      <c r="AK158">
        <f>IF(S158&lt;33,0,IF(S158&gt;=80,5,IF(S158&gt;=70,4,IF(S158&gt;=60,3.5,IF(S158&gt;=50,3,IF(S158&gt;=40,2,IF(S158&gt;=33,1,0)))))))</f>
        <v/>
      </c>
      <c r="AL158">
        <f>(AC158+AD158+AE158+AF158+AG158+AH158+AI158+AJ158)/8</f>
        <v/>
      </c>
      <c r="AM158">
        <f>IF(AK158&gt;=2,(AK158-2)/8,0)</f>
        <v/>
      </c>
    </row>
    <row r="159">
      <c r="T159">
        <f>SUM(C159:R159)</f>
        <v/>
      </c>
      <c r="U159" s="6">
        <f>ROUND(T159/11.5,2)</f>
        <v/>
      </c>
      <c r="V159" s="7">
        <f>IF(B159="","",IF(AB159,0,ROUND(AL159,2)))</f>
        <v/>
      </c>
      <c r="W159" s="7">
        <f>IF(B159="","",IF(AB159,0,MIN(5,ROUND(AL159+AM159,2))))</f>
        <v/>
      </c>
      <c r="X159" s="8">
        <f>IF(B159="","",IF(W159&gt;=5,"A+",IF(W159&gt;=4,"A",IF(W159&gt;=3.5,"A-",IF(W159&gt;=3,"B",IF(W159&gt;=2,"C",IF(W159&gt;=1,"D","F")))))))</f>
        <v/>
      </c>
      <c r="Y159">
        <f>NOT(OR(AND(J159&gt;=10,K159&gt;=23,L159&gt;=10,M159&gt;=23),AND(J159+L159&gt;=20,K159+M159&gt;=46)))</f>
        <v/>
      </c>
      <c r="Z159">
        <f>OR(N159&lt;10,O159&lt;23)</f>
        <v/>
      </c>
      <c r="AA159">
        <f>OR(P159&lt;10,Q159&lt;23)</f>
        <v/>
      </c>
      <c r="AB159">
        <f>OR((C159+D159)&lt;66,(E159+F159)&lt;66,G159&lt;33,(H159+I159)&lt;66,Y159,Z159,AA159,R159&lt;8.25)</f>
        <v/>
      </c>
      <c r="AC159">
        <f>IF(C159+D159&lt;66,0,IF((C159+D159)/2&gt;=80,5,IF((C159+D159)/2&gt;=70,4,IF((C159+D159)/2&gt;=60,3.5,IF((C159+D159)/2&gt;=50,3,IF((C159+D159)/2&gt;=40,2,IF((C159+D159)/2&gt;=33,1,0)))))))</f>
        <v/>
      </c>
      <c r="AD159">
        <f>IF(E159+F159&lt;66,0,IF((E159+F159)/2&gt;=80,5,IF((E159+F159)/2&gt;=70,4,IF((E159+F159)/2&gt;=60,3.5,IF((E159+F159)/2&gt;=50,3,IF((E159+F159)/2&gt;=40,2,IF((E159+F159)/2&gt;=33,1,0)))))))</f>
        <v/>
      </c>
      <c r="AE159">
        <f>IF(G159&lt;33,0,IF(G159&gt;=80,5,IF(G159&gt;=70,4,IF(G159&gt;=60,3.5,IF(G159&gt;=50,3,IF(G159&gt;=40,2,IF(G159&gt;=33,1,0)))))))</f>
        <v/>
      </c>
      <c r="AF159">
        <f>IF(H159+I159&lt;66,0,IF((H159+I159)/2&gt;=80,5,IF((H159+I159)/2&gt;=70,4,IF((H159+I159)/2&gt;=60,3.5,IF((H159+I159)/2&gt;=50,3,IF((H159+I159)/2&gt;=40,2,IF((H159+I159)/2&gt;=33,1,0)))))))</f>
        <v/>
      </c>
      <c r="AG159">
        <f>IF(Y159,0,IF((J159+K159+L159+M159)/2&gt;=80,5,IF((J159+K159+L159+M159)/2&gt;=70,4,IF((J159+K159+L159+M159)/2&gt;=60,3.5,IF((J159+K159+L159+M159)/2&gt;=50,3,IF((J159+K159+L159+M159)/2&gt;=40,2,IF((J159+K159+L159+M159)/2&gt;=33,1,0)))))))</f>
        <v/>
      </c>
      <c r="AH159">
        <f>IF(Z159,0,IF(N159+O159&gt;=80,5,IF(N159+O159&gt;=70,4,IF(N159+O159&gt;=60,3.5,IF(N159+O159&gt;=50,3,IF(N159+O159&gt;=40,2,IF(N159+O159&gt;=33,1,0)))))))</f>
        <v/>
      </c>
      <c r="AI159">
        <f>IF(AA159,0,IF(P159+Q159&gt;=80,5,IF(P159+Q159&gt;=70,4,IF(P159+Q159&gt;=60,3.5,IF(P159+Q159&gt;=50,3,IF(P159+Q159&gt;=40,2,IF(P159+Q159&gt;=33,1,0)))))))</f>
        <v/>
      </c>
      <c r="AJ159">
        <f>IF(R159&lt;8.25,0,IF(R159*2&gt;=80,5,IF(R159*2&gt;=70,4,IF(R159*2&gt;=60,3.5,IF(R159*2&gt;=50,3,IF(R159*2&gt;=40,2,IF(R159*2&gt;=33,1,0)))))))</f>
        <v/>
      </c>
      <c r="AK159">
        <f>IF(S159&lt;33,0,IF(S159&gt;=80,5,IF(S159&gt;=70,4,IF(S159&gt;=60,3.5,IF(S159&gt;=50,3,IF(S159&gt;=40,2,IF(S159&gt;=33,1,0)))))))</f>
        <v/>
      </c>
      <c r="AL159">
        <f>(AC159+AD159+AE159+AF159+AG159+AH159+AI159+AJ159)/8</f>
        <v/>
      </c>
      <c r="AM159">
        <f>IF(AK159&gt;=2,(AK159-2)/8,0)</f>
        <v/>
      </c>
    </row>
    <row r="160">
      <c r="T160">
        <f>SUM(C160:R160)</f>
        <v/>
      </c>
      <c r="U160" s="6">
        <f>ROUND(T160/11.5,2)</f>
        <v/>
      </c>
      <c r="V160" s="7">
        <f>IF(B160="","",IF(AB160,0,ROUND(AL160,2)))</f>
        <v/>
      </c>
      <c r="W160" s="7">
        <f>IF(B160="","",IF(AB160,0,MIN(5,ROUND(AL160+AM160,2))))</f>
        <v/>
      </c>
      <c r="X160" s="8">
        <f>IF(B160="","",IF(W160&gt;=5,"A+",IF(W160&gt;=4,"A",IF(W160&gt;=3.5,"A-",IF(W160&gt;=3,"B",IF(W160&gt;=2,"C",IF(W160&gt;=1,"D","F")))))))</f>
        <v/>
      </c>
      <c r="Y160">
        <f>NOT(OR(AND(J160&gt;=10,K160&gt;=23,L160&gt;=10,M160&gt;=23),AND(J160+L160&gt;=20,K160+M160&gt;=46)))</f>
        <v/>
      </c>
      <c r="Z160">
        <f>OR(N160&lt;10,O160&lt;23)</f>
        <v/>
      </c>
      <c r="AA160">
        <f>OR(P160&lt;10,Q160&lt;23)</f>
        <v/>
      </c>
      <c r="AB160">
        <f>OR((C160+D160)&lt;66,(E160+F160)&lt;66,G160&lt;33,(H160+I160)&lt;66,Y160,Z160,AA160,R160&lt;8.25)</f>
        <v/>
      </c>
      <c r="AC160">
        <f>IF(C160+D160&lt;66,0,IF((C160+D160)/2&gt;=80,5,IF((C160+D160)/2&gt;=70,4,IF((C160+D160)/2&gt;=60,3.5,IF((C160+D160)/2&gt;=50,3,IF((C160+D160)/2&gt;=40,2,IF((C160+D160)/2&gt;=33,1,0)))))))</f>
        <v/>
      </c>
      <c r="AD160">
        <f>IF(E160+F160&lt;66,0,IF((E160+F160)/2&gt;=80,5,IF((E160+F160)/2&gt;=70,4,IF((E160+F160)/2&gt;=60,3.5,IF((E160+F160)/2&gt;=50,3,IF((E160+F160)/2&gt;=40,2,IF((E160+F160)/2&gt;=33,1,0)))))))</f>
        <v/>
      </c>
      <c r="AE160">
        <f>IF(G160&lt;33,0,IF(G160&gt;=80,5,IF(G160&gt;=70,4,IF(G160&gt;=60,3.5,IF(G160&gt;=50,3,IF(G160&gt;=40,2,IF(G160&gt;=33,1,0)))))))</f>
        <v/>
      </c>
      <c r="AF160">
        <f>IF(H160+I160&lt;66,0,IF((H160+I160)/2&gt;=80,5,IF((H160+I160)/2&gt;=70,4,IF((H160+I160)/2&gt;=60,3.5,IF((H160+I160)/2&gt;=50,3,IF((H160+I160)/2&gt;=40,2,IF((H160+I160)/2&gt;=33,1,0)))))))</f>
        <v/>
      </c>
      <c r="AG160">
        <f>IF(Y160,0,IF((J160+K160+L160+M160)/2&gt;=80,5,IF((J160+K160+L160+M160)/2&gt;=70,4,IF((J160+K160+L160+M160)/2&gt;=60,3.5,IF((J160+K160+L160+M160)/2&gt;=50,3,IF((J160+K160+L160+M160)/2&gt;=40,2,IF((J160+K160+L160+M160)/2&gt;=33,1,0)))))))</f>
        <v/>
      </c>
      <c r="AH160">
        <f>IF(Z160,0,IF(N160+O160&gt;=80,5,IF(N160+O160&gt;=70,4,IF(N160+O160&gt;=60,3.5,IF(N160+O160&gt;=50,3,IF(N160+O160&gt;=40,2,IF(N160+O160&gt;=33,1,0)))))))</f>
        <v/>
      </c>
      <c r="AI160">
        <f>IF(AA160,0,IF(P160+Q160&gt;=80,5,IF(P160+Q160&gt;=70,4,IF(P160+Q160&gt;=60,3.5,IF(P160+Q160&gt;=50,3,IF(P160+Q160&gt;=40,2,IF(P160+Q160&gt;=33,1,0)))))))</f>
        <v/>
      </c>
      <c r="AJ160">
        <f>IF(R160&lt;8.25,0,IF(R160*2&gt;=80,5,IF(R160*2&gt;=70,4,IF(R160*2&gt;=60,3.5,IF(R160*2&gt;=50,3,IF(R160*2&gt;=40,2,IF(R160*2&gt;=33,1,0)))))))</f>
        <v/>
      </c>
      <c r="AK160">
        <f>IF(S160&lt;33,0,IF(S160&gt;=80,5,IF(S160&gt;=70,4,IF(S160&gt;=60,3.5,IF(S160&gt;=50,3,IF(S160&gt;=40,2,IF(S160&gt;=33,1,0)))))))</f>
        <v/>
      </c>
      <c r="AL160">
        <f>(AC160+AD160+AE160+AF160+AG160+AH160+AI160+AJ160)/8</f>
        <v/>
      </c>
      <c r="AM160">
        <f>IF(AK160&gt;=2,(AK160-2)/8,0)</f>
        <v/>
      </c>
    </row>
    <row r="161">
      <c r="T161">
        <f>SUM(C161:R161)</f>
        <v/>
      </c>
      <c r="U161" s="6">
        <f>ROUND(T161/11.5,2)</f>
        <v/>
      </c>
      <c r="V161" s="7">
        <f>IF(B161="","",IF(AB161,0,ROUND(AL161,2)))</f>
        <v/>
      </c>
      <c r="W161" s="7">
        <f>IF(B161="","",IF(AB161,0,MIN(5,ROUND(AL161+AM161,2))))</f>
        <v/>
      </c>
      <c r="X161" s="8">
        <f>IF(B161="","",IF(W161&gt;=5,"A+",IF(W161&gt;=4,"A",IF(W161&gt;=3.5,"A-",IF(W161&gt;=3,"B",IF(W161&gt;=2,"C",IF(W161&gt;=1,"D","F")))))))</f>
        <v/>
      </c>
      <c r="Y161">
        <f>NOT(OR(AND(J161&gt;=10,K161&gt;=23,L161&gt;=10,M161&gt;=23),AND(J161+L161&gt;=20,K161+M161&gt;=46)))</f>
        <v/>
      </c>
      <c r="Z161">
        <f>OR(N161&lt;10,O161&lt;23)</f>
        <v/>
      </c>
      <c r="AA161">
        <f>OR(P161&lt;10,Q161&lt;23)</f>
        <v/>
      </c>
      <c r="AB161">
        <f>OR((C161+D161)&lt;66,(E161+F161)&lt;66,G161&lt;33,(H161+I161)&lt;66,Y161,Z161,AA161,R161&lt;8.25)</f>
        <v/>
      </c>
      <c r="AC161">
        <f>IF(C161+D161&lt;66,0,IF((C161+D161)/2&gt;=80,5,IF((C161+D161)/2&gt;=70,4,IF((C161+D161)/2&gt;=60,3.5,IF((C161+D161)/2&gt;=50,3,IF((C161+D161)/2&gt;=40,2,IF((C161+D161)/2&gt;=33,1,0)))))))</f>
        <v/>
      </c>
      <c r="AD161">
        <f>IF(E161+F161&lt;66,0,IF((E161+F161)/2&gt;=80,5,IF((E161+F161)/2&gt;=70,4,IF((E161+F161)/2&gt;=60,3.5,IF((E161+F161)/2&gt;=50,3,IF((E161+F161)/2&gt;=40,2,IF((E161+F161)/2&gt;=33,1,0)))))))</f>
        <v/>
      </c>
      <c r="AE161">
        <f>IF(G161&lt;33,0,IF(G161&gt;=80,5,IF(G161&gt;=70,4,IF(G161&gt;=60,3.5,IF(G161&gt;=50,3,IF(G161&gt;=40,2,IF(G161&gt;=33,1,0)))))))</f>
        <v/>
      </c>
      <c r="AF161">
        <f>IF(H161+I161&lt;66,0,IF((H161+I161)/2&gt;=80,5,IF((H161+I161)/2&gt;=70,4,IF((H161+I161)/2&gt;=60,3.5,IF((H161+I161)/2&gt;=50,3,IF((H161+I161)/2&gt;=40,2,IF((H161+I161)/2&gt;=33,1,0)))))))</f>
        <v/>
      </c>
      <c r="AG161">
        <f>IF(Y161,0,IF((J161+K161+L161+M161)/2&gt;=80,5,IF((J161+K161+L161+M161)/2&gt;=70,4,IF((J161+K161+L161+M161)/2&gt;=60,3.5,IF((J161+K161+L161+M161)/2&gt;=50,3,IF((J161+K161+L161+M161)/2&gt;=40,2,IF((J161+K161+L161+M161)/2&gt;=33,1,0)))))))</f>
        <v/>
      </c>
      <c r="AH161">
        <f>IF(Z161,0,IF(N161+O161&gt;=80,5,IF(N161+O161&gt;=70,4,IF(N161+O161&gt;=60,3.5,IF(N161+O161&gt;=50,3,IF(N161+O161&gt;=40,2,IF(N161+O161&gt;=33,1,0)))))))</f>
        <v/>
      </c>
      <c r="AI161">
        <f>IF(AA161,0,IF(P161+Q161&gt;=80,5,IF(P161+Q161&gt;=70,4,IF(P161+Q161&gt;=60,3.5,IF(P161+Q161&gt;=50,3,IF(P161+Q161&gt;=40,2,IF(P161+Q161&gt;=33,1,0)))))))</f>
        <v/>
      </c>
      <c r="AJ161">
        <f>IF(R161&lt;8.25,0,IF(R161*2&gt;=80,5,IF(R161*2&gt;=70,4,IF(R161*2&gt;=60,3.5,IF(R161*2&gt;=50,3,IF(R161*2&gt;=40,2,IF(R161*2&gt;=33,1,0)))))))</f>
        <v/>
      </c>
      <c r="AK161">
        <f>IF(S161&lt;33,0,IF(S161&gt;=80,5,IF(S161&gt;=70,4,IF(S161&gt;=60,3.5,IF(S161&gt;=50,3,IF(S161&gt;=40,2,IF(S161&gt;=33,1,0)))))))</f>
        <v/>
      </c>
      <c r="AL161">
        <f>(AC161+AD161+AE161+AF161+AG161+AH161+AI161+AJ161)/8</f>
        <v/>
      </c>
      <c r="AM161">
        <f>IF(AK161&gt;=2,(AK161-2)/8,0)</f>
        <v/>
      </c>
    </row>
    <row r="162">
      <c r="T162">
        <f>SUM(C162:R162)</f>
        <v/>
      </c>
      <c r="U162" s="6">
        <f>ROUND(T162/11.5,2)</f>
        <v/>
      </c>
      <c r="V162" s="7">
        <f>IF(B162="","",IF(AB162,0,ROUND(AL162,2)))</f>
        <v/>
      </c>
      <c r="W162" s="7">
        <f>IF(B162="","",IF(AB162,0,MIN(5,ROUND(AL162+AM162,2))))</f>
        <v/>
      </c>
      <c r="X162" s="8">
        <f>IF(B162="","",IF(W162&gt;=5,"A+",IF(W162&gt;=4,"A",IF(W162&gt;=3.5,"A-",IF(W162&gt;=3,"B",IF(W162&gt;=2,"C",IF(W162&gt;=1,"D","F")))))))</f>
        <v/>
      </c>
      <c r="Y162">
        <f>NOT(OR(AND(J162&gt;=10,K162&gt;=23,L162&gt;=10,M162&gt;=23),AND(J162+L162&gt;=20,K162+M162&gt;=46)))</f>
        <v/>
      </c>
      <c r="Z162">
        <f>OR(N162&lt;10,O162&lt;23)</f>
        <v/>
      </c>
      <c r="AA162">
        <f>OR(P162&lt;10,Q162&lt;23)</f>
        <v/>
      </c>
      <c r="AB162">
        <f>OR((C162+D162)&lt;66,(E162+F162)&lt;66,G162&lt;33,(H162+I162)&lt;66,Y162,Z162,AA162,R162&lt;8.25)</f>
        <v/>
      </c>
      <c r="AC162">
        <f>IF(C162+D162&lt;66,0,IF((C162+D162)/2&gt;=80,5,IF((C162+D162)/2&gt;=70,4,IF((C162+D162)/2&gt;=60,3.5,IF((C162+D162)/2&gt;=50,3,IF((C162+D162)/2&gt;=40,2,IF((C162+D162)/2&gt;=33,1,0)))))))</f>
        <v/>
      </c>
      <c r="AD162">
        <f>IF(E162+F162&lt;66,0,IF((E162+F162)/2&gt;=80,5,IF((E162+F162)/2&gt;=70,4,IF((E162+F162)/2&gt;=60,3.5,IF((E162+F162)/2&gt;=50,3,IF((E162+F162)/2&gt;=40,2,IF((E162+F162)/2&gt;=33,1,0)))))))</f>
        <v/>
      </c>
      <c r="AE162">
        <f>IF(G162&lt;33,0,IF(G162&gt;=80,5,IF(G162&gt;=70,4,IF(G162&gt;=60,3.5,IF(G162&gt;=50,3,IF(G162&gt;=40,2,IF(G162&gt;=33,1,0)))))))</f>
        <v/>
      </c>
      <c r="AF162">
        <f>IF(H162+I162&lt;66,0,IF((H162+I162)/2&gt;=80,5,IF((H162+I162)/2&gt;=70,4,IF((H162+I162)/2&gt;=60,3.5,IF((H162+I162)/2&gt;=50,3,IF((H162+I162)/2&gt;=40,2,IF((H162+I162)/2&gt;=33,1,0)))))))</f>
        <v/>
      </c>
      <c r="AG162">
        <f>IF(Y162,0,IF((J162+K162+L162+M162)/2&gt;=80,5,IF((J162+K162+L162+M162)/2&gt;=70,4,IF((J162+K162+L162+M162)/2&gt;=60,3.5,IF((J162+K162+L162+M162)/2&gt;=50,3,IF((J162+K162+L162+M162)/2&gt;=40,2,IF((J162+K162+L162+M162)/2&gt;=33,1,0)))))))</f>
        <v/>
      </c>
      <c r="AH162">
        <f>IF(Z162,0,IF(N162+O162&gt;=80,5,IF(N162+O162&gt;=70,4,IF(N162+O162&gt;=60,3.5,IF(N162+O162&gt;=50,3,IF(N162+O162&gt;=40,2,IF(N162+O162&gt;=33,1,0)))))))</f>
        <v/>
      </c>
      <c r="AI162">
        <f>IF(AA162,0,IF(P162+Q162&gt;=80,5,IF(P162+Q162&gt;=70,4,IF(P162+Q162&gt;=60,3.5,IF(P162+Q162&gt;=50,3,IF(P162+Q162&gt;=40,2,IF(P162+Q162&gt;=33,1,0)))))))</f>
        <v/>
      </c>
      <c r="AJ162">
        <f>IF(R162&lt;8.25,0,IF(R162*2&gt;=80,5,IF(R162*2&gt;=70,4,IF(R162*2&gt;=60,3.5,IF(R162*2&gt;=50,3,IF(R162*2&gt;=40,2,IF(R162*2&gt;=33,1,0)))))))</f>
        <v/>
      </c>
      <c r="AK162">
        <f>IF(S162&lt;33,0,IF(S162&gt;=80,5,IF(S162&gt;=70,4,IF(S162&gt;=60,3.5,IF(S162&gt;=50,3,IF(S162&gt;=40,2,IF(S162&gt;=33,1,0)))))))</f>
        <v/>
      </c>
      <c r="AL162">
        <f>(AC162+AD162+AE162+AF162+AG162+AH162+AI162+AJ162)/8</f>
        <v/>
      </c>
      <c r="AM162">
        <f>IF(AK162&gt;=2,(AK162-2)/8,0)</f>
        <v/>
      </c>
    </row>
    <row r="163">
      <c r="T163">
        <f>SUM(C163:R163)</f>
        <v/>
      </c>
      <c r="U163" s="6">
        <f>ROUND(T163/11.5,2)</f>
        <v/>
      </c>
      <c r="V163" s="7">
        <f>IF(B163="","",IF(AB163,0,ROUND(AL163,2)))</f>
        <v/>
      </c>
      <c r="W163" s="7">
        <f>IF(B163="","",IF(AB163,0,MIN(5,ROUND(AL163+AM163,2))))</f>
        <v/>
      </c>
      <c r="X163" s="8">
        <f>IF(B163="","",IF(W163&gt;=5,"A+",IF(W163&gt;=4,"A",IF(W163&gt;=3.5,"A-",IF(W163&gt;=3,"B",IF(W163&gt;=2,"C",IF(W163&gt;=1,"D","F")))))))</f>
        <v/>
      </c>
      <c r="Y163">
        <f>NOT(OR(AND(J163&gt;=10,K163&gt;=23,L163&gt;=10,M163&gt;=23),AND(J163+L163&gt;=20,K163+M163&gt;=46)))</f>
        <v/>
      </c>
      <c r="Z163">
        <f>OR(N163&lt;10,O163&lt;23)</f>
        <v/>
      </c>
      <c r="AA163">
        <f>OR(P163&lt;10,Q163&lt;23)</f>
        <v/>
      </c>
      <c r="AB163">
        <f>OR((C163+D163)&lt;66,(E163+F163)&lt;66,G163&lt;33,(H163+I163)&lt;66,Y163,Z163,AA163,R163&lt;8.25)</f>
        <v/>
      </c>
      <c r="AC163">
        <f>IF(C163+D163&lt;66,0,IF((C163+D163)/2&gt;=80,5,IF((C163+D163)/2&gt;=70,4,IF((C163+D163)/2&gt;=60,3.5,IF((C163+D163)/2&gt;=50,3,IF((C163+D163)/2&gt;=40,2,IF((C163+D163)/2&gt;=33,1,0)))))))</f>
        <v/>
      </c>
      <c r="AD163">
        <f>IF(E163+F163&lt;66,0,IF((E163+F163)/2&gt;=80,5,IF((E163+F163)/2&gt;=70,4,IF((E163+F163)/2&gt;=60,3.5,IF((E163+F163)/2&gt;=50,3,IF((E163+F163)/2&gt;=40,2,IF((E163+F163)/2&gt;=33,1,0)))))))</f>
        <v/>
      </c>
      <c r="AE163">
        <f>IF(G163&lt;33,0,IF(G163&gt;=80,5,IF(G163&gt;=70,4,IF(G163&gt;=60,3.5,IF(G163&gt;=50,3,IF(G163&gt;=40,2,IF(G163&gt;=33,1,0)))))))</f>
        <v/>
      </c>
      <c r="AF163">
        <f>IF(H163+I163&lt;66,0,IF((H163+I163)/2&gt;=80,5,IF((H163+I163)/2&gt;=70,4,IF((H163+I163)/2&gt;=60,3.5,IF((H163+I163)/2&gt;=50,3,IF((H163+I163)/2&gt;=40,2,IF((H163+I163)/2&gt;=33,1,0)))))))</f>
        <v/>
      </c>
      <c r="AG163">
        <f>IF(Y163,0,IF((J163+K163+L163+M163)/2&gt;=80,5,IF((J163+K163+L163+M163)/2&gt;=70,4,IF((J163+K163+L163+M163)/2&gt;=60,3.5,IF((J163+K163+L163+M163)/2&gt;=50,3,IF((J163+K163+L163+M163)/2&gt;=40,2,IF((J163+K163+L163+M163)/2&gt;=33,1,0)))))))</f>
        <v/>
      </c>
      <c r="AH163">
        <f>IF(Z163,0,IF(N163+O163&gt;=80,5,IF(N163+O163&gt;=70,4,IF(N163+O163&gt;=60,3.5,IF(N163+O163&gt;=50,3,IF(N163+O163&gt;=40,2,IF(N163+O163&gt;=33,1,0)))))))</f>
        <v/>
      </c>
      <c r="AI163">
        <f>IF(AA163,0,IF(P163+Q163&gt;=80,5,IF(P163+Q163&gt;=70,4,IF(P163+Q163&gt;=60,3.5,IF(P163+Q163&gt;=50,3,IF(P163+Q163&gt;=40,2,IF(P163+Q163&gt;=33,1,0)))))))</f>
        <v/>
      </c>
      <c r="AJ163">
        <f>IF(R163&lt;8.25,0,IF(R163*2&gt;=80,5,IF(R163*2&gt;=70,4,IF(R163*2&gt;=60,3.5,IF(R163*2&gt;=50,3,IF(R163*2&gt;=40,2,IF(R163*2&gt;=33,1,0)))))))</f>
        <v/>
      </c>
      <c r="AK163">
        <f>IF(S163&lt;33,0,IF(S163&gt;=80,5,IF(S163&gt;=70,4,IF(S163&gt;=60,3.5,IF(S163&gt;=50,3,IF(S163&gt;=40,2,IF(S163&gt;=33,1,0)))))))</f>
        <v/>
      </c>
      <c r="AL163">
        <f>(AC163+AD163+AE163+AF163+AG163+AH163+AI163+AJ163)/8</f>
        <v/>
      </c>
      <c r="AM163">
        <f>IF(AK163&gt;=2,(AK163-2)/8,0)</f>
        <v/>
      </c>
    </row>
    <row r="164">
      <c r="T164">
        <f>SUM(C164:R164)</f>
        <v/>
      </c>
      <c r="U164" s="6">
        <f>ROUND(T164/11.5,2)</f>
        <v/>
      </c>
      <c r="V164" s="7">
        <f>IF(B164="","",IF(AB164,0,ROUND(AL164,2)))</f>
        <v/>
      </c>
      <c r="W164" s="7">
        <f>IF(B164="","",IF(AB164,0,MIN(5,ROUND(AL164+AM164,2))))</f>
        <v/>
      </c>
      <c r="X164" s="8">
        <f>IF(B164="","",IF(W164&gt;=5,"A+",IF(W164&gt;=4,"A",IF(W164&gt;=3.5,"A-",IF(W164&gt;=3,"B",IF(W164&gt;=2,"C",IF(W164&gt;=1,"D","F")))))))</f>
        <v/>
      </c>
      <c r="Y164">
        <f>NOT(OR(AND(J164&gt;=10,K164&gt;=23,L164&gt;=10,M164&gt;=23),AND(J164+L164&gt;=20,K164+M164&gt;=46)))</f>
        <v/>
      </c>
      <c r="Z164">
        <f>OR(N164&lt;10,O164&lt;23)</f>
        <v/>
      </c>
      <c r="AA164">
        <f>OR(P164&lt;10,Q164&lt;23)</f>
        <v/>
      </c>
      <c r="AB164">
        <f>OR((C164+D164)&lt;66,(E164+F164)&lt;66,G164&lt;33,(H164+I164)&lt;66,Y164,Z164,AA164,R164&lt;8.25)</f>
        <v/>
      </c>
      <c r="AC164">
        <f>IF(C164+D164&lt;66,0,IF((C164+D164)/2&gt;=80,5,IF((C164+D164)/2&gt;=70,4,IF((C164+D164)/2&gt;=60,3.5,IF((C164+D164)/2&gt;=50,3,IF((C164+D164)/2&gt;=40,2,IF((C164+D164)/2&gt;=33,1,0)))))))</f>
        <v/>
      </c>
      <c r="AD164">
        <f>IF(E164+F164&lt;66,0,IF((E164+F164)/2&gt;=80,5,IF((E164+F164)/2&gt;=70,4,IF((E164+F164)/2&gt;=60,3.5,IF((E164+F164)/2&gt;=50,3,IF((E164+F164)/2&gt;=40,2,IF((E164+F164)/2&gt;=33,1,0)))))))</f>
        <v/>
      </c>
      <c r="AE164">
        <f>IF(G164&lt;33,0,IF(G164&gt;=80,5,IF(G164&gt;=70,4,IF(G164&gt;=60,3.5,IF(G164&gt;=50,3,IF(G164&gt;=40,2,IF(G164&gt;=33,1,0)))))))</f>
        <v/>
      </c>
      <c r="AF164">
        <f>IF(H164+I164&lt;66,0,IF((H164+I164)/2&gt;=80,5,IF((H164+I164)/2&gt;=70,4,IF((H164+I164)/2&gt;=60,3.5,IF((H164+I164)/2&gt;=50,3,IF((H164+I164)/2&gt;=40,2,IF((H164+I164)/2&gt;=33,1,0)))))))</f>
        <v/>
      </c>
      <c r="AG164">
        <f>IF(Y164,0,IF((J164+K164+L164+M164)/2&gt;=80,5,IF((J164+K164+L164+M164)/2&gt;=70,4,IF((J164+K164+L164+M164)/2&gt;=60,3.5,IF((J164+K164+L164+M164)/2&gt;=50,3,IF((J164+K164+L164+M164)/2&gt;=40,2,IF((J164+K164+L164+M164)/2&gt;=33,1,0)))))))</f>
        <v/>
      </c>
      <c r="AH164">
        <f>IF(Z164,0,IF(N164+O164&gt;=80,5,IF(N164+O164&gt;=70,4,IF(N164+O164&gt;=60,3.5,IF(N164+O164&gt;=50,3,IF(N164+O164&gt;=40,2,IF(N164+O164&gt;=33,1,0)))))))</f>
        <v/>
      </c>
      <c r="AI164">
        <f>IF(AA164,0,IF(P164+Q164&gt;=80,5,IF(P164+Q164&gt;=70,4,IF(P164+Q164&gt;=60,3.5,IF(P164+Q164&gt;=50,3,IF(P164+Q164&gt;=40,2,IF(P164+Q164&gt;=33,1,0)))))))</f>
        <v/>
      </c>
      <c r="AJ164">
        <f>IF(R164&lt;8.25,0,IF(R164*2&gt;=80,5,IF(R164*2&gt;=70,4,IF(R164*2&gt;=60,3.5,IF(R164*2&gt;=50,3,IF(R164*2&gt;=40,2,IF(R164*2&gt;=33,1,0)))))))</f>
        <v/>
      </c>
      <c r="AK164">
        <f>IF(S164&lt;33,0,IF(S164&gt;=80,5,IF(S164&gt;=70,4,IF(S164&gt;=60,3.5,IF(S164&gt;=50,3,IF(S164&gt;=40,2,IF(S164&gt;=33,1,0)))))))</f>
        <v/>
      </c>
      <c r="AL164">
        <f>(AC164+AD164+AE164+AF164+AG164+AH164+AI164+AJ164)/8</f>
        <v/>
      </c>
      <c r="AM164">
        <f>IF(AK164&gt;=2,(AK164-2)/8,0)</f>
        <v/>
      </c>
    </row>
    <row r="165">
      <c r="T165">
        <f>SUM(C165:R165)</f>
        <v/>
      </c>
      <c r="U165" s="6">
        <f>ROUND(T165/11.5,2)</f>
        <v/>
      </c>
      <c r="V165" s="7">
        <f>IF(B165="","",IF(AB165,0,ROUND(AL165,2)))</f>
        <v/>
      </c>
      <c r="W165" s="7">
        <f>IF(B165="","",IF(AB165,0,MIN(5,ROUND(AL165+AM165,2))))</f>
        <v/>
      </c>
      <c r="X165" s="8">
        <f>IF(B165="","",IF(W165&gt;=5,"A+",IF(W165&gt;=4,"A",IF(W165&gt;=3.5,"A-",IF(W165&gt;=3,"B",IF(W165&gt;=2,"C",IF(W165&gt;=1,"D","F")))))))</f>
        <v/>
      </c>
      <c r="Y165">
        <f>NOT(OR(AND(J165&gt;=10,K165&gt;=23,L165&gt;=10,M165&gt;=23),AND(J165+L165&gt;=20,K165+M165&gt;=46)))</f>
        <v/>
      </c>
      <c r="Z165">
        <f>OR(N165&lt;10,O165&lt;23)</f>
        <v/>
      </c>
      <c r="AA165">
        <f>OR(P165&lt;10,Q165&lt;23)</f>
        <v/>
      </c>
      <c r="AB165">
        <f>OR((C165+D165)&lt;66,(E165+F165)&lt;66,G165&lt;33,(H165+I165)&lt;66,Y165,Z165,AA165,R165&lt;8.25)</f>
        <v/>
      </c>
      <c r="AC165">
        <f>IF(C165+D165&lt;66,0,IF((C165+D165)/2&gt;=80,5,IF((C165+D165)/2&gt;=70,4,IF((C165+D165)/2&gt;=60,3.5,IF((C165+D165)/2&gt;=50,3,IF((C165+D165)/2&gt;=40,2,IF((C165+D165)/2&gt;=33,1,0)))))))</f>
        <v/>
      </c>
      <c r="AD165">
        <f>IF(E165+F165&lt;66,0,IF((E165+F165)/2&gt;=80,5,IF((E165+F165)/2&gt;=70,4,IF((E165+F165)/2&gt;=60,3.5,IF((E165+F165)/2&gt;=50,3,IF((E165+F165)/2&gt;=40,2,IF((E165+F165)/2&gt;=33,1,0)))))))</f>
        <v/>
      </c>
      <c r="AE165">
        <f>IF(G165&lt;33,0,IF(G165&gt;=80,5,IF(G165&gt;=70,4,IF(G165&gt;=60,3.5,IF(G165&gt;=50,3,IF(G165&gt;=40,2,IF(G165&gt;=33,1,0)))))))</f>
        <v/>
      </c>
      <c r="AF165">
        <f>IF(H165+I165&lt;66,0,IF((H165+I165)/2&gt;=80,5,IF((H165+I165)/2&gt;=70,4,IF((H165+I165)/2&gt;=60,3.5,IF((H165+I165)/2&gt;=50,3,IF((H165+I165)/2&gt;=40,2,IF((H165+I165)/2&gt;=33,1,0)))))))</f>
        <v/>
      </c>
      <c r="AG165">
        <f>IF(Y165,0,IF((J165+K165+L165+M165)/2&gt;=80,5,IF((J165+K165+L165+M165)/2&gt;=70,4,IF((J165+K165+L165+M165)/2&gt;=60,3.5,IF((J165+K165+L165+M165)/2&gt;=50,3,IF((J165+K165+L165+M165)/2&gt;=40,2,IF((J165+K165+L165+M165)/2&gt;=33,1,0)))))))</f>
        <v/>
      </c>
      <c r="AH165">
        <f>IF(Z165,0,IF(N165+O165&gt;=80,5,IF(N165+O165&gt;=70,4,IF(N165+O165&gt;=60,3.5,IF(N165+O165&gt;=50,3,IF(N165+O165&gt;=40,2,IF(N165+O165&gt;=33,1,0)))))))</f>
        <v/>
      </c>
      <c r="AI165">
        <f>IF(AA165,0,IF(P165+Q165&gt;=80,5,IF(P165+Q165&gt;=70,4,IF(P165+Q165&gt;=60,3.5,IF(P165+Q165&gt;=50,3,IF(P165+Q165&gt;=40,2,IF(P165+Q165&gt;=33,1,0)))))))</f>
        <v/>
      </c>
      <c r="AJ165">
        <f>IF(R165&lt;8.25,0,IF(R165*2&gt;=80,5,IF(R165*2&gt;=70,4,IF(R165*2&gt;=60,3.5,IF(R165*2&gt;=50,3,IF(R165*2&gt;=40,2,IF(R165*2&gt;=33,1,0)))))))</f>
        <v/>
      </c>
      <c r="AK165">
        <f>IF(S165&lt;33,0,IF(S165&gt;=80,5,IF(S165&gt;=70,4,IF(S165&gt;=60,3.5,IF(S165&gt;=50,3,IF(S165&gt;=40,2,IF(S165&gt;=33,1,0)))))))</f>
        <v/>
      </c>
      <c r="AL165">
        <f>(AC165+AD165+AE165+AF165+AG165+AH165+AI165+AJ165)/8</f>
        <v/>
      </c>
      <c r="AM165">
        <f>IF(AK165&gt;=2,(AK165-2)/8,0)</f>
        <v/>
      </c>
    </row>
    <row r="166">
      <c r="T166">
        <f>SUM(C166:R166)</f>
        <v/>
      </c>
      <c r="U166" s="6">
        <f>ROUND(T166/11.5,2)</f>
        <v/>
      </c>
      <c r="V166" s="7">
        <f>IF(B166="","",IF(AB166,0,ROUND(AL166,2)))</f>
        <v/>
      </c>
      <c r="W166" s="7">
        <f>IF(B166="","",IF(AB166,0,MIN(5,ROUND(AL166+AM166,2))))</f>
        <v/>
      </c>
      <c r="X166" s="8">
        <f>IF(B166="","",IF(W166&gt;=5,"A+",IF(W166&gt;=4,"A",IF(W166&gt;=3.5,"A-",IF(W166&gt;=3,"B",IF(W166&gt;=2,"C",IF(W166&gt;=1,"D","F")))))))</f>
        <v/>
      </c>
      <c r="Y166">
        <f>NOT(OR(AND(J166&gt;=10,K166&gt;=23,L166&gt;=10,M166&gt;=23),AND(J166+L166&gt;=20,K166+M166&gt;=46)))</f>
        <v/>
      </c>
      <c r="Z166">
        <f>OR(N166&lt;10,O166&lt;23)</f>
        <v/>
      </c>
      <c r="AA166">
        <f>OR(P166&lt;10,Q166&lt;23)</f>
        <v/>
      </c>
      <c r="AB166">
        <f>OR((C166+D166)&lt;66,(E166+F166)&lt;66,G166&lt;33,(H166+I166)&lt;66,Y166,Z166,AA166,R166&lt;8.25)</f>
        <v/>
      </c>
      <c r="AC166">
        <f>IF(C166+D166&lt;66,0,IF((C166+D166)/2&gt;=80,5,IF((C166+D166)/2&gt;=70,4,IF((C166+D166)/2&gt;=60,3.5,IF((C166+D166)/2&gt;=50,3,IF((C166+D166)/2&gt;=40,2,IF((C166+D166)/2&gt;=33,1,0)))))))</f>
        <v/>
      </c>
      <c r="AD166">
        <f>IF(E166+F166&lt;66,0,IF((E166+F166)/2&gt;=80,5,IF((E166+F166)/2&gt;=70,4,IF((E166+F166)/2&gt;=60,3.5,IF((E166+F166)/2&gt;=50,3,IF((E166+F166)/2&gt;=40,2,IF((E166+F166)/2&gt;=33,1,0)))))))</f>
        <v/>
      </c>
      <c r="AE166">
        <f>IF(G166&lt;33,0,IF(G166&gt;=80,5,IF(G166&gt;=70,4,IF(G166&gt;=60,3.5,IF(G166&gt;=50,3,IF(G166&gt;=40,2,IF(G166&gt;=33,1,0)))))))</f>
        <v/>
      </c>
      <c r="AF166">
        <f>IF(H166+I166&lt;66,0,IF((H166+I166)/2&gt;=80,5,IF((H166+I166)/2&gt;=70,4,IF((H166+I166)/2&gt;=60,3.5,IF((H166+I166)/2&gt;=50,3,IF((H166+I166)/2&gt;=40,2,IF((H166+I166)/2&gt;=33,1,0)))))))</f>
        <v/>
      </c>
      <c r="AG166">
        <f>IF(Y166,0,IF((J166+K166+L166+M166)/2&gt;=80,5,IF((J166+K166+L166+M166)/2&gt;=70,4,IF((J166+K166+L166+M166)/2&gt;=60,3.5,IF((J166+K166+L166+M166)/2&gt;=50,3,IF((J166+K166+L166+M166)/2&gt;=40,2,IF((J166+K166+L166+M166)/2&gt;=33,1,0)))))))</f>
        <v/>
      </c>
      <c r="AH166">
        <f>IF(Z166,0,IF(N166+O166&gt;=80,5,IF(N166+O166&gt;=70,4,IF(N166+O166&gt;=60,3.5,IF(N166+O166&gt;=50,3,IF(N166+O166&gt;=40,2,IF(N166+O166&gt;=33,1,0)))))))</f>
        <v/>
      </c>
      <c r="AI166">
        <f>IF(AA166,0,IF(P166+Q166&gt;=80,5,IF(P166+Q166&gt;=70,4,IF(P166+Q166&gt;=60,3.5,IF(P166+Q166&gt;=50,3,IF(P166+Q166&gt;=40,2,IF(P166+Q166&gt;=33,1,0)))))))</f>
        <v/>
      </c>
      <c r="AJ166">
        <f>IF(R166&lt;8.25,0,IF(R166*2&gt;=80,5,IF(R166*2&gt;=70,4,IF(R166*2&gt;=60,3.5,IF(R166*2&gt;=50,3,IF(R166*2&gt;=40,2,IF(R166*2&gt;=33,1,0)))))))</f>
        <v/>
      </c>
      <c r="AK166">
        <f>IF(S166&lt;33,0,IF(S166&gt;=80,5,IF(S166&gt;=70,4,IF(S166&gt;=60,3.5,IF(S166&gt;=50,3,IF(S166&gt;=40,2,IF(S166&gt;=33,1,0)))))))</f>
        <v/>
      </c>
      <c r="AL166">
        <f>(AC166+AD166+AE166+AF166+AG166+AH166+AI166+AJ166)/8</f>
        <v/>
      </c>
      <c r="AM166">
        <f>IF(AK166&gt;=2,(AK166-2)/8,0)</f>
        <v/>
      </c>
    </row>
    <row r="167">
      <c r="T167">
        <f>SUM(C167:R167)</f>
        <v/>
      </c>
      <c r="U167" s="6">
        <f>ROUND(T167/11.5,2)</f>
        <v/>
      </c>
      <c r="V167" s="7">
        <f>IF(B167="","",IF(AB167,0,ROUND(AL167,2)))</f>
        <v/>
      </c>
      <c r="W167" s="7">
        <f>IF(B167="","",IF(AB167,0,MIN(5,ROUND(AL167+AM167,2))))</f>
        <v/>
      </c>
      <c r="X167" s="8">
        <f>IF(B167="","",IF(W167&gt;=5,"A+",IF(W167&gt;=4,"A",IF(W167&gt;=3.5,"A-",IF(W167&gt;=3,"B",IF(W167&gt;=2,"C",IF(W167&gt;=1,"D","F")))))))</f>
        <v/>
      </c>
      <c r="Y167">
        <f>NOT(OR(AND(J167&gt;=10,K167&gt;=23,L167&gt;=10,M167&gt;=23),AND(J167+L167&gt;=20,K167+M167&gt;=46)))</f>
        <v/>
      </c>
      <c r="Z167">
        <f>OR(N167&lt;10,O167&lt;23)</f>
        <v/>
      </c>
      <c r="AA167">
        <f>OR(P167&lt;10,Q167&lt;23)</f>
        <v/>
      </c>
      <c r="AB167">
        <f>OR((C167+D167)&lt;66,(E167+F167)&lt;66,G167&lt;33,(H167+I167)&lt;66,Y167,Z167,AA167,R167&lt;8.25)</f>
        <v/>
      </c>
      <c r="AC167">
        <f>IF(C167+D167&lt;66,0,IF((C167+D167)/2&gt;=80,5,IF((C167+D167)/2&gt;=70,4,IF((C167+D167)/2&gt;=60,3.5,IF((C167+D167)/2&gt;=50,3,IF((C167+D167)/2&gt;=40,2,IF((C167+D167)/2&gt;=33,1,0)))))))</f>
        <v/>
      </c>
      <c r="AD167">
        <f>IF(E167+F167&lt;66,0,IF((E167+F167)/2&gt;=80,5,IF((E167+F167)/2&gt;=70,4,IF((E167+F167)/2&gt;=60,3.5,IF((E167+F167)/2&gt;=50,3,IF((E167+F167)/2&gt;=40,2,IF((E167+F167)/2&gt;=33,1,0)))))))</f>
        <v/>
      </c>
      <c r="AE167">
        <f>IF(G167&lt;33,0,IF(G167&gt;=80,5,IF(G167&gt;=70,4,IF(G167&gt;=60,3.5,IF(G167&gt;=50,3,IF(G167&gt;=40,2,IF(G167&gt;=33,1,0)))))))</f>
        <v/>
      </c>
      <c r="AF167">
        <f>IF(H167+I167&lt;66,0,IF((H167+I167)/2&gt;=80,5,IF((H167+I167)/2&gt;=70,4,IF((H167+I167)/2&gt;=60,3.5,IF((H167+I167)/2&gt;=50,3,IF((H167+I167)/2&gt;=40,2,IF((H167+I167)/2&gt;=33,1,0)))))))</f>
        <v/>
      </c>
      <c r="AG167">
        <f>IF(Y167,0,IF((J167+K167+L167+M167)/2&gt;=80,5,IF((J167+K167+L167+M167)/2&gt;=70,4,IF((J167+K167+L167+M167)/2&gt;=60,3.5,IF((J167+K167+L167+M167)/2&gt;=50,3,IF((J167+K167+L167+M167)/2&gt;=40,2,IF((J167+K167+L167+M167)/2&gt;=33,1,0)))))))</f>
        <v/>
      </c>
      <c r="AH167">
        <f>IF(Z167,0,IF(N167+O167&gt;=80,5,IF(N167+O167&gt;=70,4,IF(N167+O167&gt;=60,3.5,IF(N167+O167&gt;=50,3,IF(N167+O167&gt;=40,2,IF(N167+O167&gt;=33,1,0)))))))</f>
        <v/>
      </c>
      <c r="AI167">
        <f>IF(AA167,0,IF(P167+Q167&gt;=80,5,IF(P167+Q167&gt;=70,4,IF(P167+Q167&gt;=60,3.5,IF(P167+Q167&gt;=50,3,IF(P167+Q167&gt;=40,2,IF(P167+Q167&gt;=33,1,0)))))))</f>
        <v/>
      </c>
      <c r="AJ167">
        <f>IF(R167&lt;8.25,0,IF(R167*2&gt;=80,5,IF(R167*2&gt;=70,4,IF(R167*2&gt;=60,3.5,IF(R167*2&gt;=50,3,IF(R167*2&gt;=40,2,IF(R167*2&gt;=33,1,0)))))))</f>
        <v/>
      </c>
      <c r="AK167">
        <f>IF(S167&lt;33,0,IF(S167&gt;=80,5,IF(S167&gt;=70,4,IF(S167&gt;=60,3.5,IF(S167&gt;=50,3,IF(S167&gt;=40,2,IF(S167&gt;=33,1,0)))))))</f>
        <v/>
      </c>
      <c r="AL167">
        <f>(AC167+AD167+AE167+AF167+AG167+AH167+AI167+AJ167)/8</f>
        <v/>
      </c>
      <c r="AM167">
        <f>IF(AK167&gt;=2,(AK167-2)/8,0)</f>
        <v/>
      </c>
    </row>
    <row r="168">
      <c r="T168">
        <f>SUM(C168:R168)</f>
        <v/>
      </c>
      <c r="U168" s="6">
        <f>ROUND(T168/11.5,2)</f>
        <v/>
      </c>
      <c r="V168" s="7">
        <f>IF(B168="","",IF(AB168,0,ROUND(AL168,2)))</f>
        <v/>
      </c>
      <c r="W168" s="7">
        <f>IF(B168="","",IF(AB168,0,MIN(5,ROUND(AL168+AM168,2))))</f>
        <v/>
      </c>
      <c r="X168" s="8">
        <f>IF(B168="","",IF(W168&gt;=5,"A+",IF(W168&gt;=4,"A",IF(W168&gt;=3.5,"A-",IF(W168&gt;=3,"B",IF(W168&gt;=2,"C",IF(W168&gt;=1,"D","F")))))))</f>
        <v/>
      </c>
      <c r="Y168">
        <f>NOT(OR(AND(J168&gt;=10,K168&gt;=23,L168&gt;=10,M168&gt;=23),AND(J168+L168&gt;=20,K168+M168&gt;=46)))</f>
        <v/>
      </c>
      <c r="Z168">
        <f>OR(N168&lt;10,O168&lt;23)</f>
        <v/>
      </c>
      <c r="AA168">
        <f>OR(P168&lt;10,Q168&lt;23)</f>
        <v/>
      </c>
      <c r="AB168">
        <f>OR((C168+D168)&lt;66,(E168+F168)&lt;66,G168&lt;33,(H168+I168)&lt;66,Y168,Z168,AA168,R168&lt;8.25)</f>
        <v/>
      </c>
      <c r="AC168">
        <f>IF(C168+D168&lt;66,0,IF((C168+D168)/2&gt;=80,5,IF((C168+D168)/2&gt;=70,4,IF((C168+D168)/2&gt;=60,3.5,IF((C168+D168)/2&gt;=50,3,IF((C168+D168)/2&gt;=40,2,IF((C168+D168)/2&gt;=33,1,0)))))))</f>
        <v/>
      </c>
      <c r="AD168">
        <f>IF(E168+F168&lt;66,0,IF((E168+F168)/2&gt;=80,5,IF((E168+F168)/2&gt;=70,4,IF((E168+F168)/2&gt;=60,3.5,IF((E168+F168)/2&gt;=50,3,IF((E168+F168)/2&gt;=40,2,IF((E168+F168)/2&gt;=33,1,0)))))))</f>
        <v/>
      </c>
      <c r="AE168">
        <f>IF(G168&lt;33,0,IF(G168&gt;=80,5,IF(G168&gt;=70,4,IF(G168&gt;=60,3.5,IF(G168&gt;=50,3,IF(G168&gt;=40,2,IF(G168&gt;=33,1,0)))))))</f>
        <v/>
      </c>
      <c r="AF168">
        <f>IF(H168+I168&lt;66,0,IF((H168+I168)/2&gt;=80,5,IF((H168+I168)/2&gt;=70,4,IF((H168+I168)/2&gt;=60,3.5,IF((H168+I168)/2&gt;=50,3,IF((H168+I168)/2&gt;=40,2,IF((H168+I168)/2&gt;=33,1,0)))))))</f>
        <v/>
      </c>
      <c r="AG168">
        <f>IF(Y168,0,IF((J168+K168+L168+M168)/2&gt;=80,5,IF((J168+K168+L168+M168)/2&gt;=70,4,IF((J168+K168+L168+M168)/2&gt;=60,3.5,IF((J168+K168+L168+M168)/2&gt;=50,3,IF((J168+K168+L168+M168)/2&gt;=40,2,IF((J168+K168+L168+M168)/2&gt;=33,1,0)))))))</f>
        <v/>
      </c>
      <c r="AH168">
        <f>IF(Z168,0,IF(N168+O168&gt;=80,5,IF(N168+O168&gt;=70,4,IF(N168+O168&gt;=60,3.5,IF(N168+O168&gt;=50,3,IF(N168+O168&gt;=40,2,IF(N168+O168&gt;=33,1,0)))))))</f>
        <v/>
      </c>
      <c r="AI168">
        <f>IF(AA168,0,IF(P168+Q168&gt;=80,5,IF(P168+Q168&gt;=70,4,IF(P168+Q168&gt;=60,3.5,IF(P168+Q168&gt;=50,3,IF(P168+Q168&gt;=40,2,IF(P168+Q168&gt;=33,1,0)))))))</f>
        <v/>
      </c>
      <c r="AJ168">
        <f>IF(R168&lt;8.25,0,IF(R168*2&gt;=80,5,IF(R168*2&gt;=70,4,IF(R168*2&gt;=60,3.5,IF(R168*2&gt;=50,3,IF(R168*2&gt;=40,2,IF(R168*2&gt;=33,1,0)))))))</f>
        <v/>
      </c>
      <c r="AK168">
        <f>IF(S168&lt;33,0,IF(S168&gt;=80,5,IF(S168&gt;=70,4,IF(S168&gt;=60,3.5,IF(S168&gt;=50,3,IF(S168&gt;=40,2,IF(S168&gt;=33,1,0)))))))</f>
        <v/>
      </c>
      <c r="AL168">
        <f>(AC168+AD168+AE168+AF168+AG168+AH168+AI168+AJ168)/8</f>
        <v/>
      </c>
      <c r="AM168">
        <f>IF(AK168&gt;=2,(AK168-2)/8,0)</f>
        <v/>
      </c>
    </row>
    <row r="169">
      <c r="T169">
        <f>SUM(C169:R169)</f>
        <v/>
      </c>
      <c r="U169" s="6">
        <f>ROUND(T169/11.5,2)</f>
        <v/>
      </c>
      <c r="V169" s="7">
        <f>IF(B169="","",IF(AB169,0,ROUND(AL169,2)))</f>
        <v/>
      </c>
      <c r="W169" s="7">
        <f>IF(B169="","",IF(AB169,0,MIN(5,ROUND(AL169+AM169,2))))</f>
        <v/>
      </c>
      <c r="X169" s="8">
        <f>IF(B169="","",IF(W169&gt;=5,"A+",IF(W169&gt;=4,"A",IF(W169&gt;=3.5,"A-",IF(W169&gt;=3,"B",IF(W169&gt;=2,"C",IF(W169&gt;=1,"D","F")))))))</f>
        <v/>
      </c>
      <c r="Y169">
        <f>NOT(OR(AND(J169&gt;=10,K169&gt;=23,L169&gt;=10,M169&gt;=23),AND(J169+L169&gt;=20,K169+M169&gt;=46)))</f>
        <v/>
      </c>
      <c r="Z169">
        <f>OR(N169&lt;10,O169&lt;23)</f>
        <v/>
      </c>
      <c r="AA169">
        <f>OR(P169&lt;10,Q169&lt;23)</f>
        <v/>
      </c>
      <c r="AB169">
        <f>OR((C169+D169)&lt;66,(E169+F169)&lt;66,G169&lt;33,(H169+I169)&lt;66,Y169,Z169,AA169,R169&lt;8.25)</f>
        <v/>
      </c>
      <c r="AC169">
        <f>IF(C169+D169&lt;66,0,IF((C169+D169)/2&gt;=80,5,IF((C169+D169)/2&gt;=70,4,IF((C169+D169)/2&gt;=60,3.5,IF((C169+D169)/2&gt;=50,3,IF((C169+D169)/2&gt;=40,2,IF((C169+D169)/2&gt;=33,1,0)))))))</f>
        <v/>
      </c>
      <c r="AD169">
        <f>IF(E169+F169&lt;66,0,IF((E169+F169)/2&gt;=80,5,IF((E169+F169)/2&gt;=70,4,IF((E169+F169)/2&gt;=60,3.5,IF((E169+F169)/2&gt;=50,3,IF((E169+F169)/2&gt;=40,2,IF((E169+F169)/2&gt;=33,1,0)))))))</f>
        <v/>
      </c>
      <c r="AE169">
        <f>IF(G169&lt;33,0,IF(G169&gt;=80,5,IF(G169&gt;=70,4,IF(G169&gt;=60,3.5,IF(G169&gt;=50,3,IF(G169&gt;=40,2,IF(G169&gt;=33,1,0)))))))</f>
        <v/>
      </c>
      <c r="AF169">
        <f>IF(H169+I169&lt;66,0,IF((H169+I169)/2&gt;=80,5,IF((H169+I169)/2&gt;=70,4,IF((H169+I169)/2&gt;=60,3.5,IF((H169+I169)/2&gt;=50,3,IF((H169+I169)/2&gt;=40,2,IF((H169+I169)/2&gt;=33,1,0)))))))</f>
        <v/>
      </c>
      <c r="AG169">
        <f>IF(Y169,0,IF((J169+K169+L169+M169)/2&gt;=80,5,IF((J169+K169+L169+M169)/2&gt;=70,4,IF((J169+K169+L169+M169)/2&gt;=60,3.5,IF((J169+K169+L169+M169)/2&gt;=50,3,IF((J169+K169+L169+M169)/2&gt;=40,2,IF((J169+K169+L169+M169)/2&gt;=33,1,0)))))))</f>
        <v/>
      </c>
      <c r="AH169">
        <f>IF(Z169,0,IF(N169+O169&gt;=80,5,IF(N169+O169&gt;=70,4,IF(N169+O169&gt;=60,3.5,IF(N169+O169&gt;=50,3,IF(N169+O169&gt;=40,2,IF(N169+O169&gt;=33,1,0)))))))</f>
        <v/>
      </c>
      <c r="AI169">
        <f>IF(AA169,0,IF(P169+Q169&gt;=80,5,IF(P169+Q169&gt;=70,4,IF(P169+Q169&gt;=60,3.5,IF(P169+Q169&gt;=50,3,IF(P169+Q169&gt;=40,2,IF(P169+Q169&gt;=33,1,0)))))))</f>
        <v/>
      </c>
      <c r="AJ169">
        <f>IF(R169&lt;8.25,0,IF(R169*2&gt;=80,5,IF(R169*2&gt;=70,4,IF(R169*2&gt;=60,3.5,IF(R169*2&gt;=50,3,IF(R169*2&gt;=40,2,IF(R169*2&gt;=33,1,0)))))))</f>
        <v/>
      </c>
      <c r="AK169">
        <f>IF(S169&lt;33,0,IF(S169&gt;=80,5,IF(S169&gt;=70,4,IF(S169&gt;=60,3.5,IF(S169&gt;=50,3,IF(S169&gt;=40,2,IF(S169&gt;=33,1,0)))))))</f>
        <v/>
      </c>
      <c r="AL169">
        <f>(AC169+AD169+AE169+AF169+AG169+AH169+AI169+AJ169)/8</f>
        <v/>
      </c>
      <c r="AM169">
        <f>IF(AK169&gt;=2,(AK169-2)/8,0)</f>
        <v/>
      </c>
    </row>
    <row r="170">
      <c r="T170">
        <f>SUM(C170:R170)</f>
        <v/>
      </c>
      <c r="U170" s="6">
        <f>ROUND(T170/11.5,2)</f>
        <v/>
      </c>
      <c r="V170" s="7">
        <f>IF(B170="","",IF(AB170,0,ROUND(AL170,2)))</f>
        <v/>
      </c>
      <c r="W170" s="7">
        <f>IF(B170="","",IF(AB170,0,MIN(5,ROUND(AL170+AM170,2))))</f>
        <v/>
      </c>
      <c r="X170" s="8">
        <f>IF(B170="","",IF(W170&gt;=5,"A+",IF(W170&gt;=4,"A",IF(W170&gt;=3.5,"A-",IF(W170&gt;=3,"B",IF(W170&gt;=2,"C",IF(W170&gt;=1,"D","F")))))))</f>
        <v/>
      </c>
      <c r="Y170">
        <f>NOT(OR(AND(J170&gt;=10,K170&gt;=23,L170&gt;=10,M170&gt;=23),AND(J170+L170&gt;=20,K170+M170&gt;=46)))</f>
        <v/>
      </c>
      <c r="Z170">
        <f>OR(N170&lt;10,O170&lt;23)</f>
        <v/>
      </c>
      <c r="AA170">
        <f>OR(P170&lt;10,Q170&lt;23)</f>
        <v/>
      </c>
      <c r="AB170">
        <f>OR((C170+D170)&lt;66,(E170+F170)&lt;66,G170&lt;33,(H170+I170)&lt;66,Y170,Z170,AA170,R170&lt;8.25)</f>
        <v/>
      </c>
      <c r="AC170">
        <f>IF(C170+D170&lt;66,0,IF((C170+D170)/2&gt;=80,5,IF((C170+D170)/2&gt;=70,4,IF((C170+D170)/2&gt;=60,3.5,IF((C170+D170)/2&gt;=50,3,IF((C170+D170)/2&gt;=40,2,IF((C170+D170)/2&gt;=33,1,0)))))))</f>
        <v/>
      </c>
      <c r="AD170">
        <f>IF(E170+F170&lt;66,0,IF((E170+F170)/2&gt;=80,5,IF((E170+F170)/2&gt;=70,4,IF((E170+F170)/2&gt;=60,3.5,IF((E170+F170)/2&gt;=50,3,IF((E170+F170)/2&gt;=40,2,IF((E170+F170)/2&gt;=33,1,0)))))))</f>
        <v/>
      </c>
      <c r="AE170">
        <f>IF(G170&lt;33,0,IF(G170&gt;=80,5,IF(G170&gt;=70,4,IF(G170&gt;=60,3.5,IF(G170&gt;=50,3,IF(G170&gt;=40,2,IF(G170&gt;=33,1,0)))))))</f>
        <v/>
      </c>
      <c r="AF170">
        <f>IF(H170+I170&lt;66,0,IF((H170+I170)/2&gt;=80,5,IF((H170+I170)/2&gt;=70,4,IF((H170+I170)/2&gt;=60,3.5,IF((H170+I170)/2&gt;=50,3,IF((H170+I170)/2&gt;=40,2,IF((H170+I170)/2&gt;=33,1,0)))))))</f>
        <v/>
      </c>
      <c r="AG170">
        <f>IF(Y170,0,IF((J170+K170+L170+M170)/2&gt;=80,5,IF((J170+K170+L170+M170)/2&gt;=70,4,IF((J170+K170+L170+M170)/2&gt;=60,3.5,IF((J170+K170+L170+M170)/2&gt;=50,3,IF((J170+K170+L170+M170)/2&gt;=40,2,IF((J170+K170+L170+M170)/2&gt;=33,1,0)))))))</f>
        <v/>
      </c>
      <c r="AH170">
        <f>IF(Z170,0,IF(N170+O170&gt;=80,5,IF(N170+O170&gt;=70,4,IF(N170+O170&gt;=60,3.5,IF(N170+O170&gt;=50,3,IF(N170+O170&gt;=40,2,IF(N170+O170&gt;=33,1,0)))))))</f>
        <v/>
      </c>
      <c r="AI170">
        <f>IF(AA170,0,IF(P170+Q170&gt;=80,5,IF(P170+Q170&gt;=70,4,IF(P170+Q170&gt;=60,3.5,IF(P170+Q170&gt;=50,3,IF(P170+Q170&gt;=40,2,IF(P170+Q170&gt;=33,1,0)))))))</f>
        <v/>
      </c>
      <c r="AJ170">
        <f>IF(R170&lt;8.25,0,IF(R170*2&gt;=80,5,IF(R170*2&gt;=70,4,IF(R170*2&gt;=60,3.5,IF(R170*2&gt;=50,3,IF(R170*2&gt;=40,2,IF(R170*2&gt;=33,1,0)))))))</f>
        <v/>
      </c>
      <c r="AK170">
        <f>IF(S170&lt;33,0,IF(S170&gt;=80,5,IF(S170&gt;=70,4,IF(S170&gt;=60,3.5,IF(S170&gt;=50,3,IF(S170&gt;=40,2,IF(S170&gt;=33,1,0)))))))</f>
        <v/>
      </c>
      <c r="AL170">
        <f>(AC170+AD170+AE170+AF170+AG170+AH170+AI170+AJ170)/8</f>
        <v/>
      </c>
      <c r="AM170">
        <f>IF(AK170&gt;=2,(AK170-2)/8,0)</f>
        <v/>
      </c>
    </row>
    <row r="171">
      <c r="T171">
        <f>SUM(C171:R171)</f>
        <v/>
      </c>
      <c r="U171" s="6">
        <f>ROUND(T171/11.5,2)</f>
        <v/>
      </c>
      <c r="V171" s="7">
        <f>IF(B171="","",IF(AB171,0,ROUND(AL171,2)))</f>
        <v/>
      </c>
      <c r="W171" s="7">
        <f>IF(B171="","",IF(AB171,0,MIN(5,ROUND(AL171+AM171,2))))</f>
        <v/>
      </c>
      <c r="X171" s="8">
        <f>IF(B171="","",IF(W171&gt;=5,"A+",IF(W171&gt;=4,"A",IF(W171&gt;=3.5,"A-",IF(W171&gt;=3,"B",IF(W171&gt;=2,"C",IF(W171&gt;=1,"D","F")))))))</f>
        <v/>
      </c>
      <c r="Y171">
        <f>NOT(OR(AND(J171&gt;=10,K171&gt;=23,L171&gt;=10,M171&gt;=23),AND(J171+L171&gt;=20,K171+M171&gt;=46)))</f>
        <v/>
      </c>
      <c r="Z171">
        <f>OR(N171&lt;10,O171&lt;23)</f>
        <v/>
      </c>
      <c r="AA171">
        <f>OR(P171&lt;10,Q171&lt;23)</f>
        <v/>
      </c>
      <c r="AB171">
        <f>OR((C171+D171)&lt;66,(E171+F171)&lt;66,G171&lt;33,(H171+I171)&lt;66,Y171,Z171,AA171,R171&lt;8.25)</f>
        <v/>
      </c>
      <c r="AC171">
        <f>IF(C171+D171&lt;66,0,IF((C171+D171)/2&gt;=80,5,IF((C171+D171)/2&gt;=70,4,IF((C171+D171)/2&gt;=60,3.5,IF((C171+D171)/2&gt;=50,3,IF((C171+D171)/2&gt;=40,2,IF((C171+D171)/2&gt;=33,1,0)))))))</f>
        <v/>
      </c>
      <c r="AD171">
        <f>IF(E171+F171&lt;66,0,IF((E171+F171)/2&gt;=80,5,IF((E171+F171)/2&gt;=70,4,IF((E171+F171)/2&gt;=60,3.5,IF((E171+F171)/2&gt;=50,3,IF((E171+F171)/2&gt;=40,2,IF((E171+F171)/2&gt;=33,1,0)))))))</f>
        <v/>
      </c>
      <c r="AE171">
        <f>IF(G171&lt;33,0,IF(G171&gt;=80,5,IF(G171&gt;=70,4,IF(G171&gt;=60,3.5,IF(G171&gt;=50,3,IF(G171&gt;=40,2,IF(G171&gt;=33,1,0)))))))</f>
        <v/>
      </c>
      <c r="AF171">
        <f>IF(H171+I171&lt;66,0,IF((H171+I171)/2&gt;=80,5,IF((H171+I171)/2&gt;=70,4,IF((H171+I171)/2&gt;=60,3.5,IF((H171+I171)/2&gt;=50,3,IF((H171+I171)/2&gt;=40,2,IF((H171+I171)/2&gt;=33,1,0)))))))</f>
        <v/>
      </c>
      <c r="AG171">
        <f>IF(Y171,0,IF((J171+K171+L171+M171)/2&gt;=80,5,IF((J171+K171+L171+M171)/2&gt;=70,4,IF((J171+K171+L171+M171)/2&gt;=60,3.5,IF((J171+K171+L171+M171)/2&gt;=50,3,IF((J171+K171+L171+M171)/2&gt;=40,2,IF((J171+K171+L171+M171)/2&gt;=33,1,0)))))))</f>
        <v/>
      </c>
      <c r="AH171">
        <f>IF(Z171,0,IF(N171+O171&gt;=80,5,IF(N171+O171&gt;=70,4,IF(N171+O171&gt;=60,3.5,IF(N171+O171&gt;=50,3,IF(N171+O171&gt;=40,2,IF(N171+O171&gt;=33,1,0)))))))</f>
        <v/>
      </c>
      <c r="AI171">
        <f>IF(AA171,0,IF(P171+Q171&gt;=80,5,IF(P171+Q171&gt;=70,4,IF(P171+Q171&gt;=60,3.5,IF(P171+Q171&gt;=50,3,IF(P171+Q171&gt;=40,2,IF(P171+Q171&gt;=33,1,0)))))))</f>
        <v/>
      </c>
      <c r="AJ171">
        <f>IF(R171&lt;8.25,0,IF(R171*2&gt;=80,5,IF(R171*2&gt;=70,4,IF(R171*2&gt;=60,3.5,IF(R171*2&gt;=50,3,IF(R171*2&gt;=40,2,IF(R171*2&gt;=33,1,0)))))))</f>
        <v/>
      </c>
      <c r="AK171">
        <f>IF(S171&lt;33,0,IF(S171&gt;=80,5,IF(S171&gt;=70,4,IF(S171&gt;=60,3.5,IF(S171&gt;=50,3,IF(S171&gt;=40,2,IF(S171&gt;=33,1,0)))))))</f>
        <v/>
      </c>
      <c r="AL171">
        <f>(AC171+AD171+AE171+AF171+AG171+AH171+AI171+AJ171)/8</f>
        <v/>
      </c>
      <c r="AM171">
        <f>IF(AK171&gt;=2,(AK171-2)/8,0)</f>
        <v/>
      </c>
    </row>
    <row r="172">
      <c r="T172">
        <f>SUM(C172:R172)</f>
        <v/>
      </c>
      <c r="U172" s="6">
        <f>ROUND(T172/11.5,2)</f>
        <v/>
      </c>
      <c r="V172" s="7">
        <f>IF(B172="","",IF(AB172,0,ROUND(AL172,2)))</f>
        <v/>
      </c>
      <c r="W172" s="7">
        <f>IF(B172="","",IF(AB172,0,MIN(5,ROUND(AL172+AM172,2))))</f>
        <v/>
      </c>
      <c r="X172" s="8">
        <f>IF(B172="","",IF(W172&gt;=5,"A+",IF(W172&gt;=4,"A",IF(W172&gt;=3.5,"A-",IF(W172&gt;=3,"B",IF(W172&gt;=2,"C",IF(W172&gt;=1,"D","F")))))))</f>
        <v/>
      </c>
      <c r="Y172">
        <f>NOT(OR(AND(J172&gt;=10,K172&gt;=23,L172&gt;=10,M172&gt;=23),AND(J172+L172&gt;=20,K172+M172&gt;=46)))</f>
        <v/>
      </c>
      <c r="Z172">
        <f>OR(N172&lt;10,O172&lt;23)</f>
        <v/>
      </c>
      <c r="AA172">
        <f>OR(P172&lt;10,Q172&lt;23)</f>
        <v/>
      </c>
      <c r="AB172">
        <f>OR((C172+D172)&lt;66,(E172+F172)&lt;66,G172&lt;33,(H172+I172)&lt;66,Y172,Z172,AA172,R172&lt;8.25)</f>
        <v/>
      </c>
      <c r="AC172">
        <f>IF(C172+D172&lt;66,0,IF((C172+D172)/2&gt;=80,5,IF((C172+D172)/2&gt;=70,4,IF((C172+D172)/2&gt;=60,3.5,IF((C172+D172)/2&gt;=50,3,IF((C172+D172)/2&gt;=40,2,IF((C172+D172)/2&gt;=33,1,0)))))))</f>
        <v/>
      </c>
      <c r="AD172">
        <f>IF(E172+F172&lt;66,0,IF((E172+F172)/2&gt;=80,5,IF((E172+F172)/2&gt;=70,4,IF((E172+F172)/2&gt;=60,3.5,IF((E172+F172)/2&gt;=50,3,IF((E172+F172)/2&gt;=40,2,IF((E172+F172)/2&gt;=33,1,0)))))))</f>
        <v/>
      </c>
      <c r="AE172">
        <f>IF(G172&lt;33,0,IF(G172&gt;=80,5,IF(G172&gt;=70,4,IF(G172&gt;=60,3.5,IF(G172&gt;=50,3,IF(G172&gt;=40,2,IF(G172&gt;=33,1,0)))))))</f>
        <v/>
      </c>
      <c r="AF172">
        <f>IF(H172+I172&lt;66,0,IF((H172+I172)/2&gt;=80,5,IF((H172+I172)/2&gt;=70,4,IF((H172+I172)/2&gt;=60,3.5,IF((H172+I172)/2&gt;=50,3,IF((H172+I172)/2&gt;=40,2,IF((H172+I172)/2&gt;=33,1,0)))))))</f>
        <v/>
      </c>
      <c r="AG172">
        <f>IF(Y172,0,IF((J172+K172+L172+M172)/2&gt;=80,5,IF((J172+K172+L172+M172)/2&gt;=70,4,IF((J172+K172+L172+M172)/2&gt;=60,3.5,IF((J172+K172+L172+M172)/2&gt;=50,3,IF((J172+K172+L172+M172)/2&gt;=40,2,IF((J172+K172+L172+M172)/2&gt;=33,1,0)))))))</f>
        <v/>
      </c>
      <c r="AH172">
        <f>IF(Z172,0,IF(N172+O172&gt;=80,5,IF(N172+O172&gt;=70,4,IF(N172+O172&gt;=60,3.5,IF(N172+O172&gt;=50,3,IF(N172+O172&gt;=40,2,IF(N172+O172&gt;=33,1,0)))))))</f>
        <v/>
      </c>
      <c r="AI172">
        <f>IF(AA172,0,IF(P172+Q172&gt;=80,5,IF(P172+Q172&gt;=70,4,IF(P172+Q172&gt;=60,3.5,IF(P172+Q172&gt;=50,3,IF(P172+Q172&gt;=40,2,IF(P172+Q172&gt;=33,1,0)))))))</f>
        <v/>
      </c>
      <c r="AJ172">
        <f>IF(R172&lt;8.25,0,IF(R172*2&gt;=80,5,IF(R172*2&gt;=70,4,IF(R172*2&gt;=60,3.5,IF(R172*2&gt;=50,3,IF(R172*2&gt;=40,2,IF(R172*2&gt;=33,1,0)))))))</f>
        <v/>
      </c>
      <c r="AK172">
        <f>IF(S172&lt;33,0,IF(S172&gt;=80,5,IF(S172&gt;=70,4,IF(S172&gt;=60,3.5,IF(S172&gt;=50,3,IF(S172&gt;=40,2,IF(S172&gt;=33,1,0)))))))</f>
        <v/>
      </c>
      <c r="AL172">
        <f>(AC172+AD172+AE172+AF172+AG172+AH172+AI172+AJ172)/8</f>
        <v/>
      </c>
      <c r="AM172">
        <f>IF(AK172&gt;=2,(AK172-2)/8,0)</f>
        <v/>
      </c>
    </row>
    <row r="173">
      <c r="T173">
        <f>SUM(C173:R173)</f>
        <v/>
      </c>
      <c r="U173" s="6">
        <f>ROUND(T173/11.5,2)</f>
        <v/>
      </c>
      <c r="V173" s="7">
        <f>IF(B173="","",IF(AB173,0,ROUND(AL173,2)))</f>
        <v/>
      </c>
      <c r="W173" s="7">
        <f>IF(B173="","",IF(AB173,0,MIN(5,ROUND(AL173+AM173,2))))</f>
        <v/>
      </c>
      <c r="X173" s="8">
        <f>IF(B173="","",IF(W173&gt;=5,"A+",IF(W173&gt;=4,"A",IF(W173&gt;=3.5,"A-",IF(W173&gt;=3,"B",IF(W173&gt;=2,"C",IF(W173&gt;=1,"D","F")))))))</f>
        <v/>
      </c>
      <c r="Y173">
        <f>NOT(OR(AND(J173&gt;=10,K173&gt;=23,L173&gt;=10,M173&gt;=23),AND(J173+L173&gt;=20,K173+M173&gt;=46)))</f>
        <v/>
      </c>
      <c r="Z173">
        <f>OR(N173&lt;10,O173&lt;23)</f>
        <v/>
      </c>
      <c r="AA173">
        <f>OR(P173&lt;10,Q173&lt;23)</f>
        <v/>
      </c>
      <c r="AB173">
        <f>OR((C173+D173)&lt;66,(E173+F173)&lt;66,G173&lt;33,(H173+I173)&lt;66,Y173,Z173,AA173,R173&lt;8.25)</f>
        <v/>
      </c>
      <c r="AC173">
        <f>IF(C173+D173&lt;66,0,IF((C173+D173)/2&gt;=80,5,IF((C173+D173)/2&gt;=70,4,IF((C173+D173)/2&gt;=60,3.5,IF((C173+D173)/2&gt;=50,3,IF((C173+D173)/2&gt;=40,2,IF((C173+D173)/2&gt;=33,1,0)))))))</f>
        <v/>
      </c>
      <c r="AD173">
        <f>IF(E173+F173&lt;66,0,IF((E173+F173)/2&gt;=80,5,IF((E173+F173)/2&gt;=70,4,IF((E173+F173)/2&gt;=60,3.5,IF((E173+F173)/2&gt;=50,3,IF((E173+F173)/2&gt;=40,2,IF((E173+F173)/2&gt;=33,1,0)))))))</f>
        <v/>
      </c>
      <c r="AE173">
        <f>IF(G173&lt;33,0,IF(G173&gt;=80,5,IF(G173&gt;=70,4,IF(G173&gt;=60,3.5,IF(G173&gt;=50,3,IF(G173&gt;=40,2,IF(G173&gt;=33,1,0)))))))</f>
        <v/>
      </c>
      <c r="AF173">
        <f>IF(H173+I173&lt;66,0,IF((H173+I173)/2&gt;=80,5,IF((H173+I173)/2&gt;=70,4,IF((H173+I173)/2&gt;=60,3.5,IF((H173+I173)/2&gt;=50,3,IF((H173+I173)/2&gt;=40,2,IF((H173+I173)/2&gt;=33,1,0)))))))</f>
        <v/>
      </c>
      <c r="AG173">
        <f>IF(Y173,0,IF((J173+K173+L173+M173)/2&gt;=80,5,IF((J173+K173+L173+M173)/2&gt;=70,4,IF((J173+K173+L173+M173)/2&gt;=60,3.5,IF((J173+K173+L173+M173)/2&gt;=50,3,IF((J173+K173+L173+M173)/2&gt;=40,2,IF((J173+K173+L173+M173)/2&gt;=33,1,0)))))))</f>
        <v/>
      </c>
      <c r="AH173">
        <f>IF(Z173,0,IF(N173+O173&gt;=80,5,IF(N173+O173&gt;=70,4,IF(N173+O173&gt;=60,3.5,IF(N173+O173&gt;=50,3,IF(N173+O173&gt;=40,2,IF(N173+O173&gt;=33,1,0)))))))</f>
        <v/>
      </c>
      <c r="AI173">
        <f>IF(AA173,0,IF(P173+Q173&gt;=80,5,IF(P173+Q173&gt;=70,4,IF(P173+Q173&gt;=60,3.5,IF(P173+Q173&gt;=50,3,IF(P173+Q173&gt;=40,2,IF(P173+Q173&gt;=33,1,0)))))))</f>
        <v/>
      </c>
      <c r="AJ173">
        <f>IF(R173&lt;8.25,0,IF(R173*2&gt;=80,5,IF(R173*2&gt;=70,4,IF(R173*2&gt;=60,3.5,IF(R173*2&gt;=50,3,IF(R173*2&gt;=40,2,IF(R173*2&gt;=33,1,0)))))))</f>
        <v/>
      </c>
      <c r="AK173">
        <f>IF(S173&lt;33,0,IF(S173&gt;=80,5,IF(S173&gt;=70,4,IF(S173&gt;=60,3.5,IF(S173&gt;=50,3,IF(S173&gt;=40,2,IF(S173&gt;=33,1,0)))))))</f>
        <v/>
      </c>
      <c r="AL173">
        <f>(AC173+AD173+AE173+AF173+AG173+AH173+AI173+AJ173)/8</f>
        <v/>
      </c>
      <c r="AM173">
        <f>IF(AK173&gt;=2,(AK173-2)/8,0)</f>
        <v/>
      </c>
    </row>
    <row r="174">
      <c r="T174">
        <f>SUM(C174:R174)</f>
        <v/>
      </c>
      <c r="U174" s="6">
        <f>ROUND(T174/11.5,2)</f>
        <v/>
      </c>
      <c r="V174" s="7">
        <f>IF(B174="","",IF(AB174,0,ROUND(AL174,2)))</f>
        <v/>
      </c>
      <c r="W174" s="7">
        <f>IF(B174="","",IF(AB174,0,MIN(5,ROUND(AL174+AM174,2))))</f>
        <v/>
      </c>
      <c r="X174" s="8">
        <f>IF(B174="","",IF(W174&gt;=5,"A+",IF(W174&gt;=4,"A",IF(W174&gt;=3.5,"A-",IF(W174&gt;=3,"B",IF(W174&gt;=2,"C",IF(W174&gt;=1,"D","F")))))))</f>
        <v/>
      </c>
      <c r="Y174">
        <f>NOT(OR(AND(J174&gt;=10,K174&gt;=23,L174&gt;=10,M174&gt;=23),AND(J174+L174&gt;=20,K174+M174&gt;=46)))</f>
        <v/>
      </c>
      <c r="Z174">
        <f>OR(N174&lt;10,O174&lt;23)</f>
        <v/>
      </c>
      <c r="AA174">
        <f>OR(P174&lt;10,Q174&lt;23)</f>
        <v/>
      </c>
      <c r="AB174">
        <f>OR((C174+D174)&lt;66,(E174+F174)&lt;66,G174&lt;33,(H174+I174)&lt;66,Y174,Z174,AA174,R174&lt;8.25)</f>
        <v/>
      </c>
      <c r="AC174">
        <f>IF(C174+D174&lt;66,0,IF((C174+D174)/2&gt;=80,5,IF((C174+D174)/2&gt;=70,4,IF((C174+D174)/2&gt;=60,3.5,IF((C174+D174)/2&gt;=50,3,IF((C174+D174)/2&gt;=40,2,IF((C174+D174)/2&gt;=33,1,0)))))))</f>
        <v/>
      </c>
      <c r="AD174">
        <f>IF(E174+F174&lt;66,0,IF((E174+F174)/2&gt;=80,5,IF((E174+F174)/2&gt;=70,4,IF((E174+F174)/2&gt;=60,3.5,IF((E174+F174)/2&gt;=50,3,IF((E174+F174)/2&gt;=40,2,IF((E174+F174)/2&gt;=33,1,0)))))))</f>
        <v/>
      </c>
      <c r="AE174">
        <f>IF(G174&lt;33,0,IF(G174&gt;=80,5,IF(G174&gt;=70,4,IF(G174&gt;=60,3.5,IF(G174&gt;=50,3,IF(G174&gt;=40,2,IF(G174&gt;=33,1,0)))))))</f>
        <v/>
      </c>
      <c r="AF174">
        <f>IF(H174+I174&lt;66,0,IF((H174+I174)/2&gt;=80,5,IF((H174+I174)/2&gt;=70,4,IF((H174+I174)/2&gt;=60,3.5,IF((H174+I174)/2&gt;=50,3,IF((H174+I174)/2&gt;=40,2,IF((H174+I174)/2&gt;=33,1,0)))))))</f>
        <v/>
      </c>
      <c r="AG174">
        <f>IF(Y174,0,IF((J174+K174+L174+M174)/2&gt;=80,5,IF((J174+K174+L174+M174)/2&gt;=70,4,IF((J174+K174+L174+M174)/2&gt;=60,3.5,IF((J174+K174+L174+M174)/2&gt;=50,3,IF((J174+K174+L174+M174)/2&gt;=40,2,IF((J174+K174+L174+M174)/2&gt;=33,1,0)))))))</f>
        <v/>
      </c>
      <c r="AH174">
        <f>IF(Z174,0,IF(N174+O174&gt;=80,5,IF(N174+O174&gt;=70,4,IF(N174+O174&gt;=60,3.5,IF(N174+O174&gt;=50,3,IF(N174+O174&gt;=40,2,IF(N174+O174&gt;=33,1,0)))))))</f>
        <v/>
      </c>
      <c r="AI174">
        <f>IF(AA174,0,IF(P174+Q174&gt;=80,5,IF(P174+Q174&gt;=70,4,IF(P174+Q174&gt;=60,3.5,IF(P174+Q174&gt;=50,3,IF(P174+Q174&gt;=40,2,IF(P174+Q174&gt;=33,1,0)))))))</f>
        <v/>
      </c>
      <c r="AJ174">
        <f>IF(R174&lt;8.25,0,IF(R174*2&gt;=80,5,IF(R174*2&gt;=70,4,IF(R174*2&gt;=60,3.5,IF(R174*2&gt;=50,3,IF(R174*2&gt;=40,2,IF(R174*2&gt;=33,1,0)))))))</f>
        <v/>
      </c>
      <c r="AK174">
        <f>IF(S174&lt;33,0,IF(S174&gt;=80,5,IF(S174&gt;=70,4,IF(S174&gt;=60,3.5,IF(S174&gt;=50,3,IF(S174&gt;=40,2,IF(S174&gt;=33,1,0)))))))</f>
        <v/>
      </c>
      <c r="AL174">
        <f>(AC174+AD174+AE174+AF174+AG174+AH174+AI174+AJ174)/8</f>
        <v/>
      </c>
      <c r="AM174">
        <f>IF(AK174&gt;=2,(AK174-2)/8,0)</f>
        <v/>
      </c>
    </row>
    <row r="175">
      <c r="T175">
        <f>SUM(C175:R175)</f>
        <v/>
      </c>
      <c r="U175" s="6">
        <f>ROUND(T175/11.5,2)</f>
        <v/>
      </c>
      <c r="V175" s="7">
        <f>IF(B175="","",IF(AB175,0,ROUND(AL175,2)))</f>
        <v/>
      </c>
      <c r="W175" s="7">
        <f>IF(B175="","",IF(AB175,0,MIN(5,ROUND(AL175+AM175,2))))</f>
        <v/>
      </c>
      <c r="X175" s="8">
        <f>IF(B175="","",IF(W175&gt;=5,"A+",IF(W175&gt;=4,"A",IF(W175&gt;=3.5,"A-",IF(W175&gt;=3,"B",IF(W175&gt;=2,"C",IF(W175&gt;=1,"D","F")))))))</f>
        <v/>
      </c>
      <c r="Y175">
        <f>NOT(OR(AND(J175&gt;=10,K175&gt;=23,L175&gt;=10,M175&gt;=23),AND(J175+L175&gt;=20,K175+M175&gt;=46)))</f>
        <v/>
      </c>
      <c r="Z175">
        <f>OR(N175&lt;10,O175&lt;23)</f>
        <v/>
      </c>
      <c r="AA175">
        <f>OR(P175&lt;10,Q175&lt;23)</f>
        <v/>
      </c>
      <c r="AB175">
        <f>OR((C175+D175)&lt;66,(E175+F175)&lt;66,G175&lt;33,(H175+I175)&lt;66,Y175,Z175,AA175,R175&lt;8.25)</f>
        <v/>
      </c>
      <c r="AC175">
        <f>IF(C175+D175&lt;66,0,IF((C175+D175)/2&gt;=80,5,IF((C175+D175)/2&gt;=70,4,IF((C175+D175)/2&gt;=60,3.5,IF((C175+D175)/2&gt;=50,3,IF((C175+D175)/2&gt;=40,2,IF((C175+D175)/2&gt;=33,1,0)))))))</f>
        <v/>
      </c>
      <c r="AD175">
        <f>IF(E175+F175&lt;66,0,IF((E175+F175)/2&gt;=80,5,IF((E175+F175)/2&gt;=70,4,IF((E175+F175)/2&gt;=60,3.5,IF((E175+F175)/2&gt;=50,3,IF((E175+F175)/2&gt;=40,2,IF((E175+F175)/2&gt;=33,1,0)))))))</f>
        <v/>
      </c>
      <c r="AE175">
        <f>IF(G175&lt;33,0,IF(G175&gt;=80,5,IF(G175&gt;=70,4,IF(G175&gt;=60,3.5,IF(G175&gt;=50,3,IF(G175&gt;=40,2,IF(G175&gt;=33,1,0)))))))</f>
        <v/>
      </c>
      <c r="AF175">
        <f>IF(H175+I175&lt;66,0,IF((H175+I175)/2&gt;=80,5,IF((H175+I175)/2&gt;=70,4,IF((H175+I175)/2&gt;=60,3.5,IF((H175+I175)/2&gt;=50,3,IF((H175+I175)/2&gt;=40,2,IF((H175+I175)/2&gt;=33,1,0)))))))</f>
        <v/>
      </c>
      <c r="AG175">
        <f>IF(Y175,0,IF((J175+K175+L175+M175)/2&gt;=80,5,IF((J175+K175+L175+M175)/2&gt;=70,4,IF((J175+K175+L175+M175)/2&gt;=60,3.5,IF((J175+K175+L175+M175)/2&gt;=50,3,IF((J175+K175+L175+M175)/2&gt;=40,2,IF((J175+K175+L175+M175)/2&gt;=33,1,0)))))))</f>
        <v/>
      </c>
      <c r="AH175">
        <f>IF(Z175,0,IF(N175+O175&gt;=80,5,IF(N175+O175&gt;=70,4,IF(N175+O175&gt;=60,3.5,IF(N175+O175&gt;=50,3,IF(N175+O175&gt;=40,2,IF(N175+O175&gt;=33,1,0)))))))</f>
        <v/>
      </c>
      <c r="AI175">
        <f>IF(AA175,0,IF(P175+Q175&gt;=80,5,IF(P175+Q175&gt;=70,4,IF(P175+Q175&gt;=60,3.5,IF(P175+Q175&gt;=50,3,IF(P175+Q175&gt;=40,2,IF(P175+Q175&gt;=33,1,0)))))))</f>
        <v/>
      </c>
      <c r="AJ175">
        <f>IF(R175&lt;8.25,0,IF(R175*2&gt;=80,5,IF(R175*2&gt;=70,4,IF(R175*2&gt;=60,3.5,IF(R175*2&gt;=50,3,IF(R175*2&gt;=40,2,IF(R175*2&gt;=33,1,0)))))))</f>
        <v/>
      </c>
      <c r="AK175">
        <f>IF(S175&lt;33,0,IF(S175&gt;=80,5,IF(S175&gt;=70,4,IF(S175&gt;=60,3.5,IF(S175&gt;=50,3,IF(S175&gt;=40,2,IF(S175&gt;=33,1,0)))))))</f>
        <v/>
      </c>
      <c r="AL175">
        <f>(AC175+AD175+AE175+AF175+AG175+AH175+AI175+AJ175)/8</f>
        <v/>
      </c>
      <c r="AM175">
        <f>IF(AK175&gt;=2,(AK175-2)/8,0)</f>
        <v/>
      </c>
    </row>
    <row r="176">
      <c r="T176">
        <f>SUM(C176:R176)</f>
        <v/>
      </c>
      <c r="U176" s="6">
        <f>ROUND(T176/11.5,2)</f>
        <v/>
      </c>
      <c r="V176" s="7">
        <f>IF(B176="","",IF(AB176,0,ROUND(AL176,2)))</f>
        <v/>
      </c>
      <c r="W176" s="7">
        <f>IF(B176="","",IF(AB176,0,MIN(5,ROUND(AL176+AM176,2))))</f>
        <v/>
      </c>
      <c r="X176" s="8">
        <f>IF(B176="","",IF(W176&gt;=5,"A+",IF(W176&gt;=4,"A",IF(W176&gt;=3.5,"A-",IF(W176&gt;=3,"B",IF(W176&gt;=2,"C",IF(W176&gt;=1,"D","F")))))))</f>
        <v/>
      </c>
      <c r="Y176">
        <f>NOT(OR(AND(J176&gt;=10,K176&gt;=23,L176&gt;=10,M176&gt;=23),AND(J176+L176&gt;=20,K176+M176&gt;=46)))</f>
        <v/>
      </c>
      <c r="Z176">
        <f>OR(N176&lt;10,O176&lt;23)</f>
        <v/>
      </c>
      <c r="AA176">
        <f>OR(P176&lt;10,Q176&lt;23)</f>
        <v/>
      </c>
      <c r="AB176">
        <f>OR((C176+D176)&lt;66,(E176+F176)&lt;66,G176&lt;33,(H176+I176)&lt;66,Y176,Z176,AA176,R176&lt;8.25)</f>
        <v/>
      </c>
      <c r="AC176">
        <f>IF(C176+D176&lt;66,0,IF((C176+D176)/2&gt;=80,5,IF((C176+D176)/2&gt;=70,4,IF((C176+D176)/2&gt;=60,3.5,IF((C176+D176)/2&gt;=50,3,IF((C176+D176)/2&gt;=40,2,IF((C176+D176)/2&gt;=33,1,0)))))))</f>
        <v/>
      </c>
      <c r="AD176">
        <f>IF(E176+F176&lt;66,0,IF((E176+F176)/2&gt;=80,5,IF((E176+F176)/2&gt;=70,4,IF((E176+F176)/2&gt;=60,3.5,IF((E176+F176)/2&gt;=50,3,IF((E176+F176)/2&gt;=40,2,IF((E176+F176)/2&gt;=33,1,0)))))))</f>
        <v/>
      </c>
      <c r="AE176">
        <f>IF(G176&lt;33,0,IF(G176&gt;=80,5,IF(G176&gt;=70,4,IF(G176&gt;=60,3.5,IF(G176&gt;=50,3,IF(G176&gt;=40,2,IF(G176&gt;=33,1,0)))))))</f>
        <v/>
      </c>
      <c r="AF176">
        <f>IF(H176+I176&lt;66,0,IF((H176+I176)/2&gt;=80,5,IF((H176+I176)/2&gt;=70,4,IF((H176+I176)/2&gt;=60,3.5,IF((H176+I176)/2&gt;=50,3,IF((H176+I176)/2&gt;=40,2,IF((H176+I176)/2&gt;=33,1,0)))))))</f>
        <v/>
      </c>
      <c r="AG176">
        <f>IF(Y176,0,IF((J176+K176+L176+M176)/2&gt;=80,5,IF((J176+K176+L176+M176)/2&gt;=70,4,IF((J176+K176+L176+M176)/2&gt;=60,3.5,IF((J176+K176+L176+M176)/2&gt;=50,3,IF((J176+K176+L176+M176)/2&gt;=40,2,IF((J176+K176+L176+M176)/2&gt;=33,1,0)))))))</f>
        <v/>
      </c>
      <c r="AH176">
        <f>IF(Z176,0,IF(N176+O176&gt;=80,5,IF(N176+O176&gt;=70,4,IF(N176+O176&gt;=60,3.5,IF(N176+O176&gt;=50,3,IF(N176+O176&gt;=40,2,IF(N176+O176&gt;=33,1,0)))))))</f>
        <v/>
      </c>
      <c r="AI176">
        <f>IF(AA176,0,IF(P176+Q176&gt;=80,5,IF(P176+Q176&gt;=70,4,IF(P176+Q176&gt;=60,3.5,IF(P176+Q176&gt;=50,3,IF(P176+Q176&gt;=40,2,IF(P176+Q176&gt;=33,1,0)))))))</f>
        <v/>
      </c>
      <c r="AJ176">
        <f>IF(R176&lt;8.25,0,IF(R176*2&gt;=80,5,IF(R176*2&gt;=70,4,IF(R176*2&gt;=60,3.5,IF(R176*2&gt;=50,3,IF(R176*2&gt;=40,2,IF(R176*2&gt;=33,1,0)))))))</f>
        <v/>
      </c>
      <c r="AK176">
        <f>IF(S176&lt;33,0,IF(S176&gt;=80,5,IF(S176&gt;=70,4,IF(S176&gt;=60,3.5,IF(S176&gt;=50,3,IF(S176&gt;=40,2,IF(S176&gt;=33,1,0)))))))</f>
        <v/>
      </c>
      <c r="AL176">
        <f>(AC176+AD176+AE176+AF176+AG176+AH176+AI176+AJ176)/8</f>
        <v/>
      </c>
      <c r="AM176">
        <f>IF(AK176&gt;=2,(AK176-2)/8,0)</f>
        <v/>
      </c>
    </row>
    <row r="177">
      <c r="T177">
        <f>SUM(C177:R177)</f>
        <v/>
      </c>
      <c r="U177" s="6">
        <f>ROUND(T177/11.5,2)</f>
        <v/>
      </c>
      <c r="V177" s="7">
        <f>IF(B177="","",IF(AB177,0,ROUND(AL177,2)))</f>
        <v/>
      </c>
      <c r="W177" s="7">
        <f>IF(B177="","",IF(AB177,0,MIN(5,ROUND(AL177+AM177,2))))</f>
        <v/>
      </c>
      <c r="X177" s="8">
        <f>IF(B177="","",IF(W177&gt;=5,"A+",IF(W177&gt;=4,"A",IF(W177&gt;=3.5,"A-",IF(W177&gt;=3,"B",IF(W177&gt;=2,"C",IF(W177&gt;=1,"D","F")))))))</f>
        <v/>
      </c>
      <c r="Y177">
        <f>NOT(OR(AND(J177&gt;=10,K177&gt;=23,L177&gt;=10,M177&gt;=23),AND(J177+L177&gt;=20,K177+M177&gt;=46)))</f>
        <v/>
      </c>
      <c r="Z177">
        <f>OR(N177&lt;10,O177&lt;23)</f>
        <v/>
      </c>
      <c r="AA177">
        <f>OR(P177&lt;10,Q177&lt;23)</f>
        <v/>
      </c>
      <c r="AB177">
        <f>OR((C177+D177)&lt;66,(E177+F177)&lt;66,G177&lt;33,(H177+I177)&lt;66,Y177,Z177,AA177,R177&lt;8.25)</f>
        <v/>
      </c>
      <c r="AC177">
        <f>IF(C177+D177&lt;66,0,IF((C177+D177)/2&gt;=80,5,IF((C177+D177)/2&gt;=70,4,IF((C177+D177)/2&gt;=60,3.5,IF((C177+D177)/2&gt;=50,3,IF((C177+D177)/2&gt;=40,2,IF((C177+D177)/2&gt;=33,1,0)))))))</f>
        <v/>
      </c>
      <c r="AD177">
        <f>IF(E177+F177&lt;66,0,IF((E177+F177)/2&gt;=80,5,IF((E177+F177)/2&gt;=70,4,IF((E177+F177)/2&gt;=60,3.5,IF((E177+F177)/2&gt;=50,3,IF((E177+F177)/2&gt;=40,2,IF((E177+F177)/2&gt;=33,1,0)))))))</f>
        <v/>
      </c>
      <c r="AE177">
        <f>IF(G177&lt;33,0,IF(G177&gt;=80,5,IF(G177&gt;=70,4,IF(G177&gt;=60,3.5,IF(G177&gt;=50,3,IF(G177&gt;=40,2,IF(G177&gt;=33,1,0)))))))</f>
        <v/>
      </c>
      <c r="AF177">
        <f>IF(H177+I177&lt;66,0,IF((H177+I177)/2&gt;=80,5,IF((H177+I177)/2&gt;=70,4,IF((H177+I177)/2&gt;=60,3.5,IF((H177+I177)/2&gt;=50,3,IF((H177+I177)/2&gt;=40,2,IF((H177+I177)/2&gt;=33,1,0)))))))</f>
        <v/>
      </c>
      <c r="AG177">
        <f>IF(Y177,0,IF((J177+K177+L177+M177)/2&gt;=80,5,IF((J177+K177+L177+M177)/2&gt;=70,4,IF((J177+K177+L177+M177)/2&gt;=60,3.5,IF((J177+K177+L177+M177)/2&gt;=50,3,IF((J177+K177+L177+M177)/2&gt;=40,2,IF((J177+K177+L177+M177)/2&gt;=33,1,0)))))))</f>
        <v/>
      </c>
      <c r="AH177">
        <f>IF(Z177,0,IF(N177+O177&gt;=80,5,IF(N177+O177&gt;=70,4,IF(N177+O177&gt;=60,3.5,IF(N177+O177&gt;=50,3,IF(N177+O177&gt;=40,2,IF(N177+O177&gt;=33,1,0)))))))</f>
        <v/>
      </c>
      <c r="AI177">
        <f>IF(AA177,0,IF(P177+Q177&gt;=80,5,IF(P177+Q177&gt;=70,4,IF(P177+Q177&gt;=60,3.5,IF(P177+Q177&gt;=50,3,IF(P177+Q177&gt;=40,2,IF(P177+Q177&gt;=33,1,0)))))))</f>
        <v/>
      </c>
      <c r="AJ177">
        <f>IF(R177&lt;8.25,0,IF(R177*2&gt;=80,5,IF(R177*2&gt;=70,4,IF(R177*2&gt;=60,3.5,IF(R177*2&gt;=50,3,IF(R177*2&gt;=40,2,IF(R177*2&gt;=33,1,0)))))))</f>
        <v/>
      </c>
      <c r="AK177">
        <f>IF(S177&lt;33,0,IF(S177&gt;=80,5,IF(S177&gt;=70,4,IF(S177&gt;=60,3.5,IF(S177&gt;=50,3,IF(S177&gt;=40,2,IF(S177&gt;=33,1,0)))))))</f>
        <v/>
      </c>
      <c r="AL177">
        <f>(AC177+AD177+AE177+AF177+AG177+AH177+AI177+AJ177)/8</f>
        <v/>
      </c>
      <c r="AM177">
        <f>IF(AK177&gt;=2,(AK177-2)/8,0)</f>
        <v/>
      </c>
    </row>
    <row r="178">
      <c r="T178">
        <f>SUM(C178:R178)</f>
        <v/>
      </c>
      <c r="U178" s="6">
        <f>ROUND(T178/11.5,2)</f>
        <v/>
      </c>
      <c r="V178" s="7">
        <f>IF(B178="","",IF(AB178,0,ROUND(AL178,2)))</f>
        <v/>
      </c>
      <c r="W178" s="7">
        <f>IF(B178="","",IF(AB178,0,MIN(5,ROUND(AL178+AM178,2))))</f>
        <v/>
      </c>
      <c r="X178" s="8">
        <f>IF(B178="","",IF(W178&gt;=5,"A+",IF(W178&gt;=4,"A",IF(W178&gt;=3.5,"A-",IF(W178&gt;=3,"B",IF(W178&gt;=2,"C",IF(W178&gt;=1,"D","F")))))))</f>
        <v/>
      </c>
      <c r="Y178">
        <f>NOT(OR(AND(J178&gt;=10,K178&gt;=23,L178&gt;=10,M178&gt;=23),AND(J178+L178&gt;=20,K178+M178&gt;=46)))</f>
        <v/>
      </c>
      <c r="Z178">
        <f>OR(N178&lt;10,O178&lt;23)</f>
        <v/>
      </c>
      <c r="AA178">
        <f>OR(P178&lt;10,Q178&lt;23)</f>
        <v/>
      </c>
      <c r="AB178">
        <f>OR((C178+D178)&lt;66,(E178+F178)&lt;66,G178&lt;33,(H178+I178)&lt;66,Y178,Z178,AA178,R178&lt;8.25)</f>
        <v/>
      </c>
      <c r="AC178">
        <f>IF(C178+D178&lt;66,0,IF((C178+D178)/2&gt;=80,5,IF((C178+D178)/2&gt;=70,4,IF((C178+D178)/2&gt;=60,3.5,IF((C178+D178)/2&gt;=50,3,IF((C178+D178)/2&gt;=40,2,IF((C178+D178)/2&gt;=33,1,0)))))))</f>
        <v/>
      </c>
      <c r="AD178">
        <f>IF(E178+F178&lt;66,0,IF((E178+F178)/2&gt;=80,5,IF((E178+F178)/2&gt;=70,4,IF((E178+F178)/2&gt;=60,3.5,IF((E178+F178)/2&gt;=50,3,IF((E178+F178)/2&gt;=40,2,IF((E178+F178)/2&gt;=33,1,0)))))))</f>
        <v/>
      </c>
      <c r="AE178">
        <f>IF(G178&lt;33,0,IF(G178&gt;=80,5,IF(G178&gt;=70,4,IF(G178&gt;=60,3.5,IF(G178&gt;=50,3,IF(G178&gt;=40,2,IF(G178&gt;=33,1,0)))))))</f>
        <v/>
      </c>
      <c r="AF178">
        <f>IF(H178+I178&lt;66,0,IF((H178+I178)/2&gt;=80,5,IF((H178+I178)/2&gt;=70,4,IF((H178+I178)/2&gt;=60,3.5,IF((H178+I178)/2&gt;=50,3,IF((H178+I178)/2&gt;=40,2,IF((H178+I178)/2&gt;=33,1,0)))))))</f>
        <v/>
      </c>
      <c r="AG178">
        <f>IF(Y178,0,IF((J178+K178+L178+M178)/2&gt;=80,5,IF((J178+K178+L178+M178)/2&gt;=70,4,IF((J178+K178+L178+M178)/2&gt;=60,3.5,IF((J178+K178+L178+M178)/2&gt;=50,3,IF((J178+K178+L178+M178)/2&gt;=40,2,IF((J178+K178+L178+M178)/2&gt;=33,1,0)))))))</f>
        <v/>
      </c>
      <c r="AH178">
        <f>IF(Z178,0,IF(N178+O178&gt;=80,5,IF(N178+O178&gt;=70,4,IF(N178+O178&gt;=60,3.5,IF(N178+O178&gt;=50,3,IF(N178+O178&gt;=40,2,IF(N178+O178&gt;=33,1,0)))))))</f>
        <v/>
      </c>
      <c r="AI178">
        <f>IF(AA178,0,IF(P178+Q178&gt;=80,5,IF(P178+Q178&gt;=70,4,IF(P178+Q178&gt;=60,3.5,IF(P178+Q178&gt;=50,3,IF(P178+Q178&gt;=40,2,IF(P178+Q178&gt;=33,1,0)))))))</f>
        <v/>
      </c>
      <c r="AJ178">
        <f>IF(R178&lt;8.25,0,IF(R178*2&gt;=80,5,IF(R178*2&gt;=70,4,IF(R178*2&gt;=60,3.5,IF(R178*2&gt;=50,3,IF(R178*2&gt;=40,2,IF(R178*2&gt;=33,1,0)))))))</f>
        <v/>
      </c>
      <c r="AK178">
        <f>IF(S178&lt;33,0,IF(S178&gt;=80,5,IF(S178&gt;=70,4,IF(S178&gt;=60,3.5,IF(S178&gt;=50,3,IF(S178&gt;=40,2,IF(S178&gt;=33,1,0)))))))</f>
        <v/>
      </c>
      <c r="AL178">
        <f>(AC178+AD178+AE178+AF178+AG178+AH178+AI178+AJ178)/8</f>
        <v/>
      </c>
      <c r="AM178">
        <f>IF(AK178&gt;=2,(AK178-2)/8,0)</f>
        <v/>
      </c>
    </row>
    <row r="179">
      <c r="T179">
        <f>SUM(C179:R179)</f>
        <v/>
      </c>
      <c r="U179" s="6">
        <f>ROUND(T179/11.5,2)</f>
        <v/>
      </c>
      <c r="V179" s="7">
        <f>IF(B179="","",IF(AB179,0,ROUND(AL179,2)))</f>
        <v/>
      </c>
      <c r="W179" s="7">
        <f>IF(B179="","",IF(AB179,0,MIN(5,ROUND(AL179+AM179,2))))</f>
        <v/>
      </c>
      <c r="X179" s="8">
        <f>IF(B179="","",IF(W179&gt;=5,"A+",IF(W179&gt;=4,"A",IF(W179&gt;=3.5,"A-",IF(W179&gt;=3,"B",IF(W179&gt;=2,"C",IF(W179&gt;=1,"D","F")))))))</f>
        <v/>
      </c>
      <c r="Y179">
        <f>NOT(OR(AND(J179&gt;=10,K179&gt;=23,L179&gt;=10,M179&gt;=23),AND(J179+L179&gt;=20,K179+M179&gt;=46)))</f>
        <v/>
      </c>
      <c r="Z179">
        <f>OR(N179&lt;10,O179&lt;23)</f>
        <v/>
      </c>
      <c r="AA179">
        <f>OR(P179&lt;10,Q179&lt;23)</f>
        <v/>
      </c>
      <c r="AB179">
        <f>OR((C179+D179)&lt;66,(E179+F179)&lt;66,G179&lt;33,(H179+I179)&lt;66,Y179,Z179,AA179,R179&lt;8.25)</f>
        <v/>
      </c>
      <c r="AC179">
        <f>IF(C179+D179&lt;66,0,IF((C179+D179)/2&gt;=80,5,IF((C179+D179)/2&gt;=70,4,IF((C179+D179)/2&gt;=60,3.5,IF((C179+D179)/2&gt;=50,3,IF((C179+D179)/2&gt;=40,2,IF((C179+D179)/2&gt;=33,1,0)))))))</f>
        <v/>
      </c>
      <c r="AD179">
        <f>IF(E179+F179&lt;66,0,IF((E179+F179)/2&gt;=80,5,IF((E179+F179)/2&gt;=70,4,IF((E179+F179)/2&gt;=60,3.5,IF((E179+F179)/2&gt;=50,3,IF((E179+F179)/2&gt;=40,2,IF((E179+F179)/2&gt;=33,1,0)))))))</f>
        <v/>
      </c>
      <c r="AE179">
        <f>IF(G179&lt;33,0,IF(G179&gt;=80,5,IF(G179&gt;=70,4,IF(G179&gt;=60,3.5,IF(G179&gt;=50,3,IF(G179&gt;=40,2,IF(G179&gt;=33,1,0)))))))</f>
        <v/>
      </c>
      <c r="AF179">
        <f>IF(H179+I179&lt;66,0,IF((H179+I179)/2&gt;=80,5,IF((H179+I179)/2&gt;=70,4,IF((H179+I179)/2&gt;=60,3.5,IF((H179+I179)/2&gt;=50,3,IF((H179+I179)/2&gt;=40,2,IF((H179+I179)/2&gt;=33,1,0)))))))</f>
        <v/>
      </c>
      <c r="AG179">
        <f>IF(Y179,0,IF((J179+K179+L179+M179)/2&gt;=80,5,IF((J179+K179+L179+M179)/2&gt;=70,4,IF((J179+K179+L179+M179)/2&gt;=60,3.5,IF((J179+K179+L179+M179)/2&gt;=50,3,IF((J179+K179+L179+M179)/2&gt;=40,2,IF((J179+K179+L179+M179)/2&gt;=33,1,0)))))))</f>
        <v/>
      </c>
      <c r="AH179">
        <f>IF(Z179,0,IF(N179+O179&gt;=80,5,IF(N179+O179&gt;=70,4,IF(N179+O179&gt;=60,3.5,IF(N179+O179&gt;=50,3,IF(N179+O179&gt;=40,2,IF(N179+O179&gt;=33,1,0)))))))</f>
        <v/>
      </c>
      <c r="AI179">
        <f>IF(AA179,0,IF(P179+Q179&gt;=80,5,IF(P179+Q179&gt;=70,4,IF(P179+Q179&gt;=60,3.5,IF(P179+Q179&gt;=50,3,IF(P179+Q179&gt;=40,2,IF(P179+Q179&gt;=33,1,0)))))))</f>
        <v/>
      </c>
      <c r="AJ179">
        <f>IF(R179&lt;8.25,0,IF(R179*2&gt;=80,5,IF(R179*2&gt;=70,4,IF(R179*2&gt;=60,3.5,IF(R179*2&gt;=50,3,IF(R179*2&gt;=40,2,IF(R179*2&gt;=33,1,0)))))))</f>
        <v/>
      </c>
      <c r="AK179">
        <f>IF(S179&lt;33,0,IF(S179&gt;=80,5,IF(S179&gt;=70,4,IF(S179&gt;=60,3.5,IF(S179&gt;=50,3,IF(S179&gt;=40,2,IF(S179&gt;=33,1,0)))))))</f>
        <v/>
      </c>
      <c r="AL179">
        <f>(AC179+AD179+AE179+AF179+AG179+AH179+AI179+AJ179)/8</f>
        <v/>
      </c>
      <c r="AM179">
        <f>IF(AK179&gt;=2,(AK179-2)/8,0)</f>
        <v/>
      </c>
    </row>
    <row r="180">
      <c r="T180">
        <f>SUM(C180:R180)</f>
        <v/>
      </c>
      <c r="U180" s="6">
        <f>ROUND(T180/11.5,2)</f>
        <v/>
      </c>
      <c r="V180" s="7">
        <f>IF(B180="","",IF(AB180,0,ROUND(AL180,2)))</f>
        <v/>
      </c>
      <c r="W180" s="7">
        <f>IF(B180="","",IF(AB180,0,MIN(5,ROUND(AL180+AM180,2))))</f>
        <v/>
      </c>
      <c r="X180" s="8">
        <f>IF(B180="","",IF(W180&gt;=5,"A+",IF(W180&gt;=4,"A",IF(W180&gt;=3.5,"A-",IF(W180&gt;=3,"B",IF(W180&gt;=2,"C",IF(W180&gt;=1,"D","F")))))))</f>
        <v/>
      </c>
      <c r="Y180">
        <f>NOT(OR(AND(J180&gt;=10,K180&gt;=23,L180&gt;=10,M180&gt;=23),AND(J180+L180&gt;=20,K180+M180&gt;=46)))</f>
        <v/>
      </c>
      <c r="Z180">
        <f>OR(N180&lt;10,O180&lt;23)</f>
        <v/>
      </c>
      <c r="AA180">
        <f>OR(P180&lt;10,Q180&lt;23)</f>
        <v/>
      </c>
      <c r="AB180">
        <f>OR((C180+D180)&lt;66,(E180+F180)&lt;66,G180&lt;33,(H180+I180)&lt;66,Y180,Z180,AA180,R180&lt;8.25)</f>
        <v/>
      </c>
      <c r="AC180">
        <f>IF(C180+D180&lt;66,0,IF((C180+D180)/2&gt;=80,5,IF((C180+D180)/2&gt;=70,4,IF((C180+D180)/2&gt;=60,3.5,IF((C180+D180)/2&gt;=50,3,IF((C180+D180)/2&gt;=40,2,IF((C180+D180)/2&gt;=33,1,0)))))))</f>
        <v/>
      </c>
      <c r="AD180">
        <f>IF(E180+F180&lt;66,0,IF((E180+F180)/2&gt;=80,5,IF((E180+F180)/2&gt;=70,4,IF((E180+F180)/2&gt;=60,3.5,IF((E180+F180)/2&gt;=50,3,IF((E180+F180)/2&gt;=40,2,IF((E180+F180)/2&gt;=33,1,0)))))))</f>
        <v/>
      </c>
      <c r="AE180">
        <f>IF(G180&lt;33,0,IF(G180&gt;=80,5,IF(G180&gt;=70,4,IF(G180&gt;=60,3.5,IF(G180&gt;=50,3,IF(G180&gt;=40,2,IF(G180&gt;=33,1,0)))))))</f>
        <v/>
      </c>
      <c r="AF180">
        <f>IF(H180+I180&lt;66,0,IF((H180+I180)/2&gt;=80,5,IF((H180+I180)/2&gt;=70,4,IF((H180+I180)/2&gt;=60,3.5,IF((H180+I180)/2&gt;=50,3,IF((H180+I180)/2&gt;=40,2,IF((H180+I180)/2&gt;=33,1,0)))))))</f>
        <v/>
      </c>
      <c r="AG180">
        <f>IF(Y180,0,IF((J180+K180+L180+M180)/2&gt;=80,5,IF((J180+K180+L180+M180)/2&gt;=70,4,IF((J180+K180+L180+M180)/2&gt;=60,3.5,IF((J180+K180+L180+M180)/2&gt;=50,3,IF((J180+K180+L180+M180)/2&gt;=40,2,IF((J180+K180+L180+M180)/2&gt;=33,1,0)))))))</f>
        <v/>
      </c>
      <c r="AH180">
        <f>IF(Z180,0,IF(N180+O180&gt;=80,5,IF(N180+O180&gt;=70,4,IF(N180+O180&gt;=60,3.5,IF(N180+O180&gt;=50,3,IF(N180+O180&gt;=40,2,IF(N180+O180&gt;=33,1,0)))))))</f>
        <v/>
      </c>
      <c r="AI180">
        <f>IF(AA180,0,IF(P180+Q180&gt;=80,5,IF(P180+Q180&gt;=70,4,IF(P180+Q180&gt;=60,3.5,IF(P180+Q180&gt;=50,3,IF(P180+Q180&gt;=40,2,IF(P180+Q180&gt;=33,1,0)))))))</f>
        <v/>
      </c>
      <c r="AJ180">
        <f>IF(R180&lt;8.25,0,IF(R180*2&gt;=80,5,IF(R180*2&gt;=70,4,IF(R180*2&gt;=60,3.5,IF(R180*2&gt;=50,3,IF(R180*2&gt;=40,2,IF(R180*2&gt;=33,1,0)))))))</f>
        <v/>
      </c>
      <c r="AK180">
        <f>IF(S180&lt;33,0,IF(S180&gt;=80,5,IF(S180&gt;=70,4,IF(S180&gt;=60,3.5,IF(S180&gt;=50,3,IF(S180&gt;=40,2,IF(S180&gt;=33,1,0)))))))</f>
        <v/>
      </c>
      <c r="AL180">
        <f>(AC180+AD180+AE180+AF180+AG180+AH180+AI180+AJ180)/8</f>
        <v/>
      </c>
      <c r="AM180">
        <f>IF(AK180&gt;=2,(AK180-2)/8,0)</f>
        <v/>
      </c>
    </row>
    <row r="181">
      <c r="T181">
        <f>SUM(C181:R181)</f>
        <v/>
      </c>
      <c r="U181" s="6">
        <f>ROUND(T181/11.5,2)</f>
        <v/>
      </c>
      <c r="V181" s="7">
        <f>IF(B181="","",IF(AB181,0,ROUND(AL181,2)))</f>
        <v/>
      </c>
      <c r="W181" s="7">
        <f>IF(B181="","",IF(AB181,0,MIN(5,ROUND(AL181+AM181,2))))</f>
        <v/>
      </c>
      <c r="X181" s="8">
        <f>IF(B181="","",IF(W181&gt;=5,"A+",IF(W181&gt;=4,"A",IF(W181&gt;=3.5,"A-",IF(W181&gt;=3,"B",IF(W181&gt;=2,"C",IF(W181&gt;=1,"D","F")))))))</f>
        <v/>
      </c>
      <c r="Y181">
        <f>NOT(OR(AND(J181&gt;=10,K181&gt;=23,L181&gt;=10,M181&gt;=23),AND(J181+L181&gt;=20,K181+M181&gt;=46)))</f>
        <v/>
      </c>
      <c r="Z181">
        <f>OR(N181&lt;10,O181&lt;23)</f>
        <v/>
      </c>
      <c r="AA181">
        <f>OR(P181&lt;10,Q181&lt;23)</f>
        <v/>
      </c>
      <c r="AB181">
        <f>OR((C181+D181)&lt;66,(E181+F181)&lt;66,G181&lt;33,(H181+I181)&lt;66,Y181,Z181,AA181,R181&lt;8.25)</f>
        <v/>
      </c>
      <c r="AC181">
        <f>IF(C181+D181&lt;66,0,IF((C181+D181)/2&gt;=80,5,IF((C181+D181)/2&gt;=70,4,IF((C181+D181)/2&gt;=60,3.5,IF((C181+D181)/2&gt;=50,3,IF((C181+D181)/2&gt;=40,2,IF((C181+D181)/2&gt;=33,1,0)))))))</f>
        <v/>
      </c>
      <c r="AD181">
        <f>IF(E181+F181&lt;66,0,IF((E181+F181)/2&gt;=80,5,IF((E181+F181)/2&gt;=70,4,IF((E181+F181)/2&gt;=60,3.5,IF((E181+F181)/2&gt;=50,3,IF((E181+F181)/2&gt;=40,2,IF((E181+F181)/2&gt;=33,1,0)))))))</f>
        <v/>
      </c>
      <c r="AE181">
        <f>IF(G181&lt;33,0,IF(G181&gt;=80,5,IF(G181&gt;=70,4,IF(G181&gt;=60,3.5,IF(G181&gt;=50,3,IF(G181&gt;=40,2,IF(G181&gt;=33,1,0)))))))</f>
        <v/>
      </c>
      <c r="AF181">
        <f>IF(H181+I181&lt;66,0,IF((H181+I181)/2&gt;=80,5,IF((H181+I181)/2&gt;=70,4,IF((H181+I181)/2&gt;=60,3.5,IF((H181+I181)/2&gt;=50,3,IF((H181+I181)/2&gt;=40,2,IF((H181+I181)/2&gt;=33,1,0)))))))</f>
        <v/>
      </c>
      <c r="AG181">
        <f>IF(Y181,0,IF((J181+K181+L181+M181)/2&gt;=80,5,IF((J181+K181+L181+M181)/2&gt;=70,4,IF((J181+K181+L181+M181)/2&gt;=60,3.5,IF((J181+K181+L181+M181)/2&gt;=50,3,IF((J181+K181+L181+M181)/2&gt;=40,2,IF((J181+K181+L181+M181)/2&gt;=33,1,0)))))))</f>
        <v/>
      </c>
      <c r="AH181">
        <f>IF(Z181,0,IF(N181+O181&gt;=80,5,IF(N181+O181&gt;=70,4,IF(N181+O181&gt;=60,3.5,IF(N181+O181&gt;=50,3,IF(N181+O181&gt;=40,2,IF(N181+O181&gt;=33,1,0)))))))</f>
        <v/>
      </c>
      <c r="AI181">
        <f>IF(AA181,0,IF(P181+Q181&gt;=80,5,IF(P181+Q181&gt;=70,4,IF(P181+Q181&gt;=60,3.5,IF(P181+Q181&gt;=50,3,IF(P181+Q181&gt;=40,2,IF(P181+Q181&gt;=33,1,0)))))))</f>
        <v/>
      </c>
      <c r="AJ181">
        <f>IF(R181&lt;8.25,0,IF(R181*2&gt;=80,5,IF(R181*2&gt;=70,4,IF(R181*2&gt;=60,3.5,IF(R181*2&gt;=50,3,IF(R181*2&gt;=40,2,IF(R181*2&gt;=33,1,0)))))))</f>
        <v/>
      </c>
      <c r="AK181">
        <f>IF(S181&lt;33,0,IF(S181&gt;=80,5,IF(S181&gt;=70,4,IF(S181&gt;=60,3.5,IF(S181&gt;=50,3,IF(S181&gt;=40,2,IF(S181&gt;=33,1,0)))))))</f>
        <v/>
      </c>
      <c r="AL181">
        <f>(AC181+AD181+AE181+AF181+AG181+AH181+AI181+AJ181)/8</f>
        <v/>
      </c>
      <c r="AM181">
        <f>IF(AK181&gt;=2,(AK181-2)/8,0)</f>
        <v/>
      </c>
    </row>
    <row r="182">
      <c r="T182">
        <f>SUM(C182:R182)</f>
        <v/>
      </c>
      <c r="U182" s="6">
        <f>ROUND(T182/11.5,2)</f>
        <v/>
      </c>
      <c r="V182" s="7">
        <f>IF(B182="","",IF(AB182,0,ROUND(AL182,2)))</f>
        <v/>
      </c>
      <c r="W182" s="7">
        <f>IF(B182="","",IF(AB182,0,MIN(5,ROUND(AL182+AM182,2))))</f>
        <v/>
      </c>
      <c r="X182" s="8">
        <f>IF(B182="","",IF(W182&gt;=5,"A+",IF(W182&gt;=4,"A",IF(W182&gt;=3.5,"A-",IF(W182&gt;=3,"B",IF(W182&gt;=2,"C",IF(W182&gt;=1,"D","F")))))))</f>
        <v/>
      </c>
      <c r="Y182">
        <f>NOT(OR(AND(J182&gt;=10,K182&gt;=23,L182&gt;=10,M182&gt;=23),AND(J182+L182&gt;=20,K182+M182&gt;=46)))</f>
        <v/>
      </c>
      <c r="Z182">
        <f>OR(N182&lt;10,O182&lt;23)</f>
        <v/>
      </c>
      <c r="AA182">
        <f>OR(P182&lt;10,Q182&lt;23)</f>
        <v/>
      </c>
      <c r="AB182">
        <f>OR((C182+D182)&lt;66,(E182+F182)&lt;66,G182&lt;33,(H182+I182)&lt;66,Y182,Z182,AA182,R182&lt;8.25)</f>
        <v/>
      </c>
      <c r="AC182">
        <f>IF(C182+D182&lt;66,0,IF((C182+D182)/2&gt;=80,5,IF((C182+D182)/2&gt;=70,4,IF((C182+D182)/2&gt;=60,3.5,IF((C182+D182)/2&gt;=50,3,IF((C182+D182)/2&gt;=40,2,IF((C182+D182)/2&gt;=33,1,0)))))))</f>
        <v/>
      </c>
      <c r="AD182">
        <f>IF(E182+F182&lt;66,0,IF((E182+F182)/2&gt;=80,5,IF((E182+F182)/2&gt;=70,4,IF((E182+F182)/2&gt;=60,3.5,IF((E182+F182)/2&gt;=50,3,IF((E182+F182)/2&gt;=40,2,IF((E182+F182)/2&gt;=33,1,0)))))))</f>
        <v/>
      </c>
      <c r="AE182">
        <f>IF(G182&lt;33,0,IF(G182&gt;=80,5,IF(G182&gt;=70,4,IF(G182&gt;=60,3.5,IF(G182&gt;=50,3,IF(G182&gt;=40,2,IF(G182&gt;=33,1,0)))))))</f>
        <v/>
      </c>
      <c r="AF182">
        <f>IF(H182+I182&lt;66,0,IF((H182+I182)/2&gt;=80,5,IF((H182+I182)/2&gt;=70,4,IF((H182+I182)/2&gt;=60,3.5,IF((H182+I182)/2&gt;=50,3,IF((H182+I182)/2&gt;=40,2,IF((H182+I182)/2&gt;=33,1,0)))))))</f>
        <v/>
      </c>
      <c r="AG182">
        <f>IF(Y182,0,IF((J182+K182+L182+M182)/2&gt;=80,5,IF((J182+K182+L182+M182)/2&gt;=70,4,IF((J182+K182+L182+M182)/2&gt;=60,3.5,IF((J182+K182+L182+M182)/2&gt;=50,3,IF((J182+K182+L182+M182)/2&gt;=40,2,IF((J182+K182+L182+M182)/2&gt;=33,1,0)))))))</f>
        <v/>
      </c>
      <c r="AH182">
        <f>IF(Z182,0,IF(N182+O182&gt;=80,5,IF(N182+O182&gt;=70,4,IF(N182+O182&gt;=60,3.5,IF(N182+O182&gt;=50,3,IF(N182+O182&gt;=40,2,IF(N182+O182&gt;=33,1,0)))))))</f>
        <v/>
      </c>
      <c r="AI182">
        <f>IF(AA182,0,IF(P182+Q182&gt;=80,5,IF(P182+Q182&gt;=70,4,IF(P182+Q182&gt;=60,3.5,IF(P182+Q182&gt;=50,3,IF(P182+Q182&gt;=40,2,IF(P182+Q182&gt;=33,1,0)))))))</f>
        <v/>
      </c>
      <c r="AJ182">
        <f>IF(R182&lt;8.25,0,IF(R182*2&gt;=80,5,IF(R182*2&gt;=70,4,IF(R182*2&gt;=60,3.5,IF(R182*2&gt;=50,3,IF(R182*2&gt;=40,2,IF(R182*2&gt;=33,1,0)))))))</f>
        <v/>
      </c>
      <c r="AK182">
        <f>IF(S182&lt;33,0,IF(S182&gt;=80,5,IF(S182&gt;=70,4,IF(S182&gt;=60,3.5,IF(S182&gt;=50,3,IF(S182&gt;=40,2,IF(S182&gt;=33,1,0)))))))</f>
        <v/>
      </c>
      <c r="AL182">
        <f>(AC182+AD182+AE182+AF182+AG182+AH182+AI182+AJ182)/8</f>
        <v/>
      </c>
      <c r="AM182">
        <f>IF(AK182&gt;=2,(AK182-2)/8,0)</f>
        <v/>
      </c>
    </row>
    <row r="183">
      <c r="T183">
        <f>SUM(C183:R183)</f>
        <v/>
      </c>
      <c r="U183" s="6">
        <f>ROUND(T183/11.5,2)</f>
        <v/>
      </c>
      <c r="V183" s="7">
        <f>IF(B183="","",IF(AB183,0,ROUND(AL183,2)))</f>
        <v/>
      </c>
      <c r="W183" s="7">
        <f>IF(B183="","",IF(AB183,0,MIN(5,ROUND(AL183+AM183,2))))</f>
        <v/>
      </c>
      <c r="X183" s="8">
        <f>IF(B183="","",IF(W183&gt;=5,"A+",IF(W183&gt;=4,"A",IF(W183&gt;=3.5,"A-",IF(W183&gt;=3,"B",IF(W183&gt;=2,"C",IF(W183&gt;=1,"D","F")))))))</f>
        <v/>
      </c>
      <c r="Y183">
        <f>NOT(OR(AND(J183&gt;=10,K183&gt;=23,L183&gt;=10,M183&gt;=23),AND(J183+L183&gt;=20,K183+M183&gt;=46)))</f>
        <v/>
      </c>
      <c r="Z183">
        <f>OR(N183&lt;10,O183&lt;23)</f>
        <v/>
      </c>
      <c r="AA183">
        <f>OR(P183&lt;10,Q183&lt;23)</f>
        <v/>
      </c>
      <c r="AB183">
        <f>OR((C183+D183)&lt;66,(E183+F183)&lt;66,G183&lt;33,(H183+I183)&lt;66,Y183,Z183,AA183,R183&lt;8.25)</f>
        <v/>
      </c>
      <c r="AC183">
        <f>IF(C183+D183&lt;66,0,IF((C183+D183)/2&gt;=80,5,IF((C183+D183)/2&gt;=70,4,IF((C183+D183)/2&gt;=60,3.5,IF((C183+D183)/2&gt;=50,3,IF((C183+D183)/2&gt;=40,2,IF((C183+D183)/2&gt;=33,1,0)))))))</f>
        <v/>
      </c>
      <c r="AD183">
        <f>IF(E183+F183&lt;66,0,IF((E183+F183)/2&gt;=80,5,IF((E183+F183)/2&gt;=70,4,IF((E183+F183)/2&gt;=60,3.5,IF((E183+F183)/2&gt;=50,3,IF((E183+F183)/2&gt;=40,2,IF((E183+F183)/2&gt;=33,1,0)))))))</f>
        <v/>
      </c>
      <c r="AE183">
        <f>IF(G183&lt;33,0,IF(G183&gt;=80,5,IF(G183&gt;=70,4,IF(G183&gt;=60,3.5,IF(G183&gt;=50,3,IF(G183&gt;=40,2,IF(G183&gt;=33,1,0)))))))</f>
        <v/>
      </c>
      <c r="AF183">
        <f>IF(H183+I183&lt;66,0,IF((H183+I183)/2&gt;=80,5,IF((H183+I183)/2&gt;=70,4,IF((H183+I183)/2&gt;=60,3.5,IF((H183+I183)/2&gt;=50,3,IF((H183+I183)/2&gt;=40,2,IF((H183+I183)/2&gt;=33,1,0)))))))</f>
        <v/>
      </c>
      <c r="AG183">
        <f>IF(Y183,0,IF((J183+K183+L183+M183)/2&gt;=80,5,IF((J183+K183+L183+M183)/2&gt;=70,4,IF((J183+K183+L183+M183)/2&gt;=60,3.5,IF((J183+K183+L183+M183)/2&gt;=50,3,IF((J183+K183+L183+M183)/2&gt;=40,2,IF((J183+K183+L183+M183)/2&gt;=33,1,0)))))))</f>
        <v/>
      </c>
      <c r="AH183">
        <f>IF(Z183,0,IF(N183+O183&gt;=80,5,IF(N183+O183&gt;=70,4,IF(N183+O183&gt;=60,3.5,IF(N183+O183&gt;=50,3,IF(N183+O183&gt;=40,2,IF(N183+O183&gt;=33,1,0)))))))</f>
        <v/>
      </c>
      <c r="AI183">
        <f>IF(AA183,0,IF(P183+Q183&gt;=80,5,IF(P183+Q183&gt;=70,4,IF(P183+Q183&gt;=60,3.5,IF(P183+Q183&gt;=50,3,IF(P183+Q183&gt;=40,2,IF(P183+Q183&gt;=33,1,0)))))))</f>
        <v/>
      </c>
      <c r="AJ183">
        <f>IF(R183&lt;8.25,0,IF(R183*2&gt;=80,5,IF(R183*2&gt;=70,4,IF(R183*2&gt;=60,3.5,IF(R183*2&gt;=50,3,IF(R183*2&gt;=40,2,IF(R183*2&gt;=33,1,0)))))))</f>
        <v/>
      </c>
      <c r="AK183">
        <f>IF(S183&lt;33,0,IF(S183&gt;=80,5,IF(S183&gt;=70,4,IF(S183&gt;=60,3.5,IF(S183&gt;=50,3,IF(S183&gt;=40,2,IF(S183&gt;=33,1,0)))))))</f>
        <v/>
      </c>
      <c r="AL183">
        <f>(AC183+AD183+AE183+AF183+AG183+AH183+AI183+AJ183)/8</f>
        <v/>
      </c>
      <c r="AM183">
        <f>IF(AK183&gt;=2,(AK183-2)/8,0)</f>
        <v/>
      </c>
    </row>
    <row r="184">
      <c r="T184">
        <f>SUM(C184:R184)</f>
        <v/>
      </c>
      <c r="U184" s="6">
        <f>ROUND(T184/11.5,2)</f>
        <v/>
      </c>
      <c r="V184" s="7">
        <f>IF(B184="","",IF(AB184,0,ROUND(AL184,2)))</f>
        <v/>
      </c>
      <c r="W184" s="7">
        <f>IF(B184="","",IF(AB184,0,MIN(5,ROUND(AL184+AM184,2))))</f>
        <v/>
      </c>
      <c r="X184" s="8">
        <f>IF(B184="","",IF(W184&gt;=5,"A+",IF(W184&gt;=4,"A",IF(W184&gt;=3.5,"A-",IF(W184&gt;=3,"B",IF(W184&gt;=2,"C",IF(W184&gt;=1,"D","F")))))))</f>
        <v/>
      </c>
      <c r="Y184">
        <f>NOT(OR(AND(J184&gt;=10,K184&gt;=23,L184&gt;=10,M184&gt;=23),AND(J184+L184&gt;=20,K184+M184&gt;=46)))</f>
        <v/>
      </c>
      <c r="Z184">
        <f>OR(N184&lt;10,O184&lt;23)</f>
        <v/>
      </c>
      <c r="AA184">
        <f>OR(P184&lt;10,Q184&lt;23)</f>
        <v/>
      </c>
      <c r="AB184">
        <f>OR((C184+D184)&lt;66,(E184+F184)&lt;66,G184&lt;33,(H184+I184)&lt;66,Y184,Z184,AA184,R184&lt;8.25)</f>
        <v/>
      </c>
      <c r="AC184">
        <f>IF(C184+D184&lt;66,0,IF((C184+D184)/2&gt;=80,5,IF((C184+D184)/2&gt;=70,4,IF((C184+D184)/2&gt;=60,3.5,IF((C184+D184)/2&gt;=50,3,IF((C184+D184)/2&gt;=40,2,IF((C184+D184)/2&gt;=33,1,0)))))))</f>
        <v/>
      </c>
      <c r="AD184">
        <f>IF(E184+F184&lt;66,0,IF((E184+F184)/2&gt;=80,5,IF((E184+F184)/2&gt;=70,4,IF((E184+F184)/2&gt;=60,3.5,IF((E184+F184)/2&gt;=50,3,IF((E184+F184)/2&gt;=40,2,IF((E184+F184)/2&gt;=33,1,0)))))))</f>
        <v/>
      </c>
      <c r="AE184">
        <f>IF(G184&lt;33,0,IF(G184&gt;=80,5,IF(G184&gt;=70,4,IF(G184&gt;=60,3.5,IF(G184&gt;=50,3,IF(G184&gt;=40,2,IF(G184&gt;=33,1,0)))))))</f>
        <v/>
      </c>
      <c r="AF184">
        <f>IF(H184+I184&lt;66,0,IF((H184+I184)/2&gt;=80,5,IF((H184+I184)/2&gt;=70,4,IF((H184+I184)/2&gt;=60,3.5,IF((H184+I184)/2&gt;=50,3,IF((H184+I184)/2&gt;=40,2,IF((H184+I184)/2&gt;=33,1,0)))))))</f>
        <v/>
      </c>
      <c r="AG184">
        <f>IF(Y184,0,IF((J184+K184+L184+M184)/2&gt;=80,5,IF((J184+K184+L184+M184)/2&gt;=70,4,IF((J184+K184+L184+M184)/2&gt;=60,3.5,IF((J184+K184+L184+M184)/2&gt;=50,3,IF((J184+K184+L184+M184)/2&gt;=40,2,IF((J184+K184+L184+M184)/2&gt;=33,1,0)))))))</f>
        <v/>
      </c>
      <c r="AH184">
        <f>IF(Z184,0,IF(N184+O184&gt;=80,5,IF(N184+O184&gt;=70,4,IF(N184+O184&gt;=60,3.5,IF(N184+O184&gt;=50,3,IF(N184+O184&gt;=40,2,IF(N184+O184&gt;=33,1,0)))))))</f>
        <v/>
      </c>
      <c r="AI184">
        <f>IF(AA184,0,IF(P184+Q184&gt;=80,5,IF(P184+Q184&gt;=70,4,IF(P184+Q184&gt;=60,3.5,IF(P184+Q184&gt;=50,3,IF(P184+Q184&gt;=40,2,IF(P184+Q184&gt;=33,1,0)))))))</f>
        <v/>
      </c>
      <c r="AJ184">
        <f>IF(R184&lt;8.25,0,IF(R184*2&gt;=80,5,IF(R184*2&gt;=70,4,IF(R184*2&gt;=60,3.5,IF(R184*2&gt;=50,3,IF(R184*2&gt;=40,2,IF(R184*2&gt;=33,1,0)))))))</f>
        <v/>
      </c>
      <c r="AK184">
        <f>IF(S184&lt;33,0,IF(S184&gt;=80,5,IF(S184&gt;=70,4,IF(S184&gt;=60,3.5,IF(S184&gt;=50,3,IF(S184&gt;=40,2,IF(S184&gt;=33,1,0)))))))</f>
        <v/>
      </c>
      <c r="AL184">
        <f>(AC184+AD184+AE184+AF184+AG184+AH184+AI184+AJ184)/8</f>
        <v/>
      </c>
      <c r="AM184">
        <f>IF(AK184&gt;=2,(AK184-2)/8,0)</f>
        <v/>
      </c>
    </row>
    <row r="185">
      <c r="T185">
        <f>SUM(C185:R185)</f>
        <v/>
      </c>
      <c r="U185" s="6">
        <f>ROUND(T185/11.5,2)</f>
        <v/>
      </c>
      <c r="V185" s="7">
        <f>IF(B185="","",IF(AB185,0,ROUND(AL185,2)))</f>
        <v/>
      </c>
      <c r="W185" s="7">
        <f>IF(B185="","",IF(AB185,0,MIN(5,ROUND(AL185+AM185,2))))</f>
        <v/>
      </c>
      <c r="X185" s="8">
        <f>IF(B185="","",IF(W185&gt;=5,"A+",IF(W185&gt;=4,"A",IF(W185&gt;=3.5,"A-",IF(W185&gt;=3,"B",IF(W185&gt;=2,"C",IF(W185&gt;=1,"D","F")))))))</f>
        <v/>
      </c>
      <c r="Y185">
        <f>NOT(OR(AND(J185&gt;=10,K185&gt;=23,L185&gt;=10,M185&gt;=23),AND(J185+L185&gt;=20,K185+M185&gt;=46)))</f>
        <v/>
      </c>
      <c r="Z185">
        <f>OR(N185&lt;10,O185&lt;23)</f>
        <v/>
      </c>
      <c r="AA185">
        <f>OR(P185&lt;10,Q185&lt;23)</f>
        <v/>
      </c>
      <c r="AB185">
        <f>OR((C185+D185)&lt;66,(E185+F185)&lt;66,G185&lt;33,(H185+I185)&lt;66,Y185,Z185,AA185,R185&lt;8.25)</f>
        <v/>
      </c>
      <c r="AC185">
        <f>IF(C185+D185&lt;66,0,IF((C185+D185)/2&gt;=80,5,IF((C185+D185)/2&gt;=70,4,IF((C185+D185)/2&gt;=60,3.5,IF((C185+D185)/2&gt;=50,3,IF((C185+D185)/2&gt;=40,2,IF((C185+D185)/2&gt;=33,1,0)))))))</f>
        <v/>
      </c>
      <c r="AD185">
        <f>IF(E185+F185&lt;66,0,IF((E185+F185)/2&gt;=80,5,IF((E185+F185)/2&gt;=70,4,IF((E185+F185)/2&gt;=60,3.5,IF((E185+F185)/2&gt;=50,3,IF((E185+F185)/2&gt;=40,2,IF((E185+F185)/2&gt;=33,1,0)))))))</f>
        <v/>
      </c>
      <c r="AE185">
        <f>IF(G185&lt;33,0,IF(G185&gt;=80,5,IF(G185&gt;=70,4,IF(G185&gt;=60,3.5,IF(G185&gt;=50,3,IF(G185&gt;=40,2,IF(G185&gt;=33,1,0)))))))</f>
        <v/>
      </c>
      <c r="AF185">
        <f>IF(H185+I185&lt;66,0,IF((H185+I185)/2&gt;=80,5,IF((H185+I185)/2&gt;=70,4,IF((H185+I185)/2&gt;=60,3.5,IF((H185+I185)/2&gt;=50,3,IF((H185+I185)/2&gt;=40,2,IF((H185+I185)/2&gt;=33,1,0)))))))</f>
        <v/>
      </c>
      <c r="AG185">
        <f>IF(Y185,0,IF((J185+K185+L185+M185)/2&gt;=80,5,IF((J185+K185+L185+M185)/2&gt;=70,4,IF((J185+K185+L185+M185)/2&gt;=60,3.5,IF((J185+K185+L185+M185)/2&gt;=50,3,IF((J185+K185+L185+M185)/2&gt;=40,2,IF((J185+K185+L185+M185)/2&gt;=33,1,0)))))))</f>
        <v/>
      </c>
      <c r="AH185">
        <f>IF(Z185,0,IF(N185+O185&gt;=80,5,IF(N185+O185&gt;=70,4,IF(N185+O185&gt;=60,3.5,IF(N185+O185&gt;=50,3,IF(N185+O185&gt;=40,2,IF(N185+O185&gt;=33,1,0)))))))</f>
        <v/>
      </c>
      <c r="AI185">
        <f>IF(AA185,0,IF(P185+Q185&gt;=80,5,IF(P185+Q185&gt;=70,4,IF(P185+Q185&gt;=60,3.5,IF(P185+Q185&gt;=50,3,IF(P185+Q185&gt;=40,2,IF(P185+Q185&gt;=33,1,0)))))))</f>
        <v/>
      </c>
      <c r="AJ185">
        <f>IF(R185&lt;8.25,0,IF(R185*2&gt;=80,5,IF(R185*2&gt;=70,4,IF(R185*2&gt;=60,3.5,IF(R185*2&gt;=50,3,IF(R185*2&gt;=40,2,IF(R185*2&gt;=33,1,0)))))))</f>
        <v/>
      </c>
      <c r="AK185">
        <f>IF(S185&lt;33,0,IF(S185&gt;=80,5,IF(S185&gt;=70,4,IF(S185&gt;=60,3.5,IF(S185&gt;=50,3,IF(S185&gt;=40,2,IF(S185&gt;=33,1,0)))))))</f>
        <v/>
      </c>
      <c r="AL185">
        <f>(AC185+AD185+AE185+AF185+AG185+AH185+AI185+AJ185)/8</f>
        <v/>
      </c>
      <c r="AM185">
        <f>IF(AK185&gt;=2,(AK185-2)/8,0)</f>
        <v/>
      </c>
    </row>
    <row r="186">
      <c r="T186">
        <f>SUM(C186:R186)</f>
        <v/>
      </c>
      <c r="U186" s="6">
        <f>ROUND(T186/11.5,2)</f>
        <v/>
      </c>
      <c r="V186" s="7">
        <f>IF(B186="","",IF(AB186,0,ROUND(AL186,2)))</f>
        <v/>
      </c>
      <c r="W186" s="7">
        <f>IF(B186="","",IF(AB186,0,MIN(5,ROUND(AL186+AM186,2))))</f>
        <v/>
      </c>
      <c r="X186" s="8">
        <f>IF(B186="","",IF(W186&gt;=5,"A+",IF(W186&gt;=4,"A",IF(W186&gt;=3.5,"A-",IF(W186&gt;=3,"B",IF(W186&gt;=2,"C",IF(W186&gt;=1,"D","F")))))))</f>
        <v/>
      </c>
      <c r="Y186">
        <f>NOT(OR(AND(J186&gt;=10,K186&gt;=23,L186&gt;=10,M186&gt;=23),AND(J186+L186&gt;=20,K186+M186&gt;=46)))</f>
        <v/>
      </c>
      <c r="Z186">
        <f>OR(N186&lt;10,O186&lt;23)</f>
        <v/>
      </c>
      <c r="AA186">
        <f>OR(P186&lt;10,Q186&lt;23)</f>
        <v/>
      </c>
      <c r="AB186">
        <f>OR((C186+D186)&lt;66,(E186+F186)&lt;66,G186&lt;33,(H186+I186)&lt;66,Y186,Z186,AA186,R186&lt;8.25)</f>
        <v/>
      </c>
      <c r="AC186">
        <f>IF(C186+D186&lt;66,0,IF((C186+D186)/2&gt;=80,5,IF((C186+D186)/2&gt;=70,4,IF((C186+D186)/2&gt;=60,3.5,IF((C186+D186)/2&gt;=50,3,IF((C186+D186)/2&gt;=40,2,IF((C186+D186)/2&gt;=33,1,0)))))))</f>
        <v/>
      </c>
      <c r="AD186">
        <f>IF(E186+F186&lt;66,0,IF((E186+F186)/2&gt;=80,5,IF((E186+F186)/2&gt;=70,4,IF((E186+F186)/2&gt;=60,3.5,IF((E186+F186)/2&gt;=50,3,IF((E186+F186)/2&gt;=40,2,IF((E186+F186)/2&gt;=33,1,0)))))))</f>
        <v/>
      </c>
      <c r="AE186">
        <f>IF(G186&lt;33,0,IF(G186&gt;=80,5,IF(G186&gt;=70,4,IF(G186&gt;=60,3.5,IF(G186&gt;=50,3,IF(G186&gt;=40,2,IF(G186&gt;=33,1,0)))))))</f>
        <v/>
      </c>
      <c r="AF186">
        <f>IF(H186+I186&lt;66,0,IF((H186+I186)/2&gt;=80,5,IF((H186+I186)/2&gt;=70,4,IF((H186+I186)/2&gt;=60,3.5,IF((H186+I186)/2&gt;=50,3,IF((H186+I186)/2&gt;=40,2,IF((H186+I186)/2&gt;=33,1,0)))))))</f>
        <v/>
      </c>
      <c r="AG186">
        <f>IF(Y186,0,IF((J186+K186+L186+M186)/2&gt;=80,5,IF((J186+K186+L186+M186)/2&gt;=70,4,IF((J186+K186+L186+M186)/2&gt;=60,3.5,IF((J186+K186+L186+M186)/2&gt;=50,3,IF((J186+K186+L186+M186)/2&gt;=40,2,IF((J186+K186+L186+M186)/2&gt;=33,1,0)))))))</f>
        <v/>
      </c>
      <c r="AH186">
        <f>IF(Z186,0,IF(N186+O186&gt;=80,5,IF(N186+O186&gt;=70,4,IF(N186+O186&gt;=60,3.5,IF(N186+O186&gt;=50,3,IF(N186+O186&gt;=40,2,IF(N186+O186&gt;=33,1,0)))))))</f>
        <v/>
      </c>
      <c r="AI186">
        <f>IF(AA186,0,IF(P186+Q186&gt;=80,5,IF(P186+Q186&gt;=70,4,IF(P186+Q186&gt;=60,3.5,IF(P186+Q186&gt;=50,3,IF(P186+Q186&gt;=40,2,IF(P186+Q186&gt;=33,1,0)))))))</f>
        <v/>
      </c>
      <c r="AJ186">
        <f>IF(R186&lt;8.25,0,IF(R186*2&gt;=80,5,IF(R186*2&gt;=70,4,IF(R186*2&gt;=60,3.5,IF(R186*2&gt;=50,3,IF(R186*2&gt;=40,2,IF(R186*2&gt;=33,1,0)))))))</f>
        <v/>
      </c>
      <c r="AK186">
        <f>IF(S186&lt;33,0,IF(S186&gt;=80,5,IF(S186&gt;=70,4,IF(S186&gt;=60,3.5,IF(S186&gt;=50,3,IF(S186&gt;=40,2,IF(S186&gt;=33,1,0)))))))</f>
        <v/>
      </c>
      <c r="AL186">
        <f>(AC186+AD186+AE186+AF186+AG186+AH186+AI186+AJ186)/8</f>
        <v/>
      </c>
      <c r="AM186">
        <f>IF(AK186&gt;=2,(AK186-2)/8,0)</f>
        <v/>
      </c>
    </row>
    <row r="187">
      <c r="T187">
        <f>SUM(C187:R187)</f>
        <v/>
      </c>
      <c r="U187" s="6">
        <f>ROUND(T187/11.5,2)</f>
        <v/>
      </c>
      <c r="V187" s="7">
        <f>IF(B187="","",IF(AB187,0,ROUND(AL187,2)))</f>
        <v/>
      </c>
      <c r="W187" s="7">
        <f>IF(B187="","",IF(AB187,0,MIN(5,ROUND(AL187+AM187,2))))</f>
        <v/>
      </c>
      <c r="X187" s="8">
        <f>IF(B187="","",IF(W187&gt;=5,"A+",IF(W187&gt;=4,"A",IF(W187&gt;=3.5,"A-",IF(W187&gt;=3,"B",IF(W187&gt;=2,"C",IF(W187&gt;=1,"D","F")))))))</f>
        <v/>
      </c>
      <c r="Y187">
        <f>NOT(OR(AND(J187&gt;=10,K187&gt;=23,L187&gt;=10,M187&gt;=23),AND(J187+L187&gt;=20,K187+M187&gt;=46)))</f>
        <v/>
      </c>
      <c r="Z187">
        <f>OR(N187&lt;10,O187&lt;23)</f>
        <v/>
      </c>
      <c r="AA187">
        <f>OR(P187&lt;10,Q187&lt;23)</f>
        <v/>
      </c>
      <c r="AB187">
        <f>OR((C187+D187)&lt;66,(E187+F187)&lt;66,G187&lt;33,(H187+I187)&lt;66,Y187,Z187,AA187,R187&lt;8.25)</f>
        <v/>
      </c>
      <c r="AC187">
        <f>IF(C187+D187&lt;66,0,IF((C187+D187)/2&gt;=80,5,IF((C187+D187)/2&gt;=70,4,IF((C187+D187)/2&gt;=60,3.5,IF((C187+D187)/2&gt;=50,3,IF((C187+D187)/2&gt;=40,2,IF((C187+D187)/2&gt;=33,1,0)))))))</f>
        <v/>
      </c>
      <c r="AD187">
        <f>IF(E187+F187&lt;66,0,IF((E187+F187)/2&gt;=80,5,IF((E187+F187)/2&gt;=70,4,IF((E187+F187)/2&gt;=60,3.5,IF((E187+F187)/2&gt;=50,3,IF((E187+F187)/2&gt;=40,2,IF((E187+F187)/2&gt;=33,1,0)))))))</f>
        <v/>
      </c>
      <c r="AE187">
        <f>IF(G187&lt;33,0,IF(G187&gt;=80,5,IF(G187&gt;=70,4,IF(G187&gt;=60,3.5,IF(G187&gt;=50,3,IF(G187&gt;=40,2,IF(G187&gt;=33,1,0)))))))</f>
        <v/>
      </c>
      <c r="AF187">
        <f>IF(H187+I187&lt;66,0,IF((H187+I187)/2&gt;=80,5,IF((H187+I187)/2&gt;=70,4,IF((H187+I187)/2&gt;=60,3.5,IF((H187+I187)/2&gt;=50,3,IF((H187+I187)/2&gt;=40,2,IF((H187+I187)/2&gt;=33,1,0)))))))</f>
        <v/>
      </c>
      <c r="AG187">
        <f>IF(Y187,0,IF((J187+K187+L187+M187)/2&gt;=80,5,IF((J187+K187+L187+M187)/2&gt;=70,4,IF((J187+K187+L187+M187)/2&gt;=60,3.5,IF((J187+K187+L187+M187)/2&gt;=50,3,IF((J187+K187+L187+M187)/2&gt;=40,2,IF((J187+K187+L187+M187)/2&gt;=33,1,0)))))))</f>
        <v/>
      </c>
      <c r="AH187">
        <f>IF(Z187,0,IF(N187+O187&gt;=80,5,IF(N187+O187&gt;=70,4,IF(N187+O187&gt;=60,3.5,IF(N187+O187&gt;=50,3,IF(N187+O187&gt;=40,2,IF(N187+O187&gt;=33,1,0)))))))</f>
        <v/>
      </c>
      <c r="AI187">
        <f>IF(AA187,0,IF(P187+Q187&gt;=80,5,IF(P187+Q187&gt;=70,4,IF(P187+Q187&gt;=60,3.5,IF(P187+Q187&gt;=50,3,IF(P187+Q187&gt;=40,2,IF(P187+Q187&gt;=33,1,0)))))))</f>
        <v/>
      </c>
      <c r="AJ187">
        <f>IF(R187&lt;8.25,0,IF(R187*2&gt;=80,5,IF(R187*2&gt;=70,4,IF(R187*2&gt;=60,3.5,IF(R187*2&gt;=50,3,IF(R187*2&gt;=40,2,IF(R187*2&gt;=33,1,0)))))))</f>
        <v/>
      </c>
      <c r="AK187">
        <f>IF(S187&lt;33,0,IF(S187&gt;=80,5,IF(S187&gt;=70,4,IF(S187&gt;=60,3.5,IF(S187&gt;=50,3,IF(S187&gt;=40,2,IF(S187&gt;=33,1,0)))))))</f>
        <v/>
      </c>
      <c r="AL187">
        <f>(AC187+AD187+AE187+AF187+AG187+AH187+AI187+AJ187)/8</f>
        <v/>
      </c>
      <c r="AM187">
        <f>IF(AK187&gt;=2,(AK187-2)/8,0)</f>
        <v/>
      </c>
    </row>
    <row r="188">
      <c r="T188">
        <f>SUM(C188:R188)</f>
        <v/>
      </c>
      <c r="U188" s="6">
        <f>ROUND(T188/11.5,2)</f>
        <v/>
      </c>
      <c r="V188" s="7">
        <f>IF(B188="","",IF(AB188,0,ROUND(AL188,2)))</f>
        <v/>
      </c>
      <c r="W188" s="7">
        <f>IF(B188="","",IF(AB188,0,MIN(5,ROUND(AL188+AM188,2))))</f>
        <v/>
      </c>
      <c r="X188" s="8">
        <f>IF(B188="","",IF(W188&gt;=5,"A+",IF(W188&gt;=4,"A",IF(W188&gt;=3.5,"A-",IF(W188&gt;=3,"B",IF(W188&gt;=2,"C",IF(W188&gt;=1,"D","F")))))))</f>
        <v/>
      </c>
      <c r="Y188">
        <f>NOT(OR(AND(J188&gt;=10,K188&gt;=23,L188&gt;=10,M188&gt;=23),AND(J188+L188&gt;=20,K188+M188&gt;=46)))</f>
        <v/>
      </c>
      <c r="Z188">
        <f>OR(N188&lt;10,O188&lt;23)</f>
        <v/>
      </c>
      <c r="AA188">
        <f>OR(P188&lt;10,Q188&lt;23)</f>
        <v/>
      </c>
      <c r="AB188">
        <f>OR((C188+D188)&lt;66,(E188+F188)&lt;66,G188&lt;33,(H188+I188)&lt;66,Y188,Z188,AA188,R188&lt;8.25)</f>
        <v/>
      </c>
      <c r="AC188">
        <f>IF(C188+D188&lt;66,0,IF((C188+D188)/2&gt;=80,5,IF((C188+D188)/2&gt;=70,4,IF((C188+D188)/2&gt;=60,3.5,IF((C188+D188)/2&gt;=50,3,IF((C188+D188)/2&gt;=40,2,IF((C188+D188)/2&gt;=33,1,0)))))))</f>
        <v/>
      </c>
      <c r="AD188">
        <f>IF(E188+F188&lt;66,0,IF((E188+F188)/2&gt;=80,5,IF((E188+F188)/2&gt;=70,4,IF((E188+F188)/2&gt;=60,3.5,IF((E188+F188)/2&gt;=50,3,IF((E188+F188)/2&gt;=40,2,IF((E188+F188)/2&gt;=33,1,0)))))))</f>
        <v/>
      </c>
      <c r="AE188">
        <f>IF(G188&lt;33,0,IF(G188&gt;=80,5,IF(G188&gt;=70,4,IF(G188&gt;=60,3.5,IF(G188&gt;=50,3,IF(G188&gt;=40,2,IF(G188&gt;=33,1,0)))))))</f>
        <v/>
      </c>
      <c r="AF188">
        <f>IF(H188+I188&lt;66,0,IF((H188+I188)/2&gt;=80,5,IF((H188+I188)/2&gt;=70,4,IF((H188+I188)/2&gt;=60,3.5,IF((H188+I188)/2&gt;=50,3,IF((H188+I188)/2&gt;=40,2,IF((H188+I188)/2&gt;=33,1,0)))))))</f>
        <v/>
      </c>
      <c r="AG188">
        <f>IF(Y188,0,IF((J188+K188+L188+M188)/2&gt;=80,5,IF((J188+K188+L188+M188)/2&gt;=70,4,IF((J188+K188+L188+M188)/2&gt;=60,3.5,IF((J188+K188+L188+M188)/2&gt;=50,3,IF((J188+K188+L188+M188)/2&gt;=40,2,IF((J188+K188+L188+M188)/2&gt;=33,1,0)))))))</f>
        <v/>
      </c>
      <c r="AH188">
        <f>IF(Z188,0,IF(N188+O188&gt;=80,5,IF(N188+O188&gt;=70,4,IF(N188+O188&gt;=60,3.5,IF(N188+O188&gt;=50,3,IF(N188+O188&gt;=40,2,IF(N188+O188&gt;=33,1,0)))))))</f>
        <v/>
      </c>
      <c r="AI188">
        <f>IF(AA188,0,IF(P188+Q188&gt;=80,5,IF(P188+Q188&gt;=70,4,IF(P188+Q188&gt;=60,3.5,IF(P188+Q188&gt;=50,3,IF(P188+Q188&gt;=40,2,IF(P188+Q188&gt;=33,1,0)))))))</f>
        <v/>
      </c>
      <c r="AJ188">
        <f>IF(R188&lt;8.25,0,IF(R188*2&gt;=80,5,IF(R188*2&gt;=70,4,IF(R188*2&gt;=60,3.5,IF(R188*2&gt;=50,3,IF(R188*2&gt;=40,2,IF(R188*2&gt;=33,1,0)))))))</f>
        <v/>
      </c>
      <c r="AK188">
        <f>IF(S188&lt;33,0,IF(S188&gt;=80,5,IF(S188&gt;=70,4,IF(S188&gt;=60,3.5,IF(S188&gt;=50,3,IF(S188&gt;=40,2,IF(S188&gt;=33,1,0)))))))</f>
        <v/>
      </c>
      <c r="AL188">
        <f>(AC188+AD188+AE188+AF188+AG188+AH188+AI188+AJ188)/8</f>
        <v/>
      </c>
      <c r="AM188">
        <f>IF(AK188&gt;=2,(AK188-2)/8,0)</f>
        <v/>
      </c>
    </row>
    <row r="189">
      <c r="T189">
        <f>SUM(C189:R189)</f>
        <v/>
      </c>
      <c r="U189" s="6">
        <f>ROUND(T189/11.5,2)</f>
        <v/>
      </c>
      <c r="V189" s="7">
        <f>IF(B189="","",IF(AB189,0,ROUND(AL189,2)))</f>
        <v/>
      </c>
      <c r="W189" s="7">
        <f>IF(B189="","",IF(AB189,0,MIN(5,ROUND(AL189+AM189,2))))</f>
        <v/>
      </c>
      <c r="X189" s="8">
        <f>IF(B189="","",IF(W189&gt;=5,"A+",IF(W189&gt;=4,"A",IF(W189&gt;=3.5,"A-",IF(W189&gt;=3,"B",IF(W189&gt;=2,"C",IF(W189&gt;=1,"D","F")))))))</f>
        <v/>
      </c>
      <c r="Y189">
        <f>NOT(OR(AND(J189&gt;=10,K189&gt;=23,L189&gt;=10,M189&gt;=23),AND(J189+L189&gt;=20,K189+M189&gt;=46)))</f>
        <v/>
      </c>
      <c r="Z189">
        <f>OR(N189&lt;10,O189&lt;23)</f>
        <v/>
      </c>
      <c r="AA189">
        <f>OR(P189&lt;10,Q189&lt;23)</f>
        <v/>
      </c>
      <c r="AB189">
        <f>OR((C189+D189)&lt;66,(E189+F189)&lt;66,G189&lt;33,(H189+I189)&lt;66,Y189,Z189,AA189,R189&lt;8.25)</f>
        <v/>
      </c>
      <c r="AC189">
        <f>IF(C189+D189&lt;66,0,IF((C189+D189)/2&gt;=80,5,IF((C189+D189)/2&gt;=70,4,IF((C189+D189)/2&gt;=60,3.5,IF((C189+D189)/2&gt;=50,3,IF((C189+D189)/2&gt;=40,2,IF((C189+D189)/2&gt;=33,1,0)))))))</f>
        <v/>
      </c>
      <c r="AD189">
        <f>IF(E189+F189&lt;66,0,IF((E189+F189)/2&gt;=80,5,IF((E189+F189)/2&gt;=70,4,IF((E189+F189)/2&gt;=60,3.5,IF((E189+F189)/2&gt;=50,3,IF((E189+F189)/2&gt;=40,2,IF((E189+F189)/2&gt;=33,1,0)))))))</f>
        <v/>
      </c>
      <c r="AE189">
        <f>IF(G189&lt;33,0,IF(G189&gt;=80,5,IF(G189&gt;=70,4,IF(G189&gt;=60,3.5,IF(G189&gt;=50,3,IF(G189&gt;=40,2,IF(G189&gt;=33,1,0)))))))</f>
        <v/>
      </c>
      <c r="AF189">
        <f>IF(H189+I189&lt;66,0,IF((H189+I189)/2&gt;=80,5,IF((H189+I189)/2&gt;=70,4,IF((H189+I189)/2&gt;=60,3.5,IF((H189+I189)/2&gt;=50,3,IF((H189+I189)/2&gt;=40,2,IF((H189+I189)/2&gt;=33,1,0)))))))</f>
        <v/>
      </c>
      <c r="AG189">
        <f>IF(Y189,0,IF((J189+K189+L189+M189)/2&gt;=80,5,IF((J189+K189+L189+M189)/2&gt;=70,4,IF((J189+K189+L189+M189)/2&gt;=60,3.5,IF((J189+K189+L189+M189)/2&gt;=50,3,IF((J189+K189+L189+M189)/2&gt;=40,2,IF((J189+K189+L189+M189)/2&gt;=33,1,0)))))))</f>
        <v/>
      </c>
      <c r="AH189">
        <f>IF(Z189,0,IF(N189+O189&gt;=80,5,IF(N189+O189&gt;=70,4,IF(N189+O189&gt;=60,3.5,IF(N189+O189&gt;=50,3,IF(N189+O189&gt;=40,2,IF(N189+O189&gt;=33,1,0)))))))</f>
        <v/>
      </c>
      <c r="AI189">
        <f>IF(AA189,0,IF(P189+Q189&gt;=80,5,IF(P189+Q189&gt;=70,4,IF(P189+Q189&gt;=60,3.5,IF(P189+Q189&gt;=50,3,IF(P189+Q189&gt;=40,2,IF(P189+Q189&gt;=33,1,0)))))))</f>
        <v/>
      </c>
      <c r="AJ189">
        <f>IF(R189&lt;8.25,0,IF(R189*2&gt;=80,5,IF(R189*2&gt;=70,4,IF(R189*2&gt;=60,3.5,IF(R189*2&gt;=50,3,IF(R189*2&gt;=40,2,IF(R189*2&gt;=33,1,0)))))))</f>
        <v/>
      </c>
      <c r="AK189">
        <f>IF(S189&lt;33,0,IF(S189&gt;=80,5,IF(S189&gt;=70,4,IF(S189&gt;=60,3.5,IF(S189&gt;=50,3,IF(S189&gt;=40,2,IF(S189&gt;=33,1,0)))))))</f>
        <v/>
      </c>
      <c r="AL189">
        <f>(AC189+AD189+AE189+AF189+AG189+AH189+AI189+AJ189)/8</f>
        <v/>
      </c>
      <c r="AM189">
        <f>IF(AK189&gt;=2,(AK189-2)/8,0)</f>
        <v/>
      </c>
    </row>
    <row r="190">
      <c r="T190">
        <f>SUM(C190:R190)</f>
        <v/>
      </c>
      <c r="U190" s="6">
        <f>ROUND(T190/11.5,2)</f>
        <v/>
      </c>
      <c r="V190" s="7">
        <f>IF(B190="","",IF(AB190,0,ROUND(AL190,2)))</f>
        <v/>
      </c>
      <c r="W190" s="7">
        <f>IF(B190="","",IF(AB190,0,MIN(5,ROUND(AL190+AM190,2))))</f>
        <v/>
      </c>
      <c r="X190" s="8">
        <f>IF(B190="","",IF(W190&gt;=5,"A+",IF(W190&gt;=4,"A",IF(W190&gt;=3.5,"A-",IF(W190&gt;=3,"B",IF(W190&gt;=2,"C",IF(W190&gt;=1,"D","F")))))))</f>
        <v/>
      </c>
      <c r="Y190">
        <f>NOT(OR(AND(J190&gt;=10,K190&gt;=23,L190&gt;=10,M190&gt;=23),AND(J190+L190&gt;=20,K190+M190&gt;=46)))</f>
        <v/>
      </c>
      <c r="Z190">
        <f>OR(N190&lt;10,O190&lt;23)</f>
        <v/>
      </c>
      <c r="AA190">
        <f>OR(P190&lt;10,Q190&lt;23)</f>
        <v/>
      </c>
      <c r="AB190">
        <f>OR((C190+D190)&lt;66,(E190+F190)&lt;66,G190&lt;33,(H190+I190)&lt;66,Y190,Z190,AA190,R190&lt;8.25)</f>
        <v/>
      </c>
      <c r="AC190">
        <f>IF(C190+D190&lt;66,0,IF((C190+D190)/2&gt;=80,5,IF((C190+D190)/2&gt;=70,4,IF((C190+D190)/2&gt;=60,3.5,IF((C190+D190)/2&gt;=50,3,IF((C190+D190)/2&gt;=40,2,IF((C190+D190)/2&gt;=33,1,0)))))))</f>
        <v/>
      </c>
      <c r="AD190">
        <f>IF(E190+F190&lt;66,0,IF((E190+F190)/2&gt;=80,5,IF((E190+F190)/2&gt;=70,4,IF((E190+F190)/2&gt;=60,3.5,IF((E190+F190)/2&gt;=50,3,IF((E190+F190)/2&gt;=40,2,IF((E190+F190)/2&gt;=33,1,0)))))))</f>
        <v/>
      </c>
      <c r="AE190">
        <f>IF(G190&lt;33,0,IF(G190&gt;=80,5,IF(G190&gt;=70,4,IF(G190&gt;=60,3.5,IF(G190&gt;=50,3,IF(G190&gt;=40,2,IF(G190&gt;=33,1,0)))))))</f>
        <v/>
      </c>
      <c r="AF190">
        <f>IF(H190+I190&lt;66,0,IF((H190+I190)/2&gt;=80,5,IF((H190+I190)/2&gt;=70,4,IF((H190+I190)/2&gt;=60,3.5,IF((H190+I190)/2&gt;=50,3,IF((H190+I190)/2&gt;=40,2,IF((H190+I190)/2&gt;=33,1,0)))))))</f>
        <v/>
      </c>
      <c r="AG190">
        <f>IF(Y190,0,IF((J190+K190+L190+M190)/2&gt;=80,5,IF((J190+K190+L190+M190)/2&gt;=70,4,IF((J190+K190+L190+M190)/2&gt;=60,3.5,IF((J190+K190+L190+M190)/2&gt;=50,3,IF((J190+K190+L190+M190)/2&gt;=40,2,IF((J190+K190+L190+M190)/2&gt;=33,1,0)))))))</f>
        <v/>
      </c>
      <c r="AH190">
        <f>IF(Z190,0,IF(N190+O190&gt;=80,5,IF(N190+O190&gt;=70,4,IF(N190+O190&gt;=60,3.5,IF(N190+O190&gt;=50,3,IF(N190+O190&gt;=40,2,IF(N190+O190&gt;=33,1,0)))))))</f>
        <v/>
      </c>
      <c r="AI190">
        <f>IF(AA190,0,IF(P190+Q190&gt;=80,5,IF(P190+Q190&gt;=70,4,IF(P190+Q190&gt;=60,3.5,IF(P190+Q190&gt;=50,3,IF(P190+Q190&gt;=40,2,IF(P190+Q190&gt;=33,1,0)))))))</f>
        <v/>
      </c>
      <c r="AJ190">
        <f>IF(R190&lt;8.25,0,IF(R190*2&gt;=80,5,IF(R190*2&gt;=70,4,IF(R190*2&gt;=60,3.5,IF(R190*2&gt;=50,3,IF(R190*2&gt;=40,2,IF(R190*2&gt;=33,1,0)))))))</f>
        <v/>
      </c>
      <c r="AK190">
        <f>IF(S190&lt;33,0,IF(S190&gt;=80,5,IF(S190&gt;=70,4,IF(S190&gt;=60,3.5,IF(S190&gt;=50,3,IF(S190&gt;=40,2,IF(S190&gt;=33,1,0)))))))</f>
        <v/>
      </c>
      <c r="AL190">
        <f>(AC190+AD190+AE190+AF190+AG190+AH190+AI190+AJ190)/8</f>
        <v/>
      </c>
      <c r="AM190">
        <f>IF(AK190&gt;=2,(AK190-2)/8,0)</f>
        <v/>
      </c>
    </row>
    <row r="191">
      <c r="T191">
        <f>SUM(C191:R191)</f>
        <v/>
      </c>
      <c r="U191" s="6">
        <f>ROUND(T191/11.5,2)</f>
        <v/>
      </c>
      <c r="V191" s="7">
        <f>IF(B191="","",IF(AB191,0,ROUND(AL191,2)))</f>
        <v/>
      </c>
      <c r="W191" s="7">
        <f>IF(B191="","",IF(AB191,0,MIN(5,ROUND(AL191+AM191,2))))</f>
        <v/>
      </c>
      <c r="X191" s="8">
        <f>IF(B191="","",IF(W191&gt;=5,"A+",IF(W191&gt;=4,"A",IF(W191&gt;=3.5,"A-",IF(W191&gt;=3,"B",IF(W191&gt;=2,"C",IF(W191&gt;=1,"D","F")))))))</f>
        <v/>
      </c>
      <c r="Y191">
        <f>NOT(OR(AND(J191&gt;=10,K191&gt;=23,L191&gt;=10,M191&gt;=23),AND(J191+L191&gt;=20,K191+M191&gt;=46)))</f>
        <v/>
      </c>
      <c r="Z191">
        <f>OR(N191&lt;10,O191&lt;23)</f>
        <v/>
      </c>
      <c r="AA191">
        <f>OR(P191&lt;10,Q191&lt;23)</f>
        <v/>
      </c>
      <c r="AB191">
        <f>OR((C191+D191)&lt;66,(E191+F191)&lt;66,G191&lt;33,(H191+I191)&lt;66,Y191,Z191,AA191,R191&lt;8.25)</f>
        <v/>
      </c>
      <c r="AC191">
        <f>IF(C191+D191&lt;66,0,IF((C191+D191)/2&gt;=80,5,IF((C191+D191)/2&gt;=70,4,IF((C191+D191)/2&gt;=60,3.5,IF((C191+D191)/2&gt;=50,3,IF((C191+D191)/2&gt;=40,2,IF((C191+D191)/2&gt;=33,1,0)))))))</f>
        <v/>
      </c>
      <c r="AD191">
        <f>IF(E191+F191&lt;66,0,IF((E191+F191)/2&gt;=80,5,IF((E191+F191)/2&gt;=70,4,IF((E191+F191)/2&gt;=60,3.5,IF((E191+F191)/2&gt;=50,3,IF((E191+F191)/2&gt;=40,2,IF((E191+F191)/2&gt;=33,1,0)))))))</f>
        <v/>
      </c>
      <c r="AE191">
        <f>IF(G191&lt;33,0,IF(G191&gt;=80,5,IF(G191&gt;=70,4,IF(G191&gt;=60,3.5,IF(G191&gt;=50,3,IF(G191&gt;=40,2,IF(G191&gt;=33,1,0)))))))</f>
        <v/>
      </c>
      <c r="AF191">
        <f>IF(H191+I191&lt;66,0,IF((H191+I191)/2&gt;=80,5,IF((H191+I191)/2&gt;=70,4,IF((H191+I191)/2&gt;=60,3.5,IF((H191+I191)/2&gt;=50,3,IF((H191+I191)/2&gt;=40,2,IF((H191+I191)/2&gt;=33,1,0)))))))</f>
        <v/>
      </c>
      <c r="AG191">
        <f>IF(Y191,0,IF((J191+K191+L191+M191)/2&gt;=80,5,IF((J191+K191+L191+M191)/2&gt;=70,4,IF((J191+K191+L191+M191)/2&gt;=60,3.5,IF((J191+K191+L191+M191)/2&gt;=50,3,IF((J191+K191+L191+M191)/2&gt;=40,2,IF((J191+K191+L191+M191)/2&gt;=33,1,0)))))))</f>
        <v/>
      </c>
      <c r="AH191">
        <f>IF(Z191,0,IF(N191+O191&gt;=80,5,IF(N191+O191&gt;=70,4,IF(N191+O191&gt;=60,3.5,IF(N191+O191&gt;=50,3,IF(N191+O191&gt;=40,2,IF(N191+O191&gt;=33,1,0)))))))</f>
        <v/>
      </c>
      <c r="AI191">
        <f>IF(AA191,0,IF(P191+Q191&gt;=80,5,IF(P191+Q191&gt;=70,4,IF(P191+Q191&gt;=60,3.5,IF(P191+Q191&gt;=50,3,IF(P191+Q191&gt;=40,2,IF(P191+Q191&gt;=33,1,0)))))))</f>
        <v/>
      </c>
      <c r="AJ191">
        <f>IF(R191&lt;8.25,0,IF(R191*2&gt;=80,5,IF(R191*2&gt;=70,4,IF(R191*2&gt;=60,3.5,IF(R191*2&gt;=50,3,IF(R191*2&gt;=40,2,IF(R191*2&gt;=33,1,0)))))))</f>
        <v/>
      </c>
      <c r="AK191">
        <f>IF(S191&lt;33,0,IF(S191&gt;=80,5,IF(S191&gt;=70,4,IF(S191&gt;=60,3.5,IF(S191&gt;=50,3,IF(S191&gt;=40,2,IF(S191&gt;=33,1,0)))))))</f>
        <v/>
      </c>
      <c r="AL191">
        <f>(AC191+AD191+AE191+AF191+AG191+AH191+AI191+AJ191)/8</f>
        <v/>
      </c>
      <c r="AM191">
        <f>IF(AK191&gt;=2,(AK191-2)/8,0)</f>
        <v/>
      </c>
    </row>
    <row r="192">
      <c r="T192">
        <f>SUM(C192:R192)</f>
        <v/>
      </c>
      <c r="U192" s="6">
        <f>ROUND(T192/11.5,2)</f>
        <v/>
      </c>
      <c r="V192" s="7">
        <f>IF(B192="","",IF(AB192,0,ROUND(AL192,2)))</f>
        <v/>
      </c>
      <c r="W192" s="7">
        <f>IF(B192="","",IF(AB192,0,MIN(5,ROUND(AL192+AM192,2))))</f>
        <v/>
      </c>
      <c r="X192" s="8">
        <f>IF(B192="","",IF(W192&gt;=5,"A+",IF(W192&gt;=4,"A",IF(W192&gt;=3.5,"A-",IF(W192&gt;=3,"B",IF(W192&gt;=2,"C",IF(W192&gt;=1,"D","F")))))))</f>
        <v/>
      </c>
      <c r="Y192">
        <f>NOT(OR(AND(J192&gt;=10,K192&gt;=23,L192&gt;=10,M192&gt;=23),AND(J192+L192&gt;=20,K192+M192&gt;=46)))</f>
        <v/>
      </c>
      <c r="Z192">
        <f>OR(N192&lt;10,O192&lt;23)</f>
        <v/>
      </c>
      <c r="AA192">
        <f>OR(P192&lt;10,Q192&lt;23)</f>
        <v/>
      </c>
      <c r="AB192">
        <f>OR((C192+D192)&lt;66,(E192+F192)&lt;66,G192&lt;33,(H192+I192)&lt;66,Y192,Z192,AA192,R192&lt;8.25)</f>
        <v/>
      </c>
      <c r="AC192">
        <f>IF(C192+D192&lt;66,0,IF((C192+D192)/2&gt;=80,5,IF((C192+D192)/2&gt;=70,4,IF((C192+D192)/2&gt;=60,3.5,IF((C192+D192)/2&gt;=50,3,IF((C192+D192)/2&gt;=40,2,IF((C192+D192)/2&gt;=33,1,0)))))))</f>
        <v/>
      </c>
      <c r="AD192">
        <f>IF(E192+F192&lt;66,0,IF((E192+F192)/2&gt;=80,5,IF((E192+F192)/2&gt;=70,4,IF((E192+F192)/2&gt;=60,3.5,IF((E192+F192)/2&gt;=50,3,IF((E192+F192)/2&gt;=40,2,IF((E192+F192)/2&gt;=33,1,0)))))))</f>
        <v/>
      </c>
      <c r="AE192">
        <f>IF(G192&lt;33,0,IF(G192&gt;=80,5,IF(G192&gt;=70,4,IF(G192&gt;=60,3.5,IF(G192&gt;=50,3,IF(G192&gt;=40,2,IF(G192&gt;=33,1,0)))))))</f>
        <v/>
      </c>
      <c r="AF192">
        <f>IF(H192+I192&lt;66,0,IF((H192+I192)/2&gt;=80,5,IF((H192+I192)/2&gt;=70,4,IF((H192+I192)/2&gt;=60,3.5,IF((H192+I192)/2&gt;=50,3,IF((H192+I192)/2&gt;=40,2,IF((H192+I192)/2&gt;=33,1,0)))))))</f>
        <v/>
      </c>
      <c r="AG192">
        <f>IF(Y192,0,IF((J192+K192+L192+M192)/2&gt;=80,5,IF((J192+K192+L192+M192)/2&gt;=70,4,IF((J192+K192+L192+M192)/2&gt;=60,3.5,IF((J192+K192+L192+M192)/2&gt;=50,3,IF((J192+K192+L192+M192)/2&gt;=40,2,IF((J192+K192+L192+M192)/2&gt;=33,1,0)))))))</f>
        <v/>
      </c>
      <c r="AH192">
        <f>IF(Z192,0,IF(N192+O192&gt;=80,5,IF(N192+O192&gt;=70,4,IF(N192+O192&gt;=60,3.5,IF(N192+O192&gt;=50,3,IF(N192+O192&gt;=40,2,IF(N192+O192&gt;=33,1,0)))))))</f>
        <v/>
      </c>
      <c r="AI192">
        <f>IF(AA192,0,IF(P192+Q192&gt;=80,5,IF(P192+Q192&gt;=70,4,IF(P192+Q192&gt;=60,3.5,IF(P192+Q192&gt;=50,3,IF(P192+Q192&gt;=40,2,IF(P192+Q192&gt;=33,1,0)))))))</f>
        <v/>
      </c>
      <c r="AJ192">
        <f>IF(R192&lt;8.25,0,IF(R192*2&gt;=80,5,IF(R192*2&gt;=70,4,IF(R192*2&gt;=60,3.5,IF(R192*2&gt;=50,3,IF(R192*2&gt;=40,2,IF(R192*2&gt;=33,1,0)))))))</f>
        <v/>
      </c>
      <c r="AK192">
        <f>IF(S192&lt;33,0,IF(S192&gt;=80,5,IF(S192&gt;=70,4,IF(S192&gt;=60,3.5,IF(S192&gt;=50,3,IF(S192&gt;=40,2,IF(S192&gt;=33,1,0)))))))</f>
        <v/>
      </c>
      <c r="AL192">
        <f>(AC192+AD192+AE192+AF192+AG192+AH192+AI192+AJ192)/8</f>
        <v/>
      </c>
      <c r="AM192">
        <f>IF(AK192&gt;=2,(AK192-2)/8,0)</f>
        <v/>
      </c>
    </row>
    <row r="193">
      <c r="T193">
        <f>SUM(C193:R193)</f>
        <v/>
      </c>
      <c r="U193" s="6">
        <f>ROUND(T193/11.5,2)</f>
        <v/>
      </c>
      <c r="V193" s="7">
        <f>IF(B193="","",IF(AB193,0,ROUND(AL193,2)))</f>
        <v/>
      </c>
      <c r="W193" s="7">
        <f>IF(B193="","",IF(AB193,0,MIN(5,ROUND(AL193+AM193,2))))</f>
        <v/>
      </c>
      <c r="X193" s="8">
        <f>IF(B193="","",IF(W193&gt;=5,"A+",IF(W193&gt;=4,"A",IF(W193&gt;=3.5,"A-",IF(W193&gt;=3,"B",IF(W193&gt;=2,"C",IF(W193&gt;=1,"D","F")))))))</f>
        <v/>
      </c>
      <c r="Y193">
        <f>NOT(OR(AND(J193&gt;=10,K193&gt;=23,L193&gt;=10,M193&gt;=23),AND(J193+L193&gt;=20,K193+M193&gt;=46)))</f>
        <v/>
      </c>
      <c r="Z193">
        <f>OR(N193&lt;10,O193&lt;23)</f>
        <v/>
      </c>
      <c r="AA193">
        <f>OR(P193&lt;10,Q193&lt;23)</f>
        <v/>
      </c>
      <c r="AB193">
        <f>OR((C193+D193)&lt;66,(E193+F193)&lt;66,G193&lt;33,(H193+I193)&lt;66,Y193,Z193,AA193,R193&lt;8.25)</f>
        <v/>
      </c>
      <c r="AC193">
        <f>IF(C193+D193&lt;66,0,IF((C193+D193)/2&gt;=80,5,IF((C193+D193)/2&gt;=70,4,IF((C193+D193)/2&gt;=60,3.5,IF((C193+D193)/2&gt;=50,3,IF((C193+D193)/2&gt;=40,2,IF((C193+D193)/2&gt;=33,1,0)))))))</f>
        <v/>
      </c>
      <c r="AD193">
        <f>IF(E193+F193&lt;66,0,IF((E193+F193)/2&gt;=80,5,IF((E193+F193)/2&gt;=70,4,IF((E193+F193)/2&gt;=60,3.5,IF((E193+F193)/2&gt;=50,3,IF((E193+F193)/2&gt;=40,2,IF((E193+F193)/2&gt;=33,1,0)))))))</f>
        <v/>
      </c>
      <c r="AE193">
        <f>IF(G193&lt;33,0,IF(G193&gt;=80,5,IF(G193&gt;=70,4,IF(G193&gt;=60,3.5,IF(G193&gt;=50,3,IF(G193&gt;=40,2,IF(G193&gt;=33,1,0)))))))</f>
        <v/>
      </c>
      <c r="AF193">
        <f>IF(H193+I193&lt;66,0,IF((H193+I193)/2&gt;=80,5,IF((H193+I193)/2&gt;=70,4,IF((H193+I193)/2&gt;=60,3.5,IF((H193+I193)/2&gt;=50,3,IF((H193+I193)/2&gt;=40,2,IF((H193+I193)/2&gt;=33,1,0)))))))</f>
        <v/>
      </c>
      <c r="AG193">
        <f>IF(Y193,0,IF((J193+K193+L193+M193)/2&gt;=80,5,IF((J193+K193+L193+M193)/2&gt;=70,4,IF((J193+K193+L193+M193)/2&gt;=60,3.5,IF((J193+K193+L193+M193)/2&gt;=50,3,IF((J193+K193+L193+M193)/2&gt;=40,2,IF((J193+K193+L193+M193)/2&gt;=33,1,0)))))))</f>
        <v/>
      </c>
      <c r="AH193">
        <f>IF(Z193,0,IF(N193+O193&gt;=80,5,IF(N193+O193&gt;=70,4,IF(N193+O193&gt;=60,3.5,IF(N193+O193&gt;=50,3,IF(N193+O193&gt;=40,2,IF(N193+O193&gt;=33,1,0)))))))</f>
        <v/>
      </c>
      <c r="AI193">
        <f>IF(AA193,0,IF(P193+Q193&gt;=80,5,IF(P193+Q193&gt;=70,4,IF(P193+Q193&gt;=60,3.5,IF(P193+Q193&gt;=50,3,IF(P193+Q193&gt;=40,2,IF(P193+Q193&gt;=33,1,0)))))))</f>
        <v/>
      </c>
      <c r="AJ193">
        <f>IF(R193&lt;8.25,0,IF(R193*2&gt;=80,5,IF(R193*2&gt;=70,4,IF(R193*2&gt;=60,3.5,IF(R193*2&gt;=50,3,IF(R193*2&gt;=40,2,IF(R193*2&gt;=33,1,0)))))))</f>
        <v/>
      </c>
      <c r="AK193">
        <f>IF(S193&lt;33,0,IF(S193&gt;=80,5,IF(S193&gt;=70,4,IF(S193&gt;=60,3.5,IF(S193&gt;=50,3,IF(S193&gt;=40,2,IF(S193&gt;=33,1,0)))))))</f>
        <v/>
      </c>
      <c r="AL193">
        <f>(AC193+AD193+AE193+AF193+AG193+AH193+AI193+AJ193)/8</f>
        <v/>
      </c>
      <c r="AM193">
        <f>IF(AK193&gt;=2,(AK193-2)/8,0)</f>
        <v/>
      </c>
    </row>
    <row r="194">
      <c r="T194">
        <f>SUM(C194:R194)</f>
        <v/>
      </c>
      <c r="U194" s="6">
        <f>ROUND(T194/11.5,2)</f>
        <v/>
      </c>
      <c r="V194" s="7">
        <f>IF(B194="","",IF(AB194,0,ROUND(AL194,2)))</f>
        <v/>
      </c>
      <c r="W194" s="7">
        <f>IF(B194="","",IF(AB194,0,MIN(5,ROUND(AL194+AM194,2))))</f>
        <v/>
      </c>
      <c r="X194" s="8">
        <f>IF(B194="","",IF(W194&gt;=5,"A+",IF(W194&gt;=4,"A",IF(W194&gt;=3.5,"A-",IF(W194&gt;=3,"B",IF(W194&gt;=2,"C",IF(W194&gt;=1,"D","F")))))))</f>
        <v/>
      </c>
      <c r="Y194">
        <f>NOT(OR(AND(J194&gt;=10,K194&gt;=23,L194&gt;=10,M194&gt;=23),AND(J194+L194&gt;=20,K194+M194&gt;=46)))</f>
        <v/>
      </c>
      <c r="Z194">
        <f>OR(N194&lt;10,O194&lt;23)</f>
        <v/>
      </c>
      <c r="AA194">
        <f>OR(P194&lt;10,Q194&lt;23)</f>
        <v/>
      </c>
      <c r="AB194">
        <f>OR((C194+D194)&lt;66,(E194+F194)&lt;66,G194&lt;33,(H194+I194)&lt;66,Y194,Z194,AA194,R194&lt;8.25)</f>
        <v/>
      </c>
      <c r="AC194">
        <f>IF(C194+D194&lt;66,0,IF((C194+D194)/2&gt;=80,5,IF((C194+D194)/2&gt;=70,4,IF((C194+D194)/2&gt;=60,3.5,IF((C194+D194)/2&gt;=50,3,IF((C194+D194)/2&gt;=40,2,IF((C194+D194)/2&gt;=33,1,0)))))))</f>
        <v/>
      </c>
      <c r="AD194">
        <f>IF(E194+F194&lt;66,0,IF((E194+F194)/2&gt;=80,5,IF((E194+F194)/2&gt;=70,4,IF((E194+F194)/2&gt;=60,3.5,IF((E194+F194)/2&gt;=50,3,IF((E194+F194)/2&gt;=40,2,IF((E194+F194)/2&gt;=33,1,0)))))))</f>
        <v/>
      </c>
      <c r="AE194">
        <f>IF(G194&lt;33,0,IF(G194&gt;=80,5,IF(G194&gt;=70,4,IF(G194&gt;=60,3.5,IF(G194&gt;=50,3,IF(G194&gt;=40,2,IF(G194&gt;=33,1,0)))))))</f>
        <v/>
      </c>
      <c r="AF194">
        <f>IF(H194+I194&lt;66,0,IF((H194+I194)/2&gt;=80,5,IF((H194+I194)/2&gt;=70,4,IF((H194+I194)/2&gt;=60,3.5,IF((H194+I194)/2&gt;=50,3,IF((H194+I194)/2&gt;=40,2,IF((H194+I194)/2&gt;=33,1,0)))))))</f>
        <v/>
      </c>
      <c r="AG194">
        <f>IF(Y194,0,IF((J194+K194+L194+M194)/2&gt;=80,5,IF((J194+K194+L194+M194)/2&gt;=70,4,IF((J194+K194+L194+M194)/2&gt;=60,3.5,IF((J194+K194+L194+M194)/2&gt;=50,3,IF((J194+K194+L194+M194)/2&gt;=40,2,IF((J194+K194+L194+M194)/2&gt;=33,1,0)))))))</f>
        <v/>
      </c>
      <c r="AH194">
        <f>IF(Z194,0,IF(N194+O194&gt;=80,5,IF(N194+O194&gt;=70,4,IF(N194+O194&gt;=60,3.5,IF(N194+O194&gt;=50,3,IF(N194+O194&gt;=40,2,IF(N194+O194&gt;=33,1,0)))))))</f>
        <v/>
      </c>
      <c r="AI194">
        <f>IF(AA194,0,IF(P194+Q194&gt;=80,5,IF(P194+Q194&gt;=70,4,IF(P194+Q194&gt;=60,3.5,IF(P194+Q194&gt;=50,3,IF(P194+Q194&gt;=40,2,IF(P194+Q194&gt;=33,1,0)))))))</f>
        <v/>
      </c>
      <c r="AJ194">
        <f>IF(R194&lt;8.25,0,IF(R194*2&gt;=80,5,IF(R194*2&gt;=70,4,IF(R194*2&gt;=60,3.5,IF(R194*2&gt;=50,3,IF(R194*2&gt;=40,2,IF(R194*2&gt;=33,1,0)))))))</f>
        <v/>
      </c>
      <c r="AK194">
        <f>IF(S194&lt;33,0,IF(S194&gt;=80,5,IF(S194&gt;=70,4,IF(S194&gt;=60,3.5,IF(S194&gt;=50,3,IF(S194&gt;=40,2,IF(S194&gt;=33,1,0)))))))</f>
        <v/>
      </c>
      <c r="AL194">
        <f>(AC194+AD194+AE194+AF194+AG194+AH194+AI194+AJ194)/8</f>
        <v/>
      </c>
      <c r="AM194">
        <f>IF(AK194&gt;=2,(AK194-2)/8,0)</f>
        <v/>
      </c>
    </row>
    <row r="195">
      <c r="T195">
        <f>SUM(C195:R195)</f>
        <v/>
      </c>
      <c r="U195" s="6">
        <f>ROUND(T195/11.5,2)</f>
        <v/>
      </c>
      <c r="V195" s="7">
        <f>IF(B195="","",IF(AB195,0,ROUND(AL195,2)))</f>
        <v/>
      </c>
      <c r="W195" s="7">
        <f>IF(B195="","",IF(AB195,0,MIN(5,ROUND(AL195+AM195,2))))</f>
        <v/>
      </c>
      <c r="X195" s="8">
        <f>IF(B195="","",IF(W195&gt;=5,"A+",IF(W195&gt;=4,"A",IF(W195&gt;=3.5,"A-",IF(W195&gt;=3,"B",IF(W195&gt;=2,"C",IF(W195&gt;=1,"D","F")))))))</f>
        <v/>
      </c>
      <c r="Y195">
        <f>NOT(OR(AND(J195&gt;=10,K195&gt;=23,L195&gt;=10,M195&gt;=23),AND(J195+L195&gt;=20,K195+M195&gt;=46)))</f>
        <v/>
      </c>
      <c r="Z195">
        <f>OR(N195&lt;10,O195&lt;23)</f>
        <v/>
      </c>
      <c r="AA195">
        <f>OR(P195&lt;10,Q195&lt;23)</f>
        <v/>
      </c>
      <c r="AB195">
        <f>OR((C195+D195)&lt;66,(E195+F195)&lt;66,G195&lt;33,(H195+I195)&lt;66,Y195,Z195,AA195,R195&lt;8.25)</f>
        <v/>
      </c>
      <c r="AC195">
        <f>IF(C195+D195&lt;66,0,IF((C195+D195)/2&gt;=80,5,IF((C195+D195)/2&gt;=70,4,IF((C195+D195)/2&gt;=60,3.5,IF((C195+D195)/2&gt;=50,3,IF((C195+D195)/2&gt;=40,2,IF((C195+D195)/2&gt;=33,1,0)))))))</f>
        <v/>
      </c>
      <c r="AD195">
        <f>IF(E195+F195&lt;66,0,IF((E195+F195)/2&gt;=80,5,IF((E195+F195)/2&gt;=70,4,IF((E195+F195)/2&gt;=60,3.5,IF((E195+F195)/2&gt;=50,3,IF((E195+F195)/2&gt;=40,2,IF((E195+F195)/2&gt;=33,1,0)))))))</f>
        <v/>
      </c>
      <c r="AE195">
        <f>IF(G195&lt;33,0,IF(G195&gt;=80,5,IF(G195&gt;=70,4,IF(G195&gt;=60,3.5,IF(G195&gt;=50,3,IF(G195&gt;=40,2,IF(G195&gt;=33,1,0)))))))</f>
        <v/>
      </c>
      <c r="AF195">
        <f>IF(H195+I195&lt;66,0,IF((H195+I195)/2&gt;=80,5,IF((H195+I195)/2&gt;=70,4,IF((H195+I195)/2&gt;=60,3.5,IF((H195+I195)/2&gt;=50,3,IF((H195+I195)/2&gt;=40,2,IF((H195+I195)/2&gt;=33,1,0)))))))</f>
        <v/>
      </c>
      <c r="AG195">
        <f>IF(Y195,0,IF((J195+K195+L195+M195)/2&gt;=80,5,IF((J195+K195+L195+M195)/2&gt;=70,4,IF((J195+K195+L195+M195)/2&gt;=60,3.5,IF((J195+K195+L195+M195)/2&gt;=50,3,IF((J195+K195+L195+M195)/2&gt;=40,2,IF((J195+K195+L195+M195)/2&gt;=33,1,0)))))))</f>
        <v/>
      </c>
      <c r="AH195">
        <f>IF(Z195,0,IF(N195+O195&gt;=80,5,IF(N195+O195&gt;=70,4,IF(N195+O195&gt;=60,3.5,IF(N195+O195&gt;=50,3,IF(N195+O195&gt;=40,2,IF(N195+O195&gt;=33,1,0)))))))</f>
        <v/>
      </c>
      <c r="AI195">
        <f>IF(AA195,0,IF(P195+Q195&gt;=80,5,IF(P195+Q195&gt;=70,4,IF(P195+Q195&gt;=60,3.5,IF(P195+Q195&gt;=50,3,IF(P195+Q195&gt;=40,2,IF(P195+Q195&gt;=33,1,0)))))))</f>
        <v/>
      </c>
      <c r="AJ195">
        <f>IF(R195&lt;8.25,0,IF(R195*2&gt;=80,5,IF(R195*2&gt;=70,4,IF(R195*2&gt;=60,3.5,IF(R195*2&gt;=50,3,IF(R195*2&gt;=40,2,IF(R195*2&gt;=33,1,0)))))))</f>
        <v/>
      </c>
      <c r="AK195">
        <f>IF(S195&lt;33,0,IF(S195&gt;=80,5,IF(S195&gt;=70,4,IF(S195&gt;=60,3.5,IF(S195&gt;=50,3,IF(S195&gt;=40,2,IF(S195&gt;=33,1,0)))))))</f>
        <v/>
      </c>
      <c r="AL195">
        <f>(AC195+AD195+AE195+AF195+AG195+AH195+AI195+AJ195)/8</f>
        <v/>
      </c>
      <c r="AM195">
        <f>IF(AK195&gt;=2,(AK195-2)/8,0)</f>
        <v/>
      </c>
    </row>
    <row r="196">
      <c r="T196">
        <f>SUM(C196:R196)</f>
        <v/>
      </c>
      <c r="U196" s="6">
        <f>ROUND(T196/11.5,2)</f>
        <v/>
      </c>
      <c r="V196" s="7">
        <f>IF(B196="","",IF(AB196,0,ROUND(AL196,2)))</f>
        <v/>
      </c>
      <c r="W196" s="7">
        <f>IF(B196="","",IF(AB196,0,MIN(5,ROUND(AL196+AM196,2))))</f>
        <v/>
      </c>
      <c r="X196" s="8">
        <f>IF(B196="","",IF(W196&gt;=5,"A+",IF(W196&gt;=4,"A",IF(W196&gt;=3.5,"A-",IF(W196&gt;=3,"B",IF(W196&gt;=2,"C",IF(W196&gt;=1,"D","F")))))))</f>
        <v/>
      </c>
      <c r="Y196">
        <f>NOT(OR(AND(J196&gt;=10,K196&gt;=23,L196&gt;=10,M196&gt;=23),AND(J196+L196&gt;=20,K196+M196&gt;=46)))</f>
        <v/>
      </c>
      <c r="Z196">
        <f>OR(N196&lt;10,O196&lt;23)</f>
        <v/>
      </c>
      <c r="AA196">
        <f>OR(P196&lt;10,Q196&lt;23)</f>
        <v/>
      </c>
      <c r="AB196">
        <f>OR((C196+D196)&lt;66,(E196+F196)&lt;66,G196&lt;33,(H196+I196)&lt;66,Y196,Z196,AA196,R196&lt;8.25)</f>
        <v/>
      </c>
      <c r="AC196">
        <f>IF(C196+D196&lt;66,0,IF((C196+D196)/2&gt;=80,5,IF((C196+D196)/2&gt;=70,4,IF((C196+D196)/2&gt;=60,3.5,IF((C196+D196)/2&gt;=50,3,IF((C196+D196)/2&gt;=40,2,IF((C196+D196)/2&gt;=33,1,0)))))))</f>
        <v/>
      </c>
      <c r="AD196">
        <f>IF(E196+F196&lt;66,0,IF((E196+F196)/2&gt;=80,5,IF((E196+F196)/2&gt;=70,4,IF((E196+F196)/2&gt;=60,3.5,IF((E196+F196)/2&gt;=50,3,IF((E196+F196)/2&gt;=40,2,IF((E196+F196)/2&gt;=33,1,0)))))))</f>
        <v/>
      </c>
      <c r="AE196">
        <f>IF(G196&lt;33,0,IF(G196&gt;=80,5,IF(G196&gt;=70,4,IF(G196&gt;=60,3.5,IF(G196&gt;=50,3,IF(G196&gt;=40,2,IF(G196&gt;=33,1,0)))))))</f>
        <v/>
      </c>
      <c r="AF196">
        <f>IF(H196+I196&lt;66,0,IF((H196+I196)/2&gt;=80,5,IF((H196+I196)/2&gt;=70,4,IF((H196+I196)/2&gt;=60,3.5,IF((H196+I196)/2&gt;=50,3,IF((H196+I196)/2&gt;=40,2,IF((H196+I196)/2&gt;=33,1,0)))))))</f>
        <v/>
      </c>
      <c r="AG196">
        <f>IF(Y196,0,IF((J196+K196+L196+M196)/2&gt;=80,5,IF((J196+K196+L196+M196)/2&gt;=70,4,IF((J196+K196+L196+M196)/2&gt;=60,3.5,IF((J196+K196+L196+M196)/2&gt;=50,3,IF((J196+K196+L196+M196)/2&gt;=40,2,IF((J196+K196+L196+M196)/2&gt;=33,1,0)))))))</f>
        <v/>
      </c>
      <c r="AH196">
        <f>IF(Z196,0,IF(N196+O196&gt;=80,5,IF(N196+O196&gt;=70,4,IF(N196+O196&gt;=60,3.5,IF(N196+O196&gt;=50,3,IF(N196+O196&gt;=40,2,IF(N196+O196&gt;=33,1,0)))))))</f>
        <v/>
      </c>
      <c r="AI196">
        <f>IF(AA196,0,IF(P196+Q196&gt;=80,5,IF(P196+Q196&gt;=70,4,IF(P196+Q196&gt;=60,3.5,IF(P196+Q196&gt;=50,3,IF(P196+Q196&gt;=40,2,IF(P196+Q196&gt;=33,1,0)))))))</f>
        <v/>
      </c>
      <c r="AJ196">
        <f>IF(R196&lt;8.25,0,IF(R196*2&gt;=80,5,IF(R196*2&gt;=70,4,IF(R196*2&gt;=60,3.5,IF(R196*2&gt;=50,3,IF(R196*2&gt;=40,2,IF(R196*2&gt;=33,1,0)))))))</f>
        <v/>
      </c>
      <c r="AK196">
        <f>IF(S196&lt;33,0,IF(S196&gt;=80,5,IF(S196&gt;=70,4,IF(S196&gt;=60,3.5,IF(S196&gt;=50,3,IF(S196&gt;=40,2,IF(S196&gt;=33,1,0)))))))</f>
        <v/>
      </c>
      <c r="AL196">
        <f>(AC196+AD196+AE196+AF196+AG196+AH196+AI196+AJ196)/8</f>
        <v/>
      </c>
      <c r="AM196">
        <f>IF(AK196&gt;=2,(AK196-2)/8,0)</f>
        <v/>
      </c>
    </row>
    <row r="197">
      <c r="T197">
        <f>SUM(C197:R197)</f>
        <v/>
      </c>
      <c r="U197" s="6">
        <f>ROUND(T197/11.5,2)</f>
        <v/>
      </c>
      <c r="V197" s="7">
        <f>IF(B197="","",IF(AB197,0,ROUND(AL197,2)))</f>
        <v/>
      </c>
      <c r="W197" s="7">
        <f>IF(B197="","",IF(AB197,0,MIN(5,ROUND(AL197+AM197,2))))</f>
        <v/>
      </c>
      <c r="X197" s="8">
        <f>IF(B197="","",IF(W197&gt;=5,"A+",IF(W197&gt;=4,"A",IF(W197&gt;=3.5,"A-",IF(W197&gt;=3,"B",IF(W197&gt;=2,"C",IF(W197&gt;=1,"D","F")))))))</f>
        <v/>
      </c>
      <c r="Y197">
        <f>NOT(OR(AND(J197&gt;=10,K197&gt;=23,L197&gt;=10,M197&gt;=23),AND(J197+L197&gt;=20,K197+M197&gt;=46)))</f>
        <v/>
      </c>
      <c r="Z197">
        <f>OR(N197&lt;10,O197&lt;23)</f>
        <v/>
      </c>
      <c r="AA197">
        <f>OR(P197&lt;10,Q197&lt;23)</f>
        <v/>
      </c>
      <c r="AB197">
        <f>OR((C197+D197)&lt;66,(E197+F197)&lt;66,G197&lt;33,(H197+I197)&lt;66,Y197,Z197,AA197,R197&lt;8.25)</f>
        <v/>
      </c>
      <c r="AC197">
        <f>IF(C197+D197&lt;66,0,IF((C197+D197)/2&gt;=80,5,IF((C197+D197)/2&gt;=70,4,IF((C197+D197)/2&gt;=60,3.5,IF((C197+D197)/2&gt;=50,3,IF((C197+D197)/2&gt;=40,2,IF((C197+D197)/2&gt;=33,1,0)))))))</f>
        <v/>
      </c>
      <c r="AD197">
        <f>IF(E197+F197&lt;66,0,IF((E197+F197)/2&gt;=80,5,IF((E197+F197)/2&gt;=70,4,IF((E197+F197)/2&gt;=60,3.5,IF((E197+F197)/2&gt;=50,3,IF((E197+F197)/2&gt;=40,2,IF((E197+F197)/2&gt;=33,1,0)))))))</f>
        <v/>
      </c>
      <c r="AE197">
        <f>IF(G197&lt;33,0,IF(G197&gt;=80,5,IF(G197&gt;=70,4,IF(G197&gt;=60,3.5,IF(G197&gt;=50,3,IF(G197&gt;=40,2,IF(G197&gt;=33,1,0)))))))</f>
        <v/>
      </c>
      <c r="AF197">
        <f>IF(H197+I197&lt;66,0,IF((H197+I197)/2&gt;=80,5,IF((H197+I197)/2&gt;=70,4,IF((H197+I197)/2&gt;=60,3.5,IF((H197+I197)/2&gt;=50,3,IF((H197+I197)/2&gt;=40,2,IF((H197+I197)/2&gt;=33,1,0)))))))</f>
        <v/>
      </c>
      <c r="AG197">
        <f>IF(Y197,0,IF((J197+K197+L197+M197)/2&gt;=80,5,IF((J197+K197+L197+M197)/2&gt;=70,4,IF((J197+K197+L197+M197)/2&gt;=60,3.5,IF((J197+K197+L197+M197)/2&gt;=50,3,IF((J197+K197+L197+M197)/2&gt;=40,2,IF((J197+K197+L197+M197)/2&gt;=33,1,0)))))))</f>
        <v/>
      </c>
      <c r="AH197">
        <f>IF(Z197,0,IF(N197+O197&gt;=80,5,IF(N197+O197&gt;=70,4,IF(N197+O197&gt;=60,3.5,IF(N197+O197&gt;=50,3,IF(N197+O197&gt;=40,2,IF(N197+O197&gt;=33,1,0)))))))</f>
        <v/>
      </c>
      <c r="AI197">
        <f>IF(AA197,0,IF(P197+Q197&gt;=80,5,IF(P197+Q197&gt;=70,4,IF(P197+Q197&gt;=60,3.5,IF(P197+Q197&gt;=50,3,IF(P197+Q197&gt;=40,2,IF(P197+Q197&gt;=33,1,0)))))))</f>
        <v/>
      </c>
      <c r="AJ197">
        <f>IF(R197&lt;8.25,0,IF(R197*2&gt;=80,5,IF(R197*2&gt;=70,4,IF(R197*2&gt;=60,3.5,IF(R197*2&gt;=50,3,IF(R197*2&gt;=40,2,IF(R197*2&gt;=33,1,0)))))))</f>
        <v/>
      </c>
      <c r="AK197">
        <f>IF(S197&lt;33,0,IF(S197&gt;=80,5,IF(S197&gt;=70,4,IF(S197&gt;=60,3.5,IF(S197&gt;=50,3,IF(S197&gt;=40,2,IF(S197&gt;=33,1,0)))))))</f>
        <v/>
      </c>
      <c r="AL197">
        <f>(AC197+AD197+AE197+AF197+AG197+AH197+AI197+AJ197)/8</f>
        <v/>
      </c>
      <c r="AM197">
        <f>IF(AK197&gt;=2,(AK197-2)/8,0)</f>
        <v/>
      </c>
    </row>
    <row r="198">
      <c r="T198">
        <f>SUM(C198:R198)</f>
        <v/>
      </c>
      <c r="U198" s="6">
        <f>ROUND(T198/11.5,2)</f>
        <v/>
      </c>
      <c r="V198" s="7">
        <f>IF(B198="","",IF(AB198,0,ROUND(AL198,2)))</f>
        <v/>
      </c>
      <c r="W198" s="7">
        <f>IF(B198="","",IF(AB198,0,MIN(5,ROUND(AL198+AM198,2))))</f>
        <v/>
      </c>
      <c r="X198" s="8">
        <f>IF(B198="","",IF(W198&gt;=5,"A+",IF(W198&gt;=4,"A",IF(W198&gt;=3.5,"A-",IF(W198&gt;=3,"B",IF(W198&gt;=2,"C",IF(W198&gt;=1,"D","F")))))))</f>
        <v/>
      </c>
      <c r="Y198">
        <f>NOT(OR(AND(J198&gt;=10,K198&gt;=23,L198&gt;=10,M198&gt;=23),AND(J198+L198&gt;=20,K198+M198&gt;=46)))</f>
        <v/>
      </c>
      <c r="Z198">
        <f>OR(N198&lt;10,O198&lt;23)</f>
        <v/>
      </c>
      <c r="AA198">
        <f>OR(P198&lt;10,Q198&lt;23)</f>
        <v/>
      </c>
      <c r="AB198">
        <f>OR((C198+D198)&lt;66,(E198+F198)&lt;66,G198&lt;33,(H198+I198)&lt;66,Y198,Z198,AA198,R198&lt;8.25)</f>
        <v/>
      </c>
      <c r="AC198">
        <f>IF(C198+D198&lt;66,0,IF((C198+D198)/2&gt;=80,5,IF((C198+D198)/2&gt;=70,4,IF((C198+D198)/2&gt;=60,3.5,IF((C198+D198)/2&gt;=50,3,IF((C198+D198)/2&gt;=40,2,IF((C198+D198)/2&gt;=33,1,0)))))))</f>
        <v/>
      </c>
      <c r="AD198">
        <f>IF(E198+F198&lt;66,0,IF((E198+F198)/2&gt;=80,5,IF((E198+F198)/2&gt;=70,4,IF((E198+F198)/2&gt;=60,3.5,IF((E198+F198)/2&gt;=50,3,IF((E198+F198)/2&gt;=40,2,IF((E198+F198)/2&gt;=33,1,0)))))))</f>
        <v/>
      </c>
      <c r="AE198">
        <f>IF(G198&lt;33,0,IF(G198&gt;=80,5,IF(G198&gt;=70,4,IF(G198&gt;=60,3.5,IF(G198&gt;=50,3,IF(G198&gt;=40,2,IF(G198&gt;=33,1,0)))))))</f>
        <v/>
      </c>
      <c r="AF198">
        <f>IF(H198+I198&lt;66,0,IF((H198+I198)/2&gt;=80,5,IF((H198+I198)/2&gt;=70,4,IF((H198+I198)/2&gt;=60,3.5,IF((H198+I198)/2&gt;=50,3,IF((H198+I198)/2&gt;=40,2,IF((H198+I198)/2&gt;=33,1,0)))))))</f>
        <v/>
      </c>
      <c r="AG198">
        <f>IF(Y198,0,IF((J198+K198+L198+M198)/2&gt;=80,5,IF((J198+K198+L198+M198)/2&gt;=70,4,IF((J198+K198+L198+M198)/2&gt;=60,3.5,IF((J198+K198+L198+M198)/2&gt;=50,3,IF((J198+K198+L198+M198)/2&gt;=40,2,IF((J198+K198+L198+M198)/2&gt;=33,1,0)))))))</f>
        <v/>
      </c>
      <c r="AH198">
        <f>IF(Z198,0,IF(N198+O198&gt;=80,5,IF(N198+O198&gt;=70,4,IF(N198+O198&gt;=60,3.5,IF(N198+O198&gt;=50,3,IF(N198+O198&gt;=40,2,IF(N198+O198&gt;=33,1,0)))))))</f>
        <v/>
      </c>
      <c r="AI198">
        <f>IF(AA198,0,IF(P198+Q198&gt;=80,5,IF(P198+Q198&gt;=70,4,IF(P198+Q198&gt;=60,3.5,IF(P198+Q198&gt;=50,3,IF(P198+Q198&gt;=40,2,IF(P198+Q198&gt;=33,1,0)))))))</f>
        <v/>
      </c>
      <c r="AJ198">
        <f>IF(R198&lt;8.25,0,IF(R198*2&gt;=80,5,IF(R198*2&gt;=70,4,IF(R198*2&gt;=60,3.5,IF(R198*2&gt;=50,3,IF(R198*2&gt;=40,2,IF(R198*2&gt;=33,1,0)))))))</f>
        <v/>
      </c>
      <c r="AK198">
        <f>IF(S198&lt;33,0,IF(S198&gt;=80,5,IF(S198&gt;=70,4,IF(S198&gt;=60,3.5,IF(S198&gt;=50,3,IF(S198&gt;=40,2,IF(S198&gt;=33,1,0)))))))</f>
        <v/>
      </c>
      <c r="AL198">
        <f>(AC198+AD198+AE198+AF198+AG198+AH198+AI198+AJ198)/8</f>
        <v/>
      </c>
      <c r="AM198">
        <f>IF(AK198&gt;=2,(AK198-2)/8,0)</f>
        <v/>
      </c>
    </row>
    <row r="199">
      <c r="T199">
        <f>SUM(C199:R199)</f>
        <v/>
      </c>
      <c r="U199" s="6">
        <f>ROUND(T199/11.5,2)</f>
        <v/>
      </c>
      <c r="V199" s="7">
        <f>IF(B199="","",IF(AB199,0,ROUND(AL199,2)))</f>
        <v/>
      </c>
      <c r="W199" s="7">
        <f>IF(B199="","",IF(AB199,0,MIN(5,ROUND(AL199+AM199,2))))</f>
        <v/>
      </c>
      <c r="X199" s="8">
        <f>IF(B199="","",IF(W199&gt;=5,"A+",IF(W199&gt;=4,"A",IF(W199&gt;=3.5,"A-",IF(W199&gt;=3,"B",IF(W199&gt;=2,"C",IF(W199&gt;=1,"D","F")))))))</f>
        <v/>
      </c>
      <c r="Y199">
        <f>NOT(OR(AND(J199&gt;=10,K199&gt;=23,L199&gt;=10,M199&gt;=23),AND(J199+L199&gt;=20,K199+M199&gt;=46)))</f>
        <v/>
      </c>
      <c r="Z199">
        <f>OR(N199&lt;10,O199&lt;23)</f>
        <v/>
      </c>
      <c r="AA199">
        <f>OR(P199&lt;10,Q199&lt;23)</f>
        <v/>
      </c>
      <c r="AB199">
        <f>OR((C199+D199)&lt;66,(E199+F199)&lt;66,G199&lt;33,(H199+I199)&lt;66,Y199,Z199,AA199,R199&lt;8.25)</f>
        <v/>
      </c>
      <c r="AC199">
        <f>IF(C199+D199&lt;66,0,IF((C199+D199)/2&gt;=80,5,IF((C199+D199)/2&gt;=70,4,IF((C199+D199)/2&gt;=60,3.5,IF((C199+D199)/2&gt;=50,3,IF((C199+D199)/2&gt;=40,2,IF((C199+D199)/2&gt;=33,1,0)))))))</f>
        <v/>
      </c>
      <c r="AD199">
        <f>IF(E199+F199&lt;66,0,IF((E199+F199)/2&gt;=80,5,IF((E199+F199)/2&gt;=70,4,IF((E199+F199)/2&gt;=60,3.5,IF((E199+F199)/2&gt;=50,3,IF((E199+F199)/2&gt;=40,2,IF((E199+F199)/2&gt;=33,1,0)))))))</f>
        <v/>
      </c>
      <c r="AE199">
        <f>IF(G199&lt;33,0,IF(G199&gt;=80,5,IF(G199&gt;=70,4,IF(G199&gt;=60,3.5,IF(G199&gt;=50,3,IF(G199&gt;=40,2,IF(G199&gt;=33,1,0)))))))</f>
        <v/>
      </c>
      <c r="AF199">
        <f>IF(H199+I199&lt;66,0,IF((H199+I199)/2&gt;=80,5,IF((H199+I199)/2&gt;=70,4,IF((H199+I199)/2&gt;=60,3.5,IF((H199+I199)/2&gt;=50,3,IF((H199+I199)/2&gt;=40,2,IF((H199+I199)/2&gt;=33,1,0)))))))</f>
        <v/>
      </c>
      <c r="AG199">
        <f>IF(Y199,0,IF((J199+K199+L199+M199)/2&gt;=80,5,IF((J199+K199+L199+M199)/2&gt;=70,4,IF((J199+K199+L199+M199)/2&gt;=60,3.5,IF((J199+K199+L199+M199)/2&gt;=50,3,IF((J199+K199+L199+M199)/2&gt;=40,2,IF((J199+K199+L199+M199)/2&gt;=33,1,0)))))))</f>
        <v/>
      </c>
      <c r="AH199">
        <f>IF(Z199,0,IF(N199+O199&gt;=80,5,IF(N199+O199&gt;=70,4,IF(N199+O199&gt;=60,3.5,IF(N199+O199&gt;=50,3,IF(N199+O199&gt;=40,2,IF(N199+O199&gt;=33,1,0)))))))</f>
        <v/>
      </c>
      <c r="AI199">
        <f>IF(AA199,0,IF(P199+Q199&gt;=80,5,IF(P199+Q199&gt;=70,4,IF(P199+Q199&gt;=60,3.5,IF(P199+Q199&gt;=50,3,IF(P199+Q199&gt;=40,2,IF(P199+Q199&gt;=33,1,0)))))))</f>
        <v/>
      </c>
      <c r="AJ199">
        <f>IF(R199&lt;8.25,0,IF(R199*2&gt;=80,5,IF(R199*2&gt;=70,4,IF(R199*2&gt;=60,3.5,IF(R199*2&gt;=50,3,IF(R199*2&gt;=40,2,IF(R199*2&gt;=33,1,0)))))))</f>
        <v/>
      </c>
      <c r="AK199">
        <f>IF(S199&lt;33,0,IF(S199&gt;=80,5,IF(S199&gt;=70,4,IF(S199&gt;=60,3.5,IF(S199&gt;=50,3,IF(S199&gt;=40,2,IF(S199&gt;=33,1,0)))))))</f>
        <v/>
      </c>
      <c r="AL199">
        <f>(AC199+AD199+AE199+AF199+AG199+AH199+AI199+AJ199)/8</f>
        <v/>
      </c>
      <c r="AM199">
        <f>IF(AK199&gt;=2,(AK199-2)/8,0)</f>
        <v/>
      </c>
    </row>
    <row r="200">
      <c r="T200">
        <f>SUM(C200:R200)</f>
        <v/>
      </c>
      <c r="U200" s="6">
        <f>ROUND(T200/11.5,2)</f>
        <v/>
      </c>
      <c r="V200" s="7">
        <f>IF(B200="","",IF(AB200,0,ROUND(AL200,2)))</f>
        <v/>
      </c>
      <c r="W200" s="7">
        <f>IF(B200="","",IF(AB200,0,MIN(5,ROUND(AL200+AM200,2))))</f>
        <v/>
      </c>
      <c r="X200" s="8">
        <f>IF(B200="","",IF(W200&gt;=5,"A+",IF(W200&gt;=4,"A",IF(W200&gt;=3.5,"A-",IF(W200&gt;=3,"B",IF(W200&gt;=2,"C",IF(W200&gt;=1,"D","F")))))))</f>
        <v/>
      </c>
      <c r="Y200">
        <f>NOT(OR(AND(J200&gt;=10,K200&gt;=23,L200&gt;=10,M200&gt;=23),AND(J200+L200&gt;=20,K200+M200&gt;=46)))</f>
        <v/>
      </c>
      <c r="Z200">
        <f>OR(N200&lt;10,O200&lt;23)</f>
        <v/>
      </c>
      <c r="AA200">
        <f>OR(P200&lt;10,Q200&lt;23)</f>
        <v/>
      </c>
      <c r="AB200">
        <f>OR((C200+D200)&lt;66,(E200+F200)&lt;66,G200&lt;33,(H200+I200)&lt;66,Y200,Z200,AA200,R200&lt;8.25)</f>
        <v/>
      </c>
      <c r="AC200">
        <f>IF(C200+D200&lt;66,0,IF((C200+D200)/2&gt;=80,5,IF((C200+D200)/2&gt;=70,4,IF((C200+D200)/2&gt;=60,3.5,IF((C200+D200)/2&gt;=50,3,IF((C200+D200)/2&gt;=40,2,IF((C200+D200)/2&gt;=33,1,0)))))))</f>
        <v/>
      </c>
      <c r="AD200">
        <f>IF(E200+F200&lt;66,0,IF((E200+F200)/2&gt;=80,5,IF((E200+F200)/2&gt;=70,4,IF((E200+F200)/2&gt;=60,3.5,IF((E200+F200)/2&gt;=50,3,IF((E200+F200)/2&gt;=40,2,IF((E200+F200)/2&gt;=33,1,0)))))))</f>
        <v/>
      </c>
      <c r="AE200">
        <f>IF(G200&lt;33,0,IF(G200&gt;=80,5,IF(G200&gt;=70,4,IF(G200&gt;=60,3.5,IF(G200&gt;=50,3,IF(G200&gt;=40,2,IF(G200&gt;=33,1,0)))))))</f>
        <v/>
      </c>
      <c r="AF200">
        <f>IF(H200+I200&lt;66,0,IF((H200+I200)/2&gt;=80,5,IF((H200+I200)/2&gt;=70,4,IF((H200+I200)/2&gt;=60,3.5,IF((H200+I200)/2&gt;=50,3,IF((H200+I200)/2&gt;=40,2,IF((H200+I200)/2&gt;=33,1,0)))))))</f>
        <v/>
      </c>
      <c r="AG200">
        <f>IF(Y200,0,IF((J200+K200+L200+M200)/2&gt;=80,5,IF((J200+K200+L200+M200)/2&gt;=70,4,IF((J200+K200+L200+M200)/2&gt;=60,3.5,IF((J200+K200+L200+M200)/2&gt;=50,3,IF((J200+K200+L200+M200)/2&gt;=40,2,IF((J200+K200+L200+M200)/2&gt;=33,1,0)))))))</f>
        <v/>
      </c>
      <c r="AH200">
        <f>IF(Z200,0,IF(N200+O200&gt;=80,5,IF(N200+O200&gt;=70,4,IF(N200+O200&gt;=60,3.5,IF(N200+O200&gt;=50,3,IF(N200+O200&gt;=40,2,IF(N200+O200&gt;=33,1,0)))))))</f>
        <v/>
      </c>
      <c r="AI200">
        <f>IF(AA200,0,IF(P200+Q200&gt;=80,5,IF(P200+Q200&gt;=70,4,IF(P200+Q200&gt;=60,3.5,IF(P200+Q200&gt;=50,3,IF(P200+Q200&gt;=40,2,IF(P200+Q200&gt;=33,1,0)))))))</f>
        <v/>
      </c>
      <c r="AJ200">
        <f>IF(R200&lt;8.25,0,IF(R200*2&gt;=80,5,IF(R200*2&gt;=70,4,IF(R200*2&gt;=60,3.5,IF(R200*2&gt;=50,3,IF(R200*2&gt;=40,2,IF(R200*2&gt;=33,1,0)))))))</f>
        <v/>
      </c>
      <c r="AK200">
        <f>IF(S200&lt;33,0,IF(S200&gt;=80,5,IF(S200&gt;=70,4,IF(S200&gt;=60,3.5,IF(S200&gt;=50,3,IF(S200&gt;=40,2,IF(S200&gt;=33,1,0)))))))</f>
        <v/>
      </c>
      <c r="AL200">
        <f>(AC200+AD200+AE200+AF200+AG200+AH200+AI200+AJ200)/8</f>
        <v/>
      </c>
      <c r="AM200">
        <f>IF(AK200&gt;=2,(AK200-2)/8,0)</f>
        <v/>
      </c>
    </row>
    <row r="201">
      <c r="T201">
        <f>SUM(C201:R201)</f>
        <v/>
      </c>
      <c r="U201" s="6">
        <f>ROUND(T201/11.5,2)</f>
        <v/>
      </c>
      <c r="V201" s="7">
        <f>IF(B201="","",IF(AB201,0,ROUND(AL201,2)))</f>
        <v/>
      </c>
      <c r="W201" s="7">
        <f>IF(B201="","",IF(AB201,0,MIN(5,ROUND(AL201+AM201,2))))</f>
        <v/>
      </c>
      <c r="X201" s="8">
        <f>IF(B201="","",IF(W201&gt;=5,"A+",IF(W201&gt;=4,"A",IF(W201&gt;=3.5,"A-",IF(W201&gt;=3,"B",IF(W201&gt;=2,"C",IF(W201&gt;=1,"D","F")))))))</f>
        <v/>
      </c>
      <c r="Y201">
        <f>NOT(OR(AND(J201&gt;=10,K201&gt;=23,L201&gt;=10,M201&gt;=23),AND(J201+L201&gt;=20,K201+M201&gt;=46)))</f>
        <v/>
      </c>
      <c r="Z201">
        <f>OR(N201&lt;10,O201&lt;23)</f>
        <v/>
      </c>
      <c r="AA201">
        <f>OR(P201&lt;10,Q201&lt;23)</f>
        <v/>
      </c>
      <c r="AB201">
        <f>OR((C201+D201)&lt;66,(E201+F201)&lt;66,G201&lt;33,(H201+I201)&lt;66,Y201,Z201,AA201,R201&lt;8.25)</f>
        <v/>
      </c>
      <c r="AC201">
        <f>IF(C201+D201&lt;66,0,IF((C201+D201)/2&gt;=80,5,IF((C201+D201)/2&gt;=70,4,IF((C201+D201)/2&gt;=60,3.5,IF((C201+D201)/2&gt;=50,3,IF((C201+D201)/2&gt;=40,2,IF((C201+D201)/2&gt;=33,1,0)))))))</f>
        <v/>
      </c>
      <c r="AD201">
        <f>IF(E201+F201&lt;66,0,IF((E201+F201)/2&gt;=80,5,IF((E201+F201)/2&gt;=70,4,IF((E201+F201)/2&gt;=60,3.5,IF((E201+F201)/2&gt;=50,3,IF((E201+F201)/2&gt;=40,2,IF((E201+F201)/2&gt;=33,1,0)))))))</f>
        <v/>
      </c>
      <c r="AE201">
        <f>IF(G201&lt;33,0,IF(G201&gt;=80,5,IF(G201&gt;=70,4,IF(G201&gt;=60,3.5,IF(G201&gt;=50,3,IF(G201&gt;=40,2,IF(G201&gt;=33,1,0)))))))</f>
        <v/>
      </c>
      <c r="AF201">
        <f>IF(H201+I201&lt;66,0,IF((H201+I201)/2&gt;=80,5,IF((H201+I201)/2&gt;=70,4,IF((H201+I201)/2&gt;=60,3.5,IF((H201+I201)/2&gt;=50,3,IF((H201+I201)/2&gt;=40,2,IF((H201+I201)/2&gt;=33,1,0)))))))</f>
        <v/>
      </c>
      <c r="AG201">
        <f>IF(Y201,0,IF((J201+K201+L201+M201)/2&gt;=80,5,IF((J201+K201+L201+M201)/2&gt;=70,4,IF((J201+K201+L201+M201)/2&gt;=60,3.5,IF((J201+K201+L201+M201)/2&gt;=50,3,IF((J201+K201+L201+M201)/2&gt;=40,2,IF((J201+K201+L201+M201)/2&gt;=33,1,0)))))))</f>
        <v/>
      </c>
      <c r="AH201">
        <f>IF(Z201,0,IF(N201+O201&gt;=80,5,IF(N201+O201&gt;=70,4,IF(N201+O201&gt;=60,3.5,IF(N201+O201&gt;=50,3,IF(N201+O201&gt;=40,2,IF(N201+O201&gt;=33,1,0)))))))</f>
        <v/>
      </c>
      <c r="AI201">
        <f>IF(AA201,0,IF(P201+Q201&gt;=80,5,IF(P201+Q201&gt;=70,4,IF(P201+Q201&gt;=60,3.5,IF(P201+Q201&gt;=50,3,IF(P201+Q201&gt;=40,2,IF(P201+Q201&gt;=33,1,0)))))))</f>
        <v/>
      </c>
      <c r="AJ201">
        <f>IF(R201&lt;8.25,0,IF(R201*2&gt;=80,5,IF(R201*2&gt;=70,4,IF(R201*2&gt;=60,3.5,IF(R201*2&gt;=50,3,IF(R201*2&gt;=40,2,IF(R201*2&gt;=33,1,0)))))))</f>
        <v/>
      </c>
      <c r="AK201">
        <f>IF(S201&lt;33,0,IF(S201&gt;=80,5,IF(S201&gt;=70,4,IF(S201&gt;=60,3.5,IF(S201&gt;=50,3,IF(S201&gt;=40,2,IF(S201&gt;=33,1,0)))))))</f>
        <v/>
      </c>
      <c r="AL201">
        <f>(AC201+AD201+AE201+AF201+AG201+AH201+AI201+AJ201)/8</f>
        <v/>
      </c>
      <c r="AM201">
        <f>IF(AK201&gt;=2,(AK201-2)/8,0)</f>
        <v/>
      </c>
    </row>
    <row r="202">
      <c r="T202">
        <f>SUM(C202:R202)</f>
        <v/>
      </c>
      <c r="U202" s="6">
        <f>ROUND(T202/11.5,2)</f>
        <v/>
      </c>
      <c r="V202" s="7">
        <f>IF(B202="","",IF(AB202,0,ROUND(AL202,2)))</f>
        <v/>
      </c>
      <c r="W202" s="7">
        <f>IF(B202="","",IF(AB202,0,MIN(5,ROUND(AL202+AM202,2))))</f>
        <v/>
      </c>
      <c r="X202" s="8">
        <f>IF(B202="","",IF(W202&gt;=5,"A+",IF(W202&gt;=4,"A",IF(W202&gt;=3.5,"A-",IF(W202&gt;=3,"B",IF(W202&gt;=2,"C",IF(W202&gt;=1,"D","F")))))))</f>
        <v/>
      </c>
      <c r="Y202">
        <f>NOT(OR(AND(J202&gt;=10,K202&gt;=23,L202&gt;=10,M202&gt;=23),AND(J202+L202&gt;=20,K202+M202&gt;=46)))</f>
        <v/>
      </c>
      <c r="Z202">
        <f>OR(N202&lt;10,O202&lt;23)</f>
        <v/>
      </c>
      <c r="AA202">
        <f>OR(P202&lt;10,Q202&lt;23)</f>
        <v/>
      </c>
      <c r="AB202">
        <f>OR((C202+D202)&lt;66,(E202+F202)&lt;66,G202&lt;33,(H202+I202)&lt;66,Y202,Z202,AA202,R202&lt;8.25)</f>
        <v/>
      </c>
      <c r="AC202">
        <f>IF(C202+D202&lt;66,0,IF((C202+D202)/2&gt;=80,5,IF((C202+D202)/2&gt;=70,4,IF((C202+D202)/2&gt;=60,3.5,IF((C202+D202)/2&gt;=50,3,IF((C202+D202)/2&gt;=40,2,IF((C202+D202)/2&gt;=33,1,0)))))))</f>
        <v/>
      </c>
      <c r="AD202">
        <f>IF(E202+F202&lt;66,0,IF((E202+F202)/2&gt;=80,5,IF((E202+F202)/2&gt;=70,4,IF((E202+F202)/2&gt;=60,3.5,IF((E202+F202)/2&gt;=50,3,IF((E202+F202)/2&gt;=40,2,IF((E202+F202)/2&gt;=33,1,0)))))))</f>
        <v/>
      </c>
      <c r="AE202">
        <f>IF(G202&lt;33,0,IF(G202&gt;=80,5,IF(G202&gt;=70,4,IF(G202&gt;=60,3.5,IF(G202&gt;=50,3,IF(G202&gt;=40,2,IF(G202&gt;=33,1,0)))))))</f>
        <v/>
      </c>
      <c r="AF202">
        <f>IF(H202+I202&lt;66,0,IF((H202+I202)/2&gt;=80,5,IF((H202+I202)/2&gt;=70,4,IF((H202+I202)/2&gt;=60,3.5,IF((H202+I202)/2&gt;=50,3,IF((H202+I202)/2&gt;=40,2,IF((H202+I202)/2&gt;=33,1,0)))))))</f>
        <v/>
      </c>
      <c r="AG202">
        <f>IF(Y202,0,IF((J202+K202+L202+M202)/2&gt;=80,5,IF((J202+K202+L202+M202)/2&gt;=70,4,IF((J202+K202+L202+M202)/2&gt;=60,3.5,IF((J202+K202+L202+M202)/2&gt;=50,3,IF((J202+K202+L202+M202)/2&gt;=40,2,IF((J202+K202+L202+M202)/2&gt;=33,1,0)))))))</f>
        <v/>
      </c>
      <c r="AH202">
        <f>IF(Z202,0,IF(N202+O202&gt;=80,5,IF(N202+O202&gt;=70,4,IF(N202+O202&gt;=60,3.5,IF(N202+O202&gt;=50,3,IF(N202+O202&gt;=40,2,IF(N202+O202&gt;=33,1,0)))))))</f>
        <v/>
      </c>
      <c r="AI202">
        <f>IF(AA202,0,IF(P202+Q202&gt;=80,5,IF(P202+Q202&gt;=70,4,IF(P202+Q202&gt;=60,3.5,IF(P202+Q202&gt;=50,3,IF(P202+Q202&gt;=40,2,IF(P202+Q202&gt;=33,1,0)))))))</f>
        <v/>
      </c>
      <c r="AJ202">
        <f>IF(R202&lt;8.25,0,IF(R202*2&gt;=80,5,IF(R202*2&gt;=70,4,IF(R202*2&gt;=60,3.5,IF(R202*2&gt;=50,3,IF(R202*2&gt;=40,2,IF(R202*2&gt;=33,1,0)))))))</f>
        <v/>
      </c>
      <c r="AK202">
        <f>IF(S202&lt;33,0,IF(S202&gt;=80,5,IF(S202&gt;=70,4,IF(S202&gt;=60,3.5,IF(S202&gt;=50,3,IF(S202&gt;=40,2,IF(S202&gt;=33,1,0)))))))</f>
        <v/>
      </c>
      <c r="AL202">
        <f>(AC202+AD202+AE202+AF202+AG202+AH202+AI202+AJ202)/8</f>
        <v/>
      </c>
      <c r="AM202">
        <f>IF(AK202&gt;=2,(AK202-2)/8,0)</f>
        <v/>
      </c>
    </row>
    <row r="203">
      <c r="T203">
        <f>SUM(C203:R203)</f>
        <v/>
      </c>
      <c r="U203" s="6">
        <f>ROUND(T203/11.5,2)</f>
        <v/>
      </c>
      <c r="V203" s="7">
        <f>IF(B203="","",IF(AB203,0,ROUND(AL203,2)))</f>
        <v/>
      </c>
      <c r="W203" s="7">
        <f>IF(B203="","",IF(AB203,0,MIN(5,ROUND(AL203+AM203,2))))</f>
        <v/>
      </c>
      <c r="X203" s="8">
        <f>IF(B203="","",IF(W203&gt;=5,"A+",IF(W203&gt;=4,"A",IF(W203&gt;=3.5,"A-",IF(W203&gt;=3,"B",IF(W203&gt;=2,"C",IF(W203&gt;=1,"D","F")))))))</f>
        <v/>
      </c>
      <c r="Y203">
        <f>NOT(OR(AND(J203&gt;=10,K203&gt;=23,L203&gt;=10,M203&gt;=23),AND(J203+L203&gt;=20,K203+M203&gt;=46)))</f>
        <v/>
      </c>
      <c r="Z203">
        <f>OR(N203&lt;10,O203&lt;23)</f>
        <v/>
      </c>
      <c r="AA203">
        <f>OR(P203&lt;10,Q203&lt;23)</f>
        <v/>
      </c>
      <c r="AB203">
        <f>OR((C203+D203)&lt;66,(E203+F203)&lt;66,G203&lt;33,(H203+I203)&lt;66,Y203,Z203,AA203,R203&lt;8.25)</f>
        <v/>
      </c>
      <c r="AC203">
        <f>IF(C203+D203&lt;66,0,IF((C203+D203)/2&gt;=80,5,IF((C203+D203)/2&gt;=70,4,IF((C203+D203)/2&gt;=60,3.5,IF((C203+D203)/2&gt;=50,3,IF((C203+D203)/2&gt;=40,2,IF((C203+D203)/2&gt;=33,1,0)))))))</f>
        <v/>
      </c>
      <c r="AD203">
        <f>IF(E203+F203&lt;66,0,IF((E203+F203)/2&gt;=80,5,IF((E203+F203)/2&gt;=70,4,IF((E203+F203)/2&gt;=60,3.5,IF((E203+F203)/2&gt;=50,3,IF((E203+F203)/2&gt;=40,2,IF((E203+F203)/2&gt;=33,1,0)))))))</f>
        <v/>
      </c>
      <c r="AE203">
        <f>IF(G203&lt;33,0,IF(G203&gt;=80,5,IF(G203&gt;=70,4,IF(G203&gt;=60,3.5,IF(G203&gt;=50,3,IF(G203&gt;=40,2,IF(G203&gt;=33,1,0)))))))</f>
        <v/>
      </c>
      <c r="AF203">
        <f>IF(H203+I203&lt;66,0,IF((H203+I203)/2&gt;=80,5,IF((H203+I203)/2&gt;=70,4,IF((H203+I203)/2&gt;=60,3.5,IF((H203+I203)/2&gt;=50,3,IF((H203+I203)/2&gt;=40,2,IF((H203+I203)/2&gt;=33,1,0)))))))</f>
        <v/>
      </c>
      <c r="AG203">
        <f>IF(Y203,0,IF((J203+K203+L203+M203)/2&gt;=80,5,IF((J203+K203+L203+M203)/2&gt;=70,4,IF((J203+K203+L203+M203)/2&gt;=60,3.5,IF((J203+K203+L203+M203)/2&gt;=50,3,IF((J203+K203+L203+M203)/2&gt;=40,2,IF((J203+K203+L203+M203)/2&gt;=33,1,0)))))))</f>
        <v/>
      </c>
      <c r="AH203">
        <f>IF(Z203,0,IF(N203+O203&gt;=80,5,IF(N203+O203&gt;=70,4,IF(N203+O203&gt;=60,3.5,IF(N203+O203&gt;=50,3,IF(N203+O203&gt;=40,2,IF(N203+O203&gt;=33,1,0)))))))</f>
        <v/>
      </c>
      <c r="AI203">
        <f>IF(AA203,0,IF(P203+Q203&gt;=80,5,IF(P203+Q203&gt;=70,4,IF(P203+Q203&gt;=60,3.5,IF(P203+Q203&gt;=50,3,IF(P203+Q203&gt;=40,2,IF(P203+Q203&gt;=33,1,0)))))))</f>
        <v/>
      </c>
      <c r="AJ203">
        <f>IF(R203&lt;8.25,0,IF(R203*2&gt;=80,5,IF(R203*2&gt;=70,4,IF(R203*2&gt;=60,3.5,IF(R203*2&gt;=50,3,IF(R203*2&gt;=40,2,IF(R203*2&gt;=33,1,0)))))))</f>
        <v/>
      </c>
      <c r="AK203">
        <f>IF(S203&lt;33,0,IF(S203&gt;=80,5,IF(S203&gt;=70,4,IF(S203&gt;=60,3.5,IF(S203&gt;=50,3,IF(S203&gt;=40,2,IF(S203&gt;=33,1,0)))))))</f>
        <v/>
      </c>
      <c r="AL203">
        <f>(AC203+AD203+AE203+AF203+AG203+AH203+AI203+AJ203)/8</f>
        <v/>
      </c>
      <c r="AM203">
        <f>IF(AK203&gt;=2,(AK203-2)/8,0)</f>
        <v/>
      </c>
    </row>
    <row r="204">
      <c r="T204">
        <f>SUM(C204:R204)</f>
        <v/>
      </c>
      <c r="U204" s="6">
        <f>ROUND(T204/11.5,2)</f>
        <v/>
      </c>
      <c r="V204" s="7">
        <f>IF(B204="","",IF(AB204,0,ROUND(AL204,2)))</f>
        <v/>
      </c>
      <c r="W204" s="7">
        <f>IF(B204="","",IF(AB204,0,MIN(5,ROUND(AL204+AM204,2))))</f>
        <v/>
      </c>
      <c r="X204" s="8">
        <f>IF(B204="","",IF(W204&gt;=5,"A+",IF(W204&gt;=4,"A",IF(W204&gt;=3.5,"A-",IF(W204&gt;=3,"B",IF(W204&gt;=2,"C",IF(W204&gt;=1,"D","F")))))))</f>
        <v/>
      </c>
      <c r="Y204">
        <f>NOT(OR(AND(J204&gt;=10,K204&gt;=23,L204&gt;=10,M204&gt;=23),AND(J204+L204&gt;=20,K204+M204&gt;=46)))</f>
        <v/>
      </c>
      <c r="Z204">
        <f>OR(N204&lt;10,O204&lt;23)</f>
        <v/>
      </c>
      <c r="AA204">
        <f>OR(P204&lt;10,Q204&lt;23)</f>
        <v/>
      </c>
      <c r="AB204">
        <f>OR((C204+D204)&lt;66,(E204+F204)&lt;66,G204&lt;33,(H204+I204)&lt;66,Y204,Z204,AA204,R204&lt;8.25)</f>
        <v/>
      </c>
      <c r="AC204">
        <f>IF(C204+D204&lt;66,0,IF((C204+D204)/2&gt;=80,5,IF((C204+D204)/2&gt;=70,4,IF((C204+D204)/2&gt;=60,3.5,IF((C204+D204)/2&gt;=50,3,IF((C204+D204)/2&gt;=40,2,IF((C204+D204)/2&gt;=33,1,0)))))))</f>
        <v/>
      </c>
      <c r="AD204">
        <f>IF(E204+F204&lt;66,0,IF((E204+F204)/2&gt;=80,5,IF((E204+F204)/2&gt;=70,4,IF((E204+F204)/2&gt;=60,3.5,IF((E204+F204)/2&gt;=50,3,IF((E204+F204)/2&gt;=40,2,IF((E204+F204)/2&gt;=33,1,0)))))))</f>
        <v/>
      </c>
      <c r="AE204">
        <f>IF(G204&lt;33,0,IF(G204&gt;=80,5,IF(G204&gt;=70,4,IF(G204&gt;=60,3.5,IF(G204&gt;=50,3,IF(G204&gt;=40,2,IF(G204&gt;=33,1,0)))))))</f>
        <v/>
      </c>
      <c r="AF204">
        <f>IF(H204+I204&lt;66,0,IF((H204+I204)/2&gt;=80,5,IF((H204+I204)/2&gt;=70,4,IF((H204+I204)/2&gt;=60,3.5,IF((H204+I204)/2&gt;=50,3,IF((H204+I204)/2&gt;=40,2,IF((H204+I204)/2&gt;=33,1,0)))))))</f>
        <v/>
      </c>
      <c r="AG204">
        <f>IF(Y204,0,IF((J204+K204+L204+M204)/2&gt;=80,5,IF((J204+K204+L204+M204)/2&gt;=70,4,IF((J204+K204+L204+M204)/2&gt;=60,3.5,IF((J204+K204+L204+M204)/2&gt;=50,3,IF((J204+K204+L204+M204)/2&gt;=40,2,IF((J204+K204+L204+M204)/2&gt;=33,1,0)))))))</f>
        <v/>
      </c>
      <c r="AH204">
        <f>IF(Z204,0,IF(N204+O204&gt;=80,5,IF(N204+O204&gt;=70,4,IF(N204+O204&gt;=60,3.5,IF(N204+O204&gt;=50,3,IF(N204+O204&gt;=40,2,IF(N204+O204&gt;=33,1,0)))))))</f>
        <v/>
      </c>
      <c r="AI204">
        <f>IF(AA204,0,IF(P204+Q204&gt;=80,5,IF(P204+Q204&gt;=70,4,IF(P204+Q204&gt;=60,3.5,IF(P204+Q204&gt;=50,3,IF(P204+Q204&gt;=40,2,IF(P204+Q204&gt;=33,1,0)))))))</f>
        <v/>
      </c>
      <c r="AJ204">
        <f>IF(R204&lt;8.25,0,IF(R204*2&gt;=80,5,IF(R204*2&gt;=70,4,IF(R204*2&gt;=60,3.5,IF(R204*2&gt;=50,3,IF(R204*2&gt;=40,2,IF(R204*2&gt;=33,1,0)))))))</f>
        <v/>
      </c>
      <c r="AK204">
        <f>IF(S204&lt;33,0,IF(S204&gt;=80,5,IF(S204&gt;=70,4,IF(S204&gt;=60,3.5,IF(S204&gt;=50,3,IF(S204&gt;=40,2,IF(S204&gt;=33,1,0)))))))</f>
        <v/>
      </c>
      <c r="AL204">
        <f>(AC204+AD204+AE204+AF204+AG204+AH204+AI204+AJ204)/8</f>
        <v/>
      </c>
      <c r="AM204">
        <f>IF(AK204&gt;=2,(AK204-2)/8,0)</f>
        <v/>
      </c>
    </row>
    <row r="205">
      <c r="T205">
        <f>SUM(C205:R205)</f>
        <v/>
      </c>
      <c r="U205" s="6">
        <f>ROUND(T205/11.5,2)</f>
        <v/>
      </c>
      <c r="V205" s="7">
        <f>IF(B205="","",IF(AB205,0,ROUND(AL205,2)))</f>
        <v/>
      </c>
      <c r="W205" s="7">
        <f>IF(B205="","",IF(AB205,0,MIN(5,ROUND(AL205+AM205,2))))</f>
        <v/>
      </c>
      <c r="X205" s="8">
        <f>IF(B205="","",IF(W205&gt;=5,"A+",IF(W205&gt;=4,"A",IF(W205&gt;=3.5,"A-",IF(W205&gt;=3,"B",IF(W205&gt;=2,"C",IF(W205&gt;=1,"D","F")))))))</f>
        <v/>
      </c>
      <c r="Y205">
        <f>NOT(OR(AND(J205&gt;=10,K205&gt;=23,L205&gt;=10,M205&gt;=23),AND(J205+L205&gt;=20,K205+M205&gt;=46)))</f>
        <v/>
      </c>
      <c r="Z205">
        <f>OR(N205&lt;10,O205&lt;23)</f>
        <v/>
      </c>
      <c r="AA205">
        <f>OR(P205&lt;10,Q205&lt;23)</f>
        <v/>
      </c>
      <c r="AB205">
        <f>OR((C205+D205)&lt;66,(E205+F205)&lt;66,G205&lt;33,(H205+I205)&lt;66,Y205,Z205,AA205,R205&lt;8.25)</f>
        <v/>
      </c>
      <c r="AC205">
        <f>IF(C205+D205&lt;66,0,IF((C205+D205)/2&gt;=80,5,IF((C205+D205)/2&gt;=70,4,IF((C205+D205)/2&gt;=60,3.5,IF((C205+D205)/2&gt;=50,3,IF((C205+D205)/2&gt;=40,2,IF((C205+D205)/2&gt;=33,1,0)))))))</f>
        <v/>
      </c>
      <c r="AD205">
        <f>IF(E205+F205&lt;66,0,IF((E205+F205)/2&gt;=80,5,IF((E205+F205)/2&gt;=70,4,IF((E205+F205)/2&gt;=60,3.5,IF((E205+F205)/2&gt;=50,3,IF((E205+F205)/2&gt;=40,2,IF((E205+F205)/2&gt;=33,1,0)))))))</f>
        <v/>
      </c>
      <c r="AE205">
        <f>IF(G205&lt;33,0,IF(G205&gt;=80,5,IF(G205&gt;=70,4,IF(G205&gt;=60,3.5,IF(G205&gt;=50,3,IF(G205&gt;=40,2,IF(G205&gt;=33,1,0)))))))</f>
        <v/>
      </c>
      <c r="AF205">
        <f>IF(H205+I205&lt;66,0,IF((H205+I205)/2&gt;=80,5,IF((H205+I205)/2&gt;=70,4,IF((H205+I205)/2&gt;=60,3.5,IF((H205+I205)/2&gt;=50,3,IF((H205+I205)/2&gt;=40,2,IF((H205+I205)/2&gt;=33,1,0)))))))</f>
        <v/>
      </c>
      <c r="AG205">
        <f>IF(Y205,0,IF((J205+K205+L205+M205)/2&gt;=80,5,IF((J205+K205+L205+M205)/2&gt;=70,4,IF((J205+K205+L205+M205)/2&gt;=60,3.5,IF((J205+K205+L205+M205)/2&gt;=50,3,IF((J205+K205+L205+M205)/2&gt;=40,2,IF((J205+K205+L205+M205)/2&gt;=33,1,0)))))))</f>
        <v/>
      </c>
      <c r="AH205">
        <f>IF(Z205,0,IF(N205+O205&gt;=80,5,IF(N205+O205&gt;=70,4,IF(N205+O205&gt;=60,3.5,IF(N205+O205&gt;=50,3,IF(N205+O205&gt;=40,2,IF(N205+O205&gt;=33,1,0)))))))</f>
        <v/>
      </c>
      <c r="AI205">
        <f>IF(AA205,0,IF(P205+Q205&gt;=80,5,IF(P205+Q205&gt;=70,4,IF(P205+Q205&gt;=60,3.5,IF(P205+Q205&gt;=50,3,IF(P205+Q205&gt;=40,2,IF(P205+Q205&gt;=33,1,0)))))))</f>
        <v/>
      </c>
      <c r="AJ205">
        <f>IF(R205&lt;8.25,0,IF(R205*2&gt;=80,5,IF(R205*2&gt;=70,4,IF(R205*2&gt;=60,3.5,IF(R205*2&gt;=50,3,IF(R205*2&gt;=40,2,IF(R205*2&gt;=33,1,0)))))))</f>
        <v/>
      </c>
      <c r="AK205">
        <f>IF(S205&lt;33,0,IF(S205&gt;=80,5,IF(S205&gt;=70,4,IF(S205&gt;=60,3.5,IF(S205&gt;=50,3,IF(S205&gt;=40,2,IF(S205&gt;=33,1,0)))))))</f>
        <v/>
      </c>
      <c r="AL205">
        <f>(AC205+AD205+AE205+AF205+AG205+AH205+AI205+AJ205)/8</f>
        <v/>
      </c>
      <c r="AM205">
        <f>IF(AK205&gt;=2,(AK205-2)/8,0)</f>
        <v/>
      </c>
    </row>
    <row r="206">
      <c r="T206">
        <f>SUM(C206:R206)</f>
        <v/>
      </c>
      <c r="U206" s="6">
        <f>ROUND(T206/11.5,2)</f>
        <v/>
      </c>
      <c r="V206" s="7">
        <f>IF(B206="","",IF(AB206,0,ROUND(AL206,2)))</f>
        <v/>
      </c>
      <c r="W206" s="7">
        <f>IF(B206="","",IF(AB206,0,MIN(5,ROUND(AL206+AM206,2))))</f>
        <v/>
      </c>
      <c r="X206" s="8">
        <f>IF(B206="","",IF(W206&gt;=5,"A+",IF(W206&gt;=4,"A",IF(W206&gt;=3.5,"A-",IF(W206&gt;=3,"B",IF(W206&gt;=2,"C",IF(W206&gt;=1,"D","F")))))))</f>
        <v/>
      </c>
      <c r="Y206">
        <f>NOT(OR(AND(J206&gt;=10,K206&gt;=23,L206&gt;=10,M206&gt;=23),AND(J206+L206&gt;=20,K206+M206&gt;=46)))</f>
        <v/>
      </c>
      <c r="Z206">
        <f>OR(N206&lt;10,O206&lt;23)</f>
        <v/>
      </c>
      <c r="AA206">
        <f>OR(P206&lt;10,Q206&lt;23)</f>
        <v/>
      </c>
      <c r="AB206">
        <f>OR((C206+D206)&lt;66,(E206+F206)&lt;66,G206&lt;33,(H206+I206)&lt;66,Y206,Z206,AA206,R206&lt;8.25)</f>
        <v/>
      </c>
      <c r="AC206">
        <f>IF(C206+D206&lt;66,0,IF((C206+D206)/2&gt;=80,5,IF((C206+D206)/2&gt;=70,4,IF((C206+D206)/2&gt;=60,3.5,IF((C206+D206)/2&gt;=50,3,IF((C206+D206)/2&gt;=40,2,IF((C206+D206)/2&gt;=33,1,0)))))))</f>
        <v/>
      </c>
      <c r="AD206">
        <f>IF(E206+F206&lt;66,0,IF((E206+F206)/2&gt;=80,5,IF((E206+F206)/2&gt;=70,4,IF((E206+F206)/2&gt;=60,3.5,IF((E206+F206)/2&gt;=50,3,IF((E206+F206)/2&gt;=40,2,IF((E206+F206)/2&gt;=33,1,0)))))))</f>
        <v/>
      </c>
      <c r="AE206">
        <f>IF(G206&lt;33,0,IF(G206&gt;=80,5,IF(G206&gt;=70,4,IF(G206&gt;=60,3.5,IF(G206&gt;=50,3,IF(G206&gt;=40,2,IF(G206&gt;=33,1,0)))))))</f>
        <v/>
      </c>
      <c r="AF206">
        <f>IF(H206+I206&lt;66,0,IF((H206+I206)/2&gt;=80,5,IF((H206+I206)/2&gt;=70,4,IF((H206+I206)/2&gt;=60,3.5,IF((H206+I206)/2&gt;=50,3,IF((H206+I206)/2&gt;=40,2,IF((H206+I206)/2&gt;=33,1,0)))))))</f>
        <v/>
      </c>
      <c r="AG206">
        <f>IF(Y206,0,IF((J206+K206+L206+M206)/2&gt;=80,5,IF((J206+K206+L206+M206)/2&gt;=70,4,IF((J206+K206+L206+M206)/2&gt;=60,3.5,IF((J206+K206+L206+M206)/2&gt;=50,3,IF((J206+K206+L206+M206)/2&gt;=40,2,IF((J206+K206+L206+M206)/2&gt;=33,1,0)))))))</f>
        <v/>
      </c>
      <c r="AH206">
        <f>IF(Z206,0,IF(N206+O206&gt;=80,5,IF(N206+O206&gt;=70,4,IF(N206+O206&gt;=60,3.5,IF(N206+O206&gt;=50,3,IF(N206+O206&gt;=40,2,IF(N206+O206&gt;=33,1,0)))))))</f>
        <v/>
      </c>
      <c r="AI206">
        <f>IF(AA206,0,IF(P206+Q206&gt;=80,5,IF(P206+Q206&gt;=70,4,IF(P206+Q206&gt;=60,3.5,IF(P206+Q206&gt;=50,3,IF(P206+Q206&gt;=40,2,IF(P206+Q206&gt;=33,1,0)))))))</f>
        <v/>
      </c>
      <c r="AJ206">
        <f>IF(R206&lt;8.25,0,IF(R206*2&gt;=80,5,IF(R206*2&gt;=70,4,IF(R206*2&gt;=60,3.5,IF(R206*2&gt;=50,3,IF(R206*2&gt;=40,2,IF(R206*2&gt;=33,1,0)))))))</f>
        <v/>
      </c>
      <c r="AK206">
        <f>IF(S206&lt;33,0,IF(S206&gt;=80,5,IF(S206&gt;=70,4,IF(S206&gt;=60,3.5,IF(S206&gt;=50,3,IF(S206&gt;=40,2,IF(S206&gt;=33,1,0)))))))</f>
        <v/>
      </c>
      <c r="AL206">
        <f>(AC206+AD206+AE206+AF206+AG206+AH206+AI206+AJ206)/8</f>
        <v/>
      </c>
      <c r="AM206">
        <f>IF(AK206&gt;=2,(AK206-2)/8,0)</f>
        <v/>
      </c>
    </row>
    <row r="207">
      <c r="T207">
        <f>SUM(C207:R207)</f>
        <v/>
      </c>
      <c r="U207" s="6">
        <f>ROUND(T207/11.5,2)</f>
        <v/>
      </c>
      <c r="V207" s="7">
        <f>IF(B207="","",IF(AB207,0,ROUND(AL207,2)))</f>
        <v/>
      </c>
      <c r="W207" s="7">
        <f>IF(B207="","",IF(AB207,0,MIN(5,ROUND(AL207+AM207,2))))</f>
        <v/>
      </c>
      <c r="X207" s="8">
        <f>IF(B207="","",IF(W207&gt;=5,"A+",IF(W207&gt;=4,"A",IF(W207&gt;=3.5,"A-",IF(W207&gt;=3,"B",IF(W207&gt;=2,"C",IF(W207&gt;=1,"D","F")))))))</f>
        <v/>
      </c>
      <c r="Y207">
        <f>NOT(OR(AND(J207&gt;=10,K207&gt;=23,L207&gt;=10,M207&gt;=23),AND(J207+L207&gt;=20,K207+M207&gt;=46)))</f>
        <v/>
      </c>
      <c r="Z207">
        <f>OR(N207&lt;10,O207&lt;23)</f>
        <v/>
      </c>
      <c r="AA207">
        <f>OR(P207&lt;10,Q207&lt;23)</f>
        <v/>
      </c>
      <c r="AB207">
        <f>OR((C207+D207)&lt;66,(E207+F207)&lt;66,G207&lt;33,(H207+I207)&lt;66,Y207,Z207,AA207,R207&lt;8.25)</f>
        <v/>
      </c>
      <c r="AC207">
        <f>IF(C207+D207&lt;66,0,IF((C207+D207)/2&gt;=80,5,IF((C207+D207)/2&gt;=70,4,IF((C207+D207)/2&gt;=60,3.5,IF((C207+D207)/2&gt;=50,3,IF((C207+D207)/2&gt;=40,2,IF((C207+D207)/2&gt;=33,1,0)))))))</f>
        <v/>
      </c>
      <c r="AD207">
        <f>IF(E207+F207&lt;66,0,IF((E207+F207)/2&gt;=80,5,IF((E207+F207)/2&gt;=70,4,IF((E207+F207)/2&gt;=60,3.5,IF((E207+F207)/2&gt;=50,3,IF((E207+F207)/2&gt;=40,2,IF((E207+F207)/2&gt;=33,1,0)))))))</f>
        <v/>
      </c>
      <c r="AE207">
        <f>IF(G207&lt;33,0,IF(G207&gt;=80,5,IF(G207&gt;=70,4,IF(G207&gt;=60,3.5,IF(G207&gt;=50,3,IF(G207&gt;=40,2,IF(G207&gt;=33,1,0)))))))</f>
        <v/>
      </c>
      <c r="AF207">
        <f>IF(H207+I207&lt;66,0,IF((H207+I207)/2&gt;=80,5,IF((H207+I207)/2&gt;=70,4,IF((H207+I207)/2&gt;=60,3.5,IF((H207+I207)/2&gt;=50,3,IF((H207+I207)/2&gt;=40,2,IF((H207+I207)/2&gt;=33,1,0)))))))</f>
        <v/>
      </c>
      <c r="AG207">
        <f>IF(Y207,0,IF((J207+K207+L207+M207)/2&gt;=80,5,IF((J207+K207+L207+M207)/2&gt;=70,4,IF((J207+K207+L207+M207)/2&gt;=60,3.5,IF((J207+K207+L207+M207)/2&gt;=50,3,IF((J207+K207+L207+M207)/2&gt;=40,2,IF((J207+K207+L207+M207)/2&gt;=33,1,0)))))))</f>
        <v/>
      </c>
      <c r="AH207">
        <f>IF(Z207,0,IF(N207+O207&gt;=80,5,IF(N207+O207&gt;=70,4,IF(N207+O207&gt;=60,3.5,IF(N207+O207&gt;=50,3,IF(N207+O207&gt;=40,2,IF(N207+O207&gt;=33,1,0)))))))</f>
        <v/>
      </c>
      <c r="AI207">
        <f>IF(AA207,0,IF(P207+Q207&gt;=80,5,IF(P207+Q207&gt;=70,4,IF(P207+Q207&gt;=60,3.5,IF(P207+Q207&gt;=50,3,IF(P207+Q207&gt;=40,2,IF(P207+Q207&gt;=33,1,0)))))))</f>
        <v/>
      </c>
      <c r="AJ207">
        <f>IF(R207&lt;8.25,0,IF(R207*2&gt;=80,5,IF(R207*2&gt;=70,4,IF(R207*2&gt;=60,3.5,IF(R207*2&gt;=50,3,IF(R207*2&gt;=40,2,IF(R207*2&gt;=33,1,0)))))))</f>
        <v/>
      </c>
      <c r="AK207">
        <f>IF(S207&lt;33,0,IF(S207&gt;=80,5,IF(S207&gt;=70,4,IF(S207&gt;=60,3.5,IF(S207&gt;=50,3,IF(S207&gt;=40,2,IF(S207&gt;=33,1,0)))))))</f>
        <v/>
      </c>
      <c r="AL207">
        <f>(AC207+AD207+AE207+AF207+AG207+AH207+AI207+AJ207)/8</f>
        <v/>
      </c>
      <c r="AM207">
        <f>IF(AK207&gt;=2,(AK207-2)/8,0)</f>
        <v/>
      </c>
    </row>
    <row r="208">
      <c r="T208">
        <f>SUM(C208:R208)</f>
        <v/>
      </c>
      <c r="U208" s="6">
        <f>ROUND(T208/11.5,2)</f>
        <v/>
      </c>
      <c r="V208" s="7">
        <f>IF(B208="","",IF(AB208,0,ROUND(AL208,2)))</f>
        <v/>
      </c>
      <c r="W208" s="7">
        <f>IF(B208="","",IF(AB208,0,MIN(5,ROUND(AL208+AM208,2))))</f>
        <v/>
      </c>
      <c r="X208" s="8">
        <f>IF(B208="","",IF(W208&gt;=5,"A+",IF(W208&gt;=4,"A",IF(W208&gt;=3.5,"A-",IF(W208&gt;=3,"B",IF(W208&gt;=2,"C",IF(W208&gt;=1,"D","F")))))))</f>
        <v/>
      </c>
      <c r="Y208">
        <f>NOT(OR(AND(J208&gt;=10,K208&gt;=23,L208&gt;=10,M208&gt;=23),AND(J208+L208&gt;=20,K208+M208&gt;=46)))</f>
        <v/>
      </c>
      <c r="Z208">
        <f>OR(N208&lt;10,O208&lt;23)</f>
        <v/>
      </c>
      <c r="AA208">
        <f>OR(P208&lt;10,Q208&lt;23)</f>
        <v/>
      </c>
      <c r="AB208">
        <f>OR((C208+D208)&lt;66,(E208+F208)&lt;66,G208&lt;33,(H208+I208)&lt;66,Y208,Z208,AA208,R208&lt;8.25)</f>
        <v/>
      </c>
      <c r="AC208">
        <f>IF(C208+D208&lt;66,0,IF((C208+D208)/2&gt;=80,5,IF((C208+D208)/2&gt;=70,4,IF((C208+D208)/2&gt;=60,3.5,IF((C208+D208)/2&gt;=50,3,IF((C208+D208)/2&gt;=40,2,IF((C208+D208)/2&gt;=33,1,0)))))))</f>
        <v/>
      </c>
      <c r="AD208">
        <f>IF(E208+F208&lt;66,0,IF((E208+F208)/2&gt;=80,5,IF((E208+F208)/2&gt;=70,4,IF((E208+F208)/2&gt;=60,3.5,IF((E208+F208)/2&gt;=50,3,IF((E208+F208)/2&gt;=40,2,IF((E208+F208)/2&gt;=33,1,0)))))))</f>
        <v/>
      </c>
      <c r="AE208">
        <f>IF(G208&lt;33,0,IF(G208&gt;=80,5,IF(G208&gt;=70,4,IF(G208&gt;=60,3.5,IF(G208&gt;=50,3,IF(G208&gt;=40,2,IF(G208&gt;=33,1,0)))))))</f>
        <v/>
      </c>
      <c r="AF208">
        <f>IF(H208+I208&lt;66,0,IF((H208+I208)/2&gt;=80,5,IF((H208+I208)/2&gt;=70,4,IF((H208+I208)/2&gt;=60,3.5,IF((H208+I208)/2&gt;=50,3,IF((H208+I208)/2&gt;=40,2,IF((H208+I208)/2&gt;=33,1,0)))))))</f>
        <v/>
      </c>
      <c r="AG208">
        <f>IF(Y208,0,IF((J208+K208+L208+M208)/2&gt;=80,5,IF((J208+K208+L208+M208)/2&gt;=70,4,IF((J208+K208+L208+M208)/2&gt;=60,3.5,IF((J208+K208+L208+M208)/2&gt;=50,3,IF((J208+K208+L208+M208)/2&gt;=40,2,IF((J208+K208+L208+M208)/2&gt;=33,1,0)))))))</f>
        <v/>
      </c>
      <c r="AH208">
        <f>IF(Z208,0,IF(N208+O208&gt;=80,5,IF(N208+O208&gt;=70,4,IF(N208+O208&gt;=60,3.5,IF(N208+O208&gt;=50,3,IF(N208+O208&gt;=40,2,IF(N208+O208&gt;=33,1,0)))))))</f>
        <v/>
      </c>
      <c r="AI208">
        <f>IF(AA208,0,IF(P208+Q208&gt;=80,5,IF(P208+Q208&gt;=70,4,IF(P208+Q208&gt;=60,3.5,IF(P208+Q208&gt;=50,3,IF(P208+Q208&gt;=40,2,IF(P208+Q208&gt;=33,1,0)))))))</f>
        <v/>
      </c>
      <c r="AJ208">
        <f>IF(R208&lt;8.25,0,IF(R208*2&gt;=80,5,IF(R208*2&gt;=70,4,IF(R208*2&gt;=60,3.5,IF(R208*2&gt;=50,3,IF(R208*2&gt;=40,2,IF(R208*2&gt;=33,1,0)))))))</f>
        <v/>
      </c>
      <c r="AK208">
        <f>IF(S208&lt;33,0,IF(S208&gt;=80,5,IF(S208&gt;=70,4,IF(S208&gt;=60,3.5,IF(S208&gt;=50,3,IF(S208&gt;=40,2,IF(S208&gt;=33,1,0)))))))</f>
        <v/>
      </c>
      <c r="AL208">
        <f>(AC208+AD208+AE208+AF208+AG208+AH208+AI208+AJ208)/8</f>
        <v/>
      </c>
      <c r="AM208">
        <f>IF(AK208&gt;=2,(AK208-2)/8,0)</f>
        <v/>
      </c>
    </row>
    <row r="209">
      <c r="T209">
        <f>SUM(C209:R209)</f>
        <v/>
      </c>
      <c r="U209" s="6">
        <f>ROUND(T209/11.5,2)</f>
        <v/>
      </c>
      <c r="V209" s="7">
        <f>IF(B209="","",IF(AB209,0,ROUND(AL209,2)))</f>
        <v/>
      </c>
      <c r="W209" s="7">
        <f>IF(B209="","",IF(AB209,0,MIN(5,ROUND(AL209+AM209,2))))</f>
        <v/>
      </c>
      <c r="X209" s="8">
        <f>IF(B209="","",IF(W209&gt;=5,"A+",IF(W209&gt;=4,"A",IF(W209&gt;=3.5,"A-",IF(W209&gt;=3,"B",IF(W209&gt;=2,"C",IF(W209&gt;=1,"D","F")))))))</f>
        <v/>
      </c>
      <c r="Y209">
        <f>NOT(OR(AND(J209&gt;=10,K209&gt;=23,L209&gt;=10,M209&gt;=23),AND(J209+L209&gt;=20,K209+M209&gt;=46)))</f>
        <v/>
      </c>
      <c r="Z209">
        <f>OR(N209&lt;10,O209&lt;23)</f>
        <v/>
      </c>
      <c r="AA209">
        <f>OR(P209&lt;10,Q209&lt;23)</f>
        <v/>
      </c>
      <c r="AB209">
        <f>OR((C209+D209)&lt;66,(E209+F209)&lt;66,G209&lt;33,(H209+I209)&lt;66,Y209,Z209,AA209,R209&lt;8.25)</f>
        <v/>
      </c>
      <c r="AC209">
        <f>IF(C209+D209&lt;66,0,IF((C209+D209)/2&gt;=80,5,IF((C209+D209)/2&gt;=70,4,IF((C209+D209)/2&gt;=60,3.5,IF((C209+D209)/2&gt;=50,3,IF((C209+D209)/2&gt;=40,2,IF((C209+D209)/2&gt;=33,1,0)))))))</f>
        <v/>
      </c>
      <c r="AD209">
        <f>IF(E209+F209&lt;66,0,IF((E209+F209)/2&gt;=80,5,IF((E209+F209)/2&gt;=70,4,IF((E209+F209)/2&gt;=60,3.5,IF((E209+F209)/2&gt;=50,3,IF((E209+F209)/2&gt;=40,2,IF((E209+F209)/2&gt;=33,1,0)))))))</f>
        <v/>
      </c>
      <c r="AE209">
        <f>IF(G209&lt;33,0,IF(G209&gt;=80,5,IF(G209&gt;=70,4,IF(G209&gt;=60,3.5,IF(G209&gt;=50,3,IF(G209&gt;=40,2,IF(G209&gt;=33,1,0)))))))</f>
        <v/>
      </c>
      <c r="AF209">
        <f>IF(H209+I209&lt;66,0,IF((H209+I209)/2&gt;=80,5,IF((H209+I209)/2&gt;=70,4,IF((H209+I209)/2&gt;=60,3.5,IF((H209+I209)/2&gt;=50,3,IF((H209+I209)/2&gt;=40,2,IF((H209+I209)/2&gt;=33,1,0)))))))</f>
        <v/>
      </c>
      <c r="AG209">
        <f>IF(Y209,0,IF((J209+K209+L209+M209)/2&gt;=80,5,IF((J209+K209+L209+M209)/2&gt;=70,4,IF((J209+K209+L209+M209)/2&gt;=60,3.5,IF((J209+K209+L209+M209)/2&gt;=50,3,IF((J209+K209+L209+M209)/2&gt;=40,2,IF((J209+K209+L209+M209)/2&gt;=33,1,0)))))))</f>
        <v/>
      </c>
      <c r="AH209">
        <f>IF(Z209,0,IF(N209+O209&gt;=80,5,IF(N209+O209&gt;=70,4,IF(N209+O209&gt;=60,3.5,IF(N209+O209&gt;=50,3,IF(N209+O209&gt;=40,2,IF(N209+O209&gt;=33,1,0)))))))</f>
        <v/>
      </c>
      <c r="AI209">
        <f>IF(AA209,0,IF(P209+Q209&gt;=80,5,IF(P209+Q209&gt;=70,4,IF(P209+Q209&gt;=60,3.5,IF(P209+Q209&gt;=50,3,IF(P209+Q209&gt;=40,2,IF(P209+Q209&gt;=33,1,0)))))))</f>
        <v/>
      </c>
      <c r="AJ209">
        <f>IF(R209&lt;8.25,0,IF(R209*2&gt;=80,5,IF(R209*2&gt;=70,4,IF(R209*2&gt;=60,3.5,IF(R209*2&gt;=50,3,IF(R209*2&gt;=40,2,IF(R209*2&gt;=33,1,0)))))))</f>
        <v/>
      </c>
      <c r="AK209">
        <f>IF(S209&lt;33,0,IF(S209&gt;=80,5,IF(S209&gt;=70,4,IF(S209&gt;=60,3.5,IF(S209&gt;=50,3,IF(S209&gt;=40,2,IF(S209&gt;=33,1,0)))))))</f>
        <v/>
      </c>
      <c r="AL209">
        <f>(AC209+AD209+AE209+AF209+AG209+AH209+AI209+AJ209)/8</f>
        <v/>
      </c>
      <c r="AM209">
        <f>IF(AK209&gt;=2,(AK209-2)/8,0)</f>
        <v/>
      </c>
    </row>
    <row r="210">
      <c r="T210">
        <f>SUM(C210:R210)</f>
        <v/>
      </c>
      <c r="U210" s="6">
        <f>ROUND(T210/11.5,2)</f>
        <v/>
      </c>
      <c r="V210" s="7">
        <f>IF(B210="","",IF(AB210,0,ROUND(AL210,2)))</f>
        <v/>
      </c>
      <c r="W210" s="7">
        <f>IF(B210="","",IF(AB210,0,MIN(5,ROUND(AL210+AM210,2))))</f>
        <v/>
      </c>
      <c r="X210" s="8">
        <f>IF(B210="","",IF(W210&gt;=5,"A+",IF(W210&gt;=4,"A",IF(W210&gt;=3.5,"A-",IF(W210&gt;=3,"B",IF(W210&gt;=2,"C",IF(W210&gt;=1,"D","F")))))))</f>
        <v/>
      </c>
      <c r="Y210">
        <f>NOT(OR(AND(J210&gt;=10,K210&gt;=23,L210&gt;=10,M210&gt;=23),AND(J210+L210&gt;=20,K210+M210&gt;=46)))</f>
        <v/>
      </c>
      <c r="Z210">
        <f>OR(N210&lt;10,O210&lt;23)</f>
        <v/>
      </c>
      <c r="AA210">
        <f>OR(P210&lt;10,Q210&lt;23)</f>
        <v/>
      </c>
      <c r="AB210">
        <f>OR((C210+D210)&lt;66,(E210+F210)&lt;66,G210&lt;33,(H210+I210)&lt;66,Y210,Z210,AA210,R210&lt;8.25)</f>
        <v/>
      </c>
      <c r="AC210">
        <f>IF(C210+D210&lt;66,0,IF((C210+D210)/2&gt;=80,5,IF((C210+D210)/2&gt;=70,4,IF((C210+D210)/2&gt;=60,3.5,IF((C210+D210)/2&gt;=50,3,IF((C210+D210)/2&gt;=40,2,IF((C210+D210)/2&gt;=33,1,0)))))))</f>
        <v/>
      </c>
      <c r="AD210">
        <f>IF(E210+F210&lt;66,0,IF((E210+F210)/2&gt;=80,5,IF((E210+F210)/2&gt;=70,4,IF((E210+F210)/2&gt;=60,3.5,IF((E210+F210)/2&gt;=50,3,IF((E210+F210)/2&gt;=40,2,IF((E210+F210)/2&gt;=33,1,0)))))))</f>
        <v/>
      </c>
      <c r="AE210">
        <f>IF(G210&lt;33,0,IF(G210&gt;=80,5,IF(G210&gt;=70,4,IF(G210&gt;=60,3.5,IF(G210&gt;=50,3,IF(G210&gt;=40,2,IF(G210&gt;=33,1,0)))))))</f>
        <v/>
      </c>
      <c r="AF210">
        <f>IF(H210+I210&lt;66,0,IF((H210+I210)/2&gt;=80,5,IF((H210+I210)/2&gt;=70,4,IF((H210+I210)/2&gt;=60,3.5,IF((H210+I210)/2&gt;=50,3,IF((H210+I210)/2&gt;=40,2,IF((H210+I210)/2&gt;=33,1,0)))))))</f>
        <v/>
      </c>
      <c r="AG210">
        <f>IF(Y210,0,IF((J210+K210+L210+M210)/2&gt;=80,5,IF((J210+K210+L210+M210)/2&gt;=70,4,IF((J210+K210+L210+M210)/2&gt;=60,3.5,IF((J210+K210+L210+M210)/2&gt;=50,3,IF((J210+K210+L210+M210)/2&gt;=40,2,IF((J210+K210+L210+M210)/2&gt;=33,1,0)))))))</f>
        <v/>
      </c>
      <c r="AH210">
        <f>IF(Z210,0,IF(N210+O210&gt;=80,5,IF(N210+O210&gt;=70,4,IF(N210+O210&gt;=60,3.5,IF(N210+O210&gt;=50,3,IF(N210+O210&gt;=40,2,IF(N210+O210&gt;=33,1,0)))))))</f>
        <v/>
      </c>
      <c r="AI210">
        <f>IF(AA210,0,IF(P210+Q210&gt;=80,5,IF(P210+Q210&gt;=70,4,IF(P210+Q210&gt;=60,3.5,IF(P210+Q210&gt;=50,3,IF(P210+Q210&gt;=40,2,IF(P210+Q210&gt;=33,1,0)))))))</f>
        <v/>
      </c>
      <c r="AJ210">
        <f>IF(R210&lt;8.25,0,IF(R210*2&gt;=80,5,IF(R210*2&gt;=70,4,IF(R210*2&gt;=60,3.5,IF(R210*2&gt;=50,3,IF(R210*2&gt;=40,2,IF(R210*2&gt;=33,1,0)))))))</f>
        <v/>
      </c>
      <c r="AK210">
        <f>IF(S210&lt;33,0,IF(S210&gt;=80,5,IF(S210&gt;=70,4,IF(S210&gt;=60,3.5,IF(S210&gt;=50,3,IF(S210&gt;=40,2,IF(S210&gt;=33,1,0)))))))</f>
        <v/>
      </c>
      <c r="AL210">
        <f>(AC210+AD210+AE210+AF210+AG210+AH210+AI210+AJ210)/8</f>
        <v/>
      </c>
      <c r="AM210">
        <f>IF(AK210&gt;=2,(AK210-2)/8,0)</f>
        <v/>
      </c>
    </row>
    <row r="211">
      <c r="T211">
        <f>SUM(C211:R211)</f>
        <v/>
      </c>
      <c r="U211" s="6">
        <f>ROUND(T211/11.5,2)</f>
        <v/>
      </c>
      <c r="V211" s="7">
        <f>IF(B211="","",IF(AB211,0,ROUND(AL211,2)))</f>
        <v/>
      </c>
      <c r="W211" s="7">
        <f>IF(B211="","",IF(AB211,0,MIN(5,ROUND(AL211+AM211,2))))</f>
        <v/>
      </c>
      <c r="X211" s="8">
        <f>IF(B211="","",IF(W211&gt;=5,"A+",IF(W211&gt;=4,"A",IF(W211&gt;=3.5,"A-",IF(W211&gt;=3,"B",IF(W211&gt;=2,"C",IF(W211&gt;=1,"D","F")))))))</f>
        <v/>
      </c>
      <c r="Y211">
        <f>NOT(OR(AND(J211&gt;=10,K211&gt;=23,L211&gt;=10,M211&gt;=23),AND(J211+L211&gt;=20,K211+M211&gt;=46)))</f>
        <v/>
      </c>
      <c r="Z211">
        <f>OR(N211&lt;10,O211&lt;23)</f>
        <v/>
      </c>
      <c r="AA211">
        <f>OR(P211&lt;10,Q211&lt;23)</f>
        <v/>
      </c>
      <c r="AB211">
        <f>OR((C211+D211)&lt;66,(E211+F211)&lt;66,G211&lt;33,(H211+I211)&lt;66,Y211,Z211,AA211,R211&lt;8.25)</f>
        <v/>
      </c>
      <c r="AC211">
        <f>IF(C211+D211&lt;66,0,IF((C211+D211)/2&gt;=80,5,IF((C211+D211)/2&gt;=70,4,IF((C211+D211)/2&gt;=60,3.5,IF((C211+D211)/2&gt;=50,3,IF((C211+D211)/2&gt;=40,2,IF((C211+D211)/2&gt;=33,1,0)))))))</f>
        <v/>
      </c>
      <c r="AD211">
        <f>IF(E211+F211&lt;66,0,IF((E211+F211)/2&gt;=80,5,IF((E211+F211)/2&gt;=70,4,IF((E211+F211)/2&gt;=60,3.5,IF((E211+F211)/2&gt;=50,3,IF((E211+F211)/2&gt;=40,2,IF((E211+F211)/2&gt;=33,1,0)))))))</f>
        <v/>
      </c>
      <c r="AE211">
        <f>IF(G211&lt;33,0,IF(G211&gt;=80,5,IF(G211&gt;=70,4,IF(G211&gt;=60,3.5,IF(G211&gt;=50,3,IF(G211&gt;=40,2,IF(G211&gt;=33,1,0)))))))</f>
        <v/>
      </c>
      <c r="AF211">
        <f>IF(H211+I211&lt;66,0,IF((H211+I211)/2&gt;=80,5,IF((H211+I211)/2&gt;=70,4,IF((H211+I211)/2&gt;=60,3.5,IF((H211+I211)/2&gt;=50,3,IF((H211+I211)/2&gt;=40,2,IF((H211+I211)/2&gt;=33,1,0)))))))</f>
        <v/>
      </c>
      <c r="AG211">
        <f>IF(Y211,0,IF((J211+K211+L211+M211)/2&gt;=80,5,IF((J211+K211+L211+M211)/2&gt;=70,4,IF((J211+K211+L211+M211)/2&gt;=60,3.5,IF((J211+K211+L211+M211)/2&gt;=50,3,IF((J211+K211+L211+M211)/2&gt;=40,2,IF((J211+K211+L211+M211)/2&gt;=33,1,0)))))))</f>
        <v/>
      </c>
      <c r="AH211">
        <f>IF(Z211,0,IF(N211+O211&gt;=80,5,IF(N211+O211&gt;=70,4,IF(N211+O211&gt;=60,3.5,IF(N211+O211&gt;=50,3,IF(N211+O211&gt;=40,2,IF(N211+O211&gt;=33,1,0)))))))</f>
        <v/>
      </c>
      <c r="AI211">
        <f>IF(AA211,0,IF(P211+Q211&gt;=80,5,IF(P211+Q211&gt;=70,4,IF(P211+Q211&gt;=60,3.5,IF(P211+Q211&gt;=50,3,IF(P211+Q211&gt;=40,2,IF(P211+Q211&gt;=33,1,0)))))))</f>
        <v/>
      </c>
      <c r="AJ211">
        <f>IF(R211&lt;8.25,0,IF(R211*2&gt;=80,5,IF(R211*2&gt;=70,4,IF(R211*2&gt;=60,3.5,IF(R211*2&gt;=50,3,IF(R211*2&gt;=40,2,IF(R211*2&gt;=33,1,0)))))))</f>
        <v/>
      </c>
      <c r="AK211">
        <f>IF(S211&lt;33,0,IF(S211&gt;=80,5,IF(S211&gt;=70,4,IF(S211&gt;=60,3.5,IF(S211&gt;=50,3,IF(S211&gt;=40,2,IF(S211&gt;=33,1,0)))))))</f>
        <v/>
      </c>
      <c r="AL211">
        <f>(AC211+AD211+AE211+AF211+AG211+AH211+AI211+AJ211)/8</f>
        <v/>
      </c>
      <c r="AM211">
        <f>IF(AK211&gt;=2,(AK211-2)/8,0)</f>
        <v/>
      </c>
    </row>
    <row r="212">
      <c r="T212">
        <f>SUM(C212:R212)</f>
        <v/>
      </c>
      <c r="U212" s="6">
        <f>ROUND(T212/11.5,2)</f>
        <v/>
      </c>
      <c r="V212" s="7">
        <f>IF(B212="","",IF(AB212,0,ROUND(AL212,2)))</f>
        <v/>
      </c>
      <c r="W212" s="7">
        <f>IF(B212="","",IF(AB212,0,MIN(5,ROUND(AL212+AM212,2))))</f>
        <v/>
      </c>
      <c r="X212" s="8">
        <f>IF(B212="","",IF(W212&gt;=5,"A+",IF(W212&gt;=4,"A",IF(W212&gt;=3.5,"A-",IF(W212&gt;=3,"B",IF(W212&gt;=2,"C",IF(W212&gt;=1,"D","F")))))))</f>
        <v/>
      </c>
      <c r="Y212">
        <f>NOT(OR(AND(J212&gt;=10,K212&gt;=23,L212&gt;=10,M212&gt;=23),AND(J212+L212&gt;=20,K212+M212&gt;=46)))</f>
        <v/>
      </c>
      <c r="Z212">
        <f>OR(N212&lt;10,O212&lt;23)</f>
        <v/>
      </c>
      <c r="AA212">
        <f>OR(P212&lt;10,Q212&lt;23)</f>
        <v/>
      </c>
      <c r="AB212">
        <f>OR((C212+D212)&lt;66,(E212+F212)&lt;66,G212&lt;33,(H212+I212)&lt;66,Y212,Z212,AA212,R212&lt;8.25)</f>
        <v/>
      </c>
      <c r="AC212">
        <f>IF(C212+D212&lt;66,0,IF((C212+D212)/2&gt;=80,5,IF((C212+D212)/2&gt;=70,4,IF((C212+D212)/2&gt;=60,3.5,IF((C212+D212)/2&gt;=50,3,IF((C212+D212)/2&gt;=40,2,IF((C212+D212)/2&gt;=33,1,0)))))))</f>
        <v/>
      </c>
      <c r="AD212">
        <f>IF(E212+F212&lt;66,0,IF((E212+F212)/2&gt;=80,5,IF((E212+F212)/2&gt;=70,4,IF((E212+F212)/2&gt;=60,3.5,IF((E212+F212)/2&gt;=50,3,IF((E212+F212)/2&gt;=40,2,IF((E212+F212)/2&gt;=33,1,0)))))))</f>
        <v/>
      </c>
      <c r="AE212">
        <f>IF(G212&lt;33,0,IF(G212&gt;=80,5,IF(G212&gt;=70,4,IF(G212&gt;=60,3.5,IF(G212&gt;=50,3,IF(G212&gt;=40,2,IF(G212&gt;=33,1,0)))))))</f>
        <v/>
      </c>
      <c r="AF212">
        <f>IF(H212+I212&lt;66,0,IF((H212+I212)/2&gt;=80,5,IF((H212+I212)/2&gt;=70,4,IF((H212+I212)/2&gt;=60,3.5,IF((H212+I212)/2&gt;=50,3,IF((H212+I212)/2&gt;=40,2,IF((H212+I212)/2&gt;=33,1,0)))))))</f>
        <v/>
      </c>
      <c r="AG212">
        <f>IF(Y212,0,IF((J212+K212+L212+M212)/2&gt;=80,5,IF((J212+K212+L212+M212)/2&gt;=70,4,IF((J212+K212+L212+M212)/2&gt;=60,3.5,IF((J212+K212+L212+M212)/2&gt;=50,3,IF((J212+K212+L212+M212)/2&gt;=40,2,IF((J212+K212+L212+M212)/2&gt;=33,1,0)))))))</f>
        <v/>
      </c>
      <c r="AH212">
        <f>IF(Z212,0,IF(N212+O212&gt;=80,5,IF(N212+O212&gt;=70,4,IF(N212+O212&gt;=60,3.5,IF(N212+O212&gt;=50,3,IF(N212+O212&gt;=40,2,IF(N212+O212&gt;=33,1,0)))))))</f>
        <v/>
      </c>
      <c r="AI212">
        <f>IF(AA212,0,IF(P212+Q212&gt;=80,5,IF(P212+Q212&gt;=70,4,IF(P212+Q212&gt;=60,3.5,IF(P212+Q212&gt;=50,3,IF(P212+Q212&gt;=40,2,IF(P212+Q212&gt;=33,1,0)))))))</f>
        <v/>
      </c>
      <c r="AJ212">
        <f>IF(R212&lt;8.25,0,IF(R212*2&gt;=80,5,IF(R212*2&gt;=70,4,IF(R212*2&gt;=60,3.5,IF(R212*2&gt;=50,3,IF(R212*2&gt;=40,2,IF(R212*2&gt;=33,1,0)))))))</f>
        <v/>
      </c>
      <c r="AK212">
        <f>IF(S212&lt;33,0,IF(S212&gt;=80,5,IF(S212&gt;=70,4,IF(S212&gt;=60,3.5,IF(S212&gt;=50,3,IF(S212&gt;=40,2,IF(S212&gt;=33,1,0)))))))</f>
        <v/>
      </c>
      <c r="AL212">
        <f>(AC212+AD212+AE212+AF212+AG212+AH212+AI212+AJ212)/8</f>
        <v/>
      </c>
      <c r="AM212">
        <f>IF(AK212&gt;=2,(AK212-2)/8,0)</f>
        <v/>
      </c>
    </row>
    <row r="213">
      <c r="T213">
        <f>SUM(C213:R213)</f>
        <v/>
      </c>
      <c r="U213" s="6">
        <f>ROUND(T213/11.5,2)</f>
        <v/>
      </c>
      <c r="V213" s="7">
        <f>IF(B213="","",IF(AB213,0,ROUND(AL213,2)))</f>
        <v/>
      </c>
      <c r="W213" s="7">
        <f>IF(B213="","",IF(AB213,0,MIN(5,ROUND(AL213+AM213,2))))</f>
        <v/>
      </c>
      <c r="X213" s="8">
        <f>IF(B213="","",IF(W213&gt;=5,"A+",IF(W213&gt;=4,"A",IF(W213&gt;=3.5,"A-",IF(W213&gt;=3,"B",IF(W213&gt;=2,"C",IF(W213&gt;=1,"D","F")))))))</f>
        <v/>
      </c>
      <c r="Y213">
        <f>NOT(OR(AND(J213&gt;=10,K213&gt;=23,L213&gt;=10,M213&gt;=23),AND(J213+L213&gt;=20,K213+M213&gt;=46)))</f>
        <v/>
      </c>
      <c r="Z213">
        <f>OR(N213&lt;10,O213&lt;23)</f>
        <v/>
      </c>
      <c r="AA213">
        <f>OR(P213&lt;10,Q213&lt;23)</f>
        <v/>
      </c>
      <c r="AB213">
        <f>OR((C213+D213)&lt;66,(E213+F213)&lt;66,G213&lt;33,(H213+I213)&lt;66,Y213,Z213,AA213,R213&lt;8.25)</f>
        <v/>
      </c>
      <c r="AC213">
        <f>IF(C213+D213&lt;66,0,IF((C213+D213)/2&gt;=80,5,IF((C213+D213)/2&gt;=70,4,IF((C213+D213)/2&gt;=60,3.5,IF((C213+D213)/2&gt;=50,3,IF((C213+D213)/2&gt;=40,2,IF((C213+D213)/2&gt;=33,1,0)))))))</f>
        <v/>
      </c>
      <c r="AD213">
        <f>IF(E213+F213&lt;66,0,IF((E213+F213)/2&gt;=80,5,IF((E213+F213)/2&gt;=70,4,IF((E213+F213)/2&gt;=60,3.5,IF((E213+F213)/2&gt;=50,3,IF((E213+F213)/2&gt;=40,2,IF((E213+F213)/2&gt;=33,1,0)))))))</f>
        <v/>
      </c>
      <c r="AE213">
        <f>IF(G213&lt;33,0,IF(G213&gt;=80,5,IF(G213&gt;=70,4,IF(G213&gt;=60,3.5,IF(G213&gt;=50,3,IF(G213&gt;=40,2,IF(G213&gt;=33,1,0)))))))</f>
        <v/>
      </c>
      <c r="AF213">
        <f>IF(H213+I213&lt;66,0,IF((H213+I213)/2&gt;=80,5,IF((H213+I213)/2&gt;=70,4,IF((H213+I213)/2&gt;=60,3.5,IF((H213+I213)/2&gt;=50,3,IF((H213+I213)/2&gt;=40,2,IF((H213+I213)/2&gt;=33,1,0)))))))</f>
        <v/>
      </c>
      <c r="AG213">
        <f>IF(Y213,0,IF((J213+K213+L213+M213)/2&gt;=80,5,IF((J213+K213+L213+M213)/2&gt;=70,4,IF((J213+K213+L213+M213)/2&gt;=60,3.5,IF((J213+K213+L213+M213)/2&gt;=50,3,IF((J213+K213+L213+M213)/2&gt;=40,2,IF((J213+K213+L213+M213)/2&gt;=33,1,0)))))))</f>
        <v/>
      </c>
      <c r="AH213">
        <f>IF(Z213,0,IF(N213+O213&gt;=80,5,IF(N213+O213&gt;=70,4,IF(N213+O213&gt;=60,3.5,IF(N213+O213&gt;=50,3,IF(N213+O213&gt;=40,2,IF(N213+O213&gt;=33,1,0)))))))</f>
        <v/>
      </c>
      <c r="AI213">
        <f>IF(AA213,0,IF(P213+Q213&gt;=80,5,IF(P213+Q213&gt;=70,4,IF(P213+Q213&gt;=60,3.5,IF(P213+Q213&gt;=50,3,IF(P213+Q213&gt;=40,2,IF(P213+Q213&gt;=33,1,0)))))))</f>
        <v/>
      </c>
      <c r="AJ213">
        <f>IF(R213&lt;8.25,0,IF(R213*2&gt;=80,5,IF(R213*2&gt;=70,4,IF(R213*2&gt;=60,3.5,IF(R213*2&gt;=50,3,IF(R213*2&gt;=40,2,IF(R213*2&gt;=33,1,0)))))))</f>
        <v/>
      </c>
      <c r="AK213">
        <f>IF(S213&lt;33,0,IF(S213&gt;=80,5,IF(S213&gt;=70,4,IF(S213&gt;=60,3.5,IF(S213&gt;=50,3,IF(S213&gt;=40,2,IF(S213&gt;=33,1,0)))))))</f>
        <v/>
      </c>
      <c r="AL213">
        <f>(AC213+AD213+AE213+AF213+AG213+AH213+AI213+AJ213)/8</f>
        <v/>
      </c>
      <c r="AM213">
        <f>IF(AK213&gt;=2,(AK213-2)/8,0)</f>
        <v/>
      </c>
    </row>
    <row r="214">
      <c r="T214">
        <f>SUM(C214:R214)</f>
        <v/>
      </c>
      <c r="U214" s="6">
        <f>ROUND(T214/11.5,2)</f>
        <v/>
      </c>
      <c r="V214" s="7">
        <f>IF(B214="","",IF(AB214,0,ROUND(AL214,2)))</f>
        <v/>
      </c>
      <c r="W214" s="7">
        <f>IF(B214="","",IF(AB214,0,MIN(5,ROUND(AL214+AM214,2))))</f>
        <v/>
      </c>
      <c r="X214" s="8">
        <f>IF(B214="","",IF(W214&gt;=5,"A+",IF(W214&gt;=4,"A",IF(W214&gt;=3.5,"A-",IF(W214&gt;=3,"B",IF(W214&gt;=2,"C",IF(W214&gt;=1,"D","F")))))))</f>
        <v/>
      </c>
      <c r="Y214">
        <f>NOT(OR(AND(J214&gt;=10,K214&gt;=23,L214&gt;=10,M214&gt;=23),AND(J214+L214&gt;=20,K214+M214&gt;=46)))</f>
        <v/>
      </c>
      <c r="Z214">
        <f>OR(N214&lt;10,O214&lt;23)</f>
        <v/>
      </c>
      <c r="AA214">
        <f>OR(P214&lt;10,Q214&lt;23)</f>
        <v/>
      </c>
      <c r="AB214">
        <f>OR((C214+D214)&lt;66,(E214+F214)&lt;66,G214&lt;33,(H214+I214)&lt;66,Y214,Z214,AA214,R214&lt;8.25)</f>
        <v/>
      </c>
      <c r="AC214">
        <f>IF(C214+D214&lt;66,0,IF((C214+D214)/2&gt;=80,5,IF((C214+D214)/2&gt;=70,4,IF((C214+D214)/2&gt;=60,3.5,IF((C214+D214)/2&gt;=50,3,IF((C214+D214)/2&gt;=40,2,IF((C214+D214)/2&gt;=33,1,0)))))))</f>
        <v/>
      </c>
      <c r="AD214">
        <f>IF(E214+F214&lt;66,0,IF((E214+F214)/2&gt;=80,5,IF((E214+F214)/2&gt;=70,4,IF((E214+F214)/2&gt;=60,3.5,IF((E214+F214)/2&gt;=50,3,IF((E214+F214)/2&gt;=40,2,IF((E214+F214)/2&gt;=33,1,0)))))))</f>
        <v/>
      </c>
      <c r="AE214">
        <f>IF(G214&lt;33,0,IF(G214&gt;=80,5,IF(G214&gt;=70,4,IF(G214&gt;=60,3.5,IF(G214&gt;=50,3,IF(G214&gt;=40,2,IF(G214&gt;=33,1,0)))))))</f>
        <v/>
      </c>
      <c r="AF214">
        <f>IF(H214+I214&lt;66,0,IF((H214+I214)/2&gt;=80,5,IF((H214+I214)/2&gt;=70,4,IF((H214+I214)/2&gt;=60,3.5,IF((H214+I214)/2&gt;=50,3,IF((H214+I214)/2&gt;=40,2,IF((H214+I214)/2&gt;=33,1,0)))))))</f>
        <v/>
      </c>
      <c r="AG214">
        <f>IF(Y214,0,IF((J214+K214+L214+M214)/2&gt;=80,5,IF((J214+K214+L214+M214)/2&gt;=70,4,IF((J214+K214+L214+M214)/2&gt;=60,3.5,IF((J214+K214+L214+M214)/2&gt;=50,3,IF((J214+K214+L214+M214)/2&gt;=40,2,IF((J214+K214+L214+M214)/2&gt;=33,1,0)))))))</f>
        <v/>
      </c>
      <c r="AH214">
        <f>IF(Z214,0,IF(N214+O214&gt;=80,5,IF(N214+O214&gt;=70,4,IF(N214+O214&gt;=60,3.5,IF(N214+O214&gt;=50,3,IF(N214+O214&gt;=40,2,IF(N214+O214&gt;=33,1,0)))))))</f>
        <v/>
      </c>
      <c r="AI214">
        <f>IF(AA214,0,IF(P214+Q214&gt;=80,5,IF(P214+Q214&gt;=70,4,IF(P214+Q214&gt;=60,3.5,IF(P214+Q214&gt;=50,3,IF(P214+Q214&gt;=40,2,IF(P214+Q214&gt;=33,1,0)))))))</f>
        <v/>
      </c>
      <c r="AJ214">
        <f>IF(R214&lt;8.25,0,IF(R214*2&gt;=80,5,IF(R214*2&gt;=70,4,IF(R214*2&gt;=60,3.5,IF(R214*2&gt;=50,3,IF(R214*2&gt;=40,2,IF(R214*2&gt;=33,1,0)))))))</f>
        <v/>
      </c>
      <c r="AK214">
        <f>IF(S214&lt;33,0,IF(S214&gt;=80,5,IF(S214&gt;=70,4,IF(S214&gt;=60,3.5,IF(S214&gt;=50,3,IF(S214&gt;=40,2,IF(S214&gt;=33,1,0)))))))</f>
        <v/>
      </c>
      <c r="AL214">
        <f>(AC214+AD214+AE214+AF214+AG214+AH214+AI214+AJ214)/8</f>
        <v/>
      </c>
      <c r="AM214">
        <f>IF(AK214&gt;=2,(AK214-2)/8,0)</f>
        <v/>
      </c>
    </row>
    <row r="215">
      <c r="T215">
        <f>SUM(C215:R215)</f>
        <v/>
      </c>
      <c r="U215" s="6">
        <f>ROUND(T215/11.5,2)</f>
        <v/>
      </c>
      <c r="V215" s="7">
        <f>IF(B215="","",IF(AB215,0,ROUND(AL215,2)))</f>
        <v/>
      </c>
      <c r="W215" s="7">
        <f>IF(B215="","",IF(AB215,0,MIN(5,ROUND(AL215+AM215,2))))</f>
        <v/>
      </c>
      <c r="X215" s="8">
        <f>IF(B215="","",IF(W215&gt;=5,"A+",IF(W215&gt;=4,"A",IF(W215&gt;=3.5,"A-",IF(W215&gt;=3,"B",IF(W215&gt;=2,"C",IF(W215&gt;=1,"D","F")))))))</f>
        <v/>
      </c>
      <c r="Y215">
        <f>NOT(OR(AND(J215&gt;=10,K215&gt;=23,L215&gt;=10,M215&gt;=23),AND(J215+L215&gt;=20,K215+M215&gt;=46)))</f>
        <v/>
      </c>
      <c r="Z215">
        <f>OR(N215&lt;10,O215&lt;23)</f>
        <v/>
      </c>
      <c r="AA215">
        <f>OR(P215&lt;10,Q215&lt;23)</f>
        <v/>
      </c>
      <c r="AB215">
        <f>OR((C215+D215)&lt;66,(E215+F215)&lt;66,G215&lt;33,(H215+I215)&lt;66,Y215,Z215,AA215,R215&lt;8.25)</f>
        <v/>
      </c>
      <c r="AC215">
        <f>IF(C215+D215&lt;66,0,IF((C215+D215)/2&gt;=80,5,IF((C215+D215)/2&gt;=70,4,IF((C215+D215)/2&gt;=60,3.5,IF((C215+D215)/2&gt;=50,3,IF((C215+D215)/2&gt;=40,2,IF((C215+D215)/2&gt;=33,1,0)))))))</f>
        <v/>
      </c>
      <c r="AD215">
        <f>IF(E215+F215&lt;66,0,IF((E215+F215)/2&gt;=80,5,IF((E215+F215)/2&gt;=70,4,IF((E215+F215)/2&gt;=60,3.5,IF((E215+F215)/2&gt;=50,3,IF((E215+F215)/2&gt;=40,2,IF((E215+F215)/2&gt;=33,1,0)))))))</f>
        <v/>
      </c>
      <c r="AE215">
        <f>IF(G215&lt;33,0,IF(G215&gt;=80,5,IF(G215&gt;=70,4,IF(G215&gt;=60,3.5,IF(G215&gt;=50,3,IF(G215&gt;=40,2,IF(G215&gt;=33,1,0)))))))</f>
        <v/>
      </c>
      <c r="AF215">
        <f>IF(H215+I215&lt;66,0,IF((H215+I215)/2&gt;=80,5,IF((H215+I215)/2&gt;=70,4,IF((H215+I215)/2&gt;=60,3.5,IF((H215+I215)/2&gt;=50,3,IF((H215+I215)/2&gt;=40,2,IF((H215+I215)/2&gt;=33,1,0)))))))</f>
        <v/>
      </c>
      <c r="AG215">
        <f>IF(Y215,0,IF((J215+K215+L215+M215)/2&gt;=80,5,IF((J215+K215+L215+M215)/2&gt;=70,4,IF((J215+K215+L215+M215)/2&gt;=60,3.5,IF((J215+K215+L215+M215)/2&gt;=50,3,IF((J215+K215+L215+M215)/2&gt;=40,2,IF((J215+K215+L215+M215)/2&gt;=33,1,0)))))))</f>
        <v/>
      </c>
      <c r="AH215">
        <f>IF(Z215,0,IF(N215+O215&gt;=80,5,IF(N215+O215&gt;=70,4,IF(N215+O215&gt;=60,3.5,IF(N215+O215&gt;=50,3,IF(N215+O215&gt;=40,2,IF(N215+O215&gt;=33,1,0)))))))</f>
        <v/>
      </c>
      <c r="AI215">
        <f>IF(AA215,0,IF(P215+Q215&gt;=80,5,IF(P215+Q215&gt;=70,4,IF(P215+Q215&gt;=60,3.5,IF(P215+Q215&gt;=50,3,IF(P215+Q215&gt;=40,2,IF(P215+Q215&gt;=33,1,0)))))))</f>
        <v/>
      </c>
      <c r="AJ215">
        <f>IF(R215&lt;8.25,0,IF(R215*2&gt;=80,5,IF(R215*2&gt;=70,4,IF(R215*2&gt;=60,3.5,IF(R215*2&gt;=50,3,IF(R215*2&gt;=40,2,IF(R215*2&gt;=33,1,0)))))))</f>
        <v/>
      </c>
      <c r="AK215">
        <f>IF(S215&lt;33,0,IF(S215&gt;=80,5,IF(S215&gt;=70,4,IF(S215&gt;=60,3.5,IF(S215&gt;=50,3,IF(S215&gt;=40,2,IF(S215&gt;=33,1,0)))))))</f>
        <v/>
      </c>
      <c r="AL215">
        <f>(AC215+AD215+AE215+AF215+AG215+AH215+AI215+AJ215)/8</f>
        <v/>
      </c>
      <c r="AM215">
        <f>IF(AK215&gt;=2,(AK215-2)/8,0)</f>
        <v/>
      </c>
    </row>
    <row r="216">
      <c r="T216">
        <f>SUM(C216:R216)</f>
        <v/>
      </c>
      <c r="U216" s="6">
        <f>ROUND(T216/11.5,2)</f>
        <v/>
      </c>
      <c r="V216" s="7">
        <f>IF(B216="","",IF(AB216,0,ROUND(AL216,2)))</f>
        <v/>
      </c>
      <c r="W216" s="7">
        <f>IF(B216="","",IF(AB216,0,MIN(5,ROUND(AL216+AM216,2))))</f>
        <v/>
      </c>
      <c r="X216" s="8">
        <f>IF(B216="","",IF(W216&gt;=5,"A+",IF(W216&gt;=4,"A",IF(W216&gt;=3.5,"A-",IF(W216&gt;=3,"B",IF(W216&gt;=2,"C",IF(W216&gt;=1,"D","F")))))))</f>
        <v/>
      </c>
      <c r="Y216">
        <f>NOT(OR(AND(J216&gt;=10,K216&gt;=23,L216&gt;=10,M216&gt;=23),AND(J216+L216&gt;=20,K216+M216&gt;=46)))</f>
        <v/>
      </c>
      <c r="Z216">
        <f>OR(N216&lt;10,O216&lt;23)</f>
        <v/>
      </c>
      <c r="AA216">
        <f>OR(P216&lt;10,Q216&lt;23)</f>
        <v/>
      </c>
      <c r="AB216">
        <f>OR((C216+D216)&lt;66,(E216+F216)&lt;66,G216&lt;33,(H216+I216)&lt;66,Y216,Z216,AA216,R216&lt;8.25)</f>
        <v/>
      </c>
      <c r="AC216">
        <f>IF(C216+D216&lt;66,0,IF((C216+D216)/2&gt;=80,5,IF((C216+D216)/2&gt;=70,4,IF((C216+D216)/2&gt;=60,3.5,IF((C216+D216)/2&gt;=50,3,IF((C216+D216)/2&gt;=40,2,IF((C216+D216)/2&gt;=33,1,0)))))))</f>
        <v/>
      </c>
      <c r="AD216">
        <f>IF(E216+F216&lt;66,0,IF((E216+F216)/2&gt;=80,5,IF((E216+F216)/2&gt;=70,4,IF((E216+F216)/2&gt;=60,3.5,IF((E216+F216)/2&gt;=50,3,IF((E216+F216)/2&gt;=40,2,IF((E216+F216)/2&gt;=33,1,0)))))))</f>
        <v/>
      </c>
      <c r="AE216">
        <f>IF(G216&lt;33,0,IF(G216&gt;=80,5,IF(G216&gt;=70,4,IF(G216&gt;=60,3.5,IF(G216&gt;=50,3,IF(G216&gt;=40,2,IF(G216&gt;=33,1,0)))))))</f>
        <v/>
      </c>
      <c r="AF216">
        <f>IF(H216+I216&lt;66,0,IF((H216+I216)/2&gt;=80,5,IF((H216+I216)/2&gt;=70,4,IF((H216+I216)/2&gt;=60,3.5,IF((H216+I216)/2&gt;=50,3,IF((H216+I216)/2&gt;=40,2,IF((H216+I216)/2&gt;=33,1,0)))))))</f>
        <v/>
      </c>
      <c r="AG216">
        <f>IF(Y216,0,IF((J216+K216+L216+M216)/2&gt;=80,5,IF((J216+K216+L216+M216)/2&gt;=70,4,IF((J216+K216+L216+M216)/2&gt;=60,3.5,IF((J216+K216+L216+M216)/2&gt;=50,3,IF((J216+K216+L216+M216)/2&gt;=40,2,IF((J216+K216+L216+M216)/2&gt;=33,1,0)))))))</f>
        <v/>
      </c>
      <c r="AH216">
        <f>IF(Z216,0,IF(N216+O216&gt;=80,5,IF(N216+O216&gt;=70,4,IF(N216+O216&gt;=60,3.5,IF(N216+O216&gt;=50,3,IF(N216+O216&gt;=40,2,IF(N216+O216&gt;=33,1,0)))))))</f>
        <v/>
      </c>
      <c r="AI216">
        <f>IF(AA216,0,IF(P216+Q216&gt;=80,5,IF(P216+Q216&gt;=70,4,IF(P216+Q216&gt;=60,3.5,IF(P216+Q216&gt;=50,3,IF(P216+Q216&gt;=40,2,IF(P216+Q216&gt;=33,1,0)))))))</f>
        <v/>
      </c>
      <c r="AJ216">
        <f>IF(R216&lt;8.25,0,IF(R216*2&gt;=80,5,IF(R216*2&gt;=70,4,IF(R216*2&gt;=60,3.5,IF(R216*2&gt;=50,3,IF(R216*2&gt;=40,2,IF(R216*2&gt;=33,1,0)))))))</f>
        <v/>
      </c>
      <c r="AK216">
        <f>IF(S216&lt;33,0,IF(S216&gt;=80,5,IF(S216&gt;=70,4,IF(S216&gt;=60,3.5,IF(S216&gt;=50,3,IF(S216&gt;=40,2,IF(S216&gt;=33,1,0)))))))</f>
        <v/>
      </c>
      <c r="AL216">
        <f>(AC216+AD216+AE216+AF216+AG216+AH216+AI216+AJ216)/8</f>
        <v/>
      </c>
      <c r="AM216">
        <f>IF(AK216&gt;=2,(AK216-2)/8,0)</f>
        <v/>
      </c>
    </row>
    <row r="217">
      <c r="T217">
        <f>SUM(C217:R217)</f>
        <v/>
      </c>
      <c r="U217" s="6">
        <f>ROUND(T217/11.5,2)</f>
        <v/>
      </c>
      <c r="V217" s="7">
        <f>IF(B217="","",IF(AB217,0,ROUND(AL217,2)))</f>
        <v/>
      </c>
      <c r="W217" s="7">
        <f>IF(B217="","",IF(AB217,0,MIN(5,ROUND(AL217+AM217,2))))</f>
        <v/>
      </c>
      <c r="X217" s="8">
        <f>IF(B217="","",IF(W217&gt;=5,"A+",IF(W217&gt;=4,"A",IF(W217&gt;=3.5,"A-",IF(W217&gt;=3,"B",IF(W217&gt;=2,"C",IF(W217&gt;=1,"D","F")))))))</f>
        <v/>
      </c>
      <c r="Y217">
        <f>NOT(OR(AND(J217&gt;=10,K217&gt;=23,L217&gt;=10,M217&gt;=23),AND(J217+L217&gt;=20,K217+M217&gt;=46)))</f>
        <v/>
      </c>
      <c r="Z217">
        <f>OR(N217&lt;10,O217&lt;23)</f>
        <v/>
      </c>
      <c r="AA217">
        <f>OR(P217&lt;10,Q217&lt;23)</f>
        <v/>
      </c>
      <c r="AB217">
        <f>OR((C217+D217)&lt;66,(E217+F217)&lt;66,G217&lt;33,(H217+I217)&lt;66,Y217,Z217,AA217,R217&lt;8.25)</f>
        <v/>
      </c>
      <c r="AC217">
        <f>IF(C217+D217&lt;66,0,IF((C217+D217)/2&gt;=80,5,IF((C217+D217)/2&gt;=70,4,IF((C217+D217)/2&gt;=60,3.5,IF((C217+D217)/2&gt;=50,3,IF((C217+D217)/2&gt;=40,2,IF((C217+D217)/2&gt;=33,1,0)))))))</f>
        <v/>
      </c>
      <c r="AD217">
        <f>IF(E217+F217&lt;66,0,IF((E217+F217)/2&gt;=80,5,IF((E217+F217)/2&gt;=70,4,IF((E217+F217)/2&gt;=60,3.5,IF((E217+F217)/2&gt;=50,3,IF((E217+F217)/2&gt;=40,2,IF((E217+F217)/2&gt;=33,1,0)))))))</f>
        <v/>
      </c>
      <c r="AE217">
        <f>IF(G217&lt;33,0,IF(G217&gt;=80,5,IF(G217&gt;=70,4,IF(G217&gt;=60,3.5,IF(G217&gt;=50,3,IF(G217&gt;=40,2,IF(G217&gt;=33,1,0)))))))</f>
        <v/>
      </c>
      <c r="AF217">
        <f>IF(H217+I217&lt;66,0,IF((H217+I217)/2&gt;=80,5,IF((H217+I217)/2&gt;=70,4,IF((H217+I217)/2&gt;=60,3.5,IF((H217+I217)/2&gt;=50,3,IF((H217+I217)/2&gt;=40,2,IF((H217+I217)/2&gt;=33,1,0)))))))</f>
        <v/>
      </c>
      <c r="AG217">
        <f>IF(Y217,0,IF((J217+K217+L217+M217)/2&gt;=80,5,IF((J217+K217+L217+M217)/2&gt;=70,4,IF((J217+K217+L217+M217)/2&gt;=60,3.5,IF((J217+K217+L217+M217)/2&gt;=50,3,IF((J217+K217+L217+M217)/2&gt;=40,2,IF((J217+K217+L217+M217)/2&gt;=33,1,0)))))))</f>
        <v/>
      </c>
      <c r="AH217">
        <f>IF(Z217,0,IF(N217+O217&gt;=80,5,IF(N217+O217&gt;=70,4,IF(N217+O217&gt;=60,3.5,IF(N217+O217&gt;=50,3,IF(N217+O217&gt;=40,2,IF(N217+O217&gt;=33,1,0)))))))</f>
        <v/>
      </c>
      <c r="AI217">
        <f>IF(AA217,0,IF(P217+Q217&gt;=80,5,IF(P217+Q217&gt;=70,4,IF(P217+Q217&gt;=60,3.5,IF(P217+Q217&gt;=50,3,IF(P217+Q217&gt;=40,2,IF(P217+Q217&gt;=33,1,0)))))))</f>
        <v/>
      </c>
      <c r="AJ217">
        <f>IF(R217&lt;8.25,0,IF(R217*2&gt;=80,5,IF(R217*2&gt;=70,4,IF(R217*2&gt;=60,3.5,IF(R217*2&gt;=50,3,IF(R217*2&gt;=40,2,IF(R217*2&gt;=33,1,0)))))))</f>
        <v/>
      </c>
      <c r="AK217">
        <f>IF(S217&lt;33,0,IF(S217&gt;=80,5,IF(S217&gt;=70,4,IF(S217&gt;=60,3.5,IF(S217&gt;=50,3,IF(S217&gt;=40,2,IF(S217&gt;=33,1,0)))))))</f>
        <v/>
      </c>
      <c r="AL217">
        <f>(AC217+AD217+AE217+AF217+AG217+AH217+AI217+AJ217)/8</f>
        <v/>
      </c>
      <c r="AM217">
        <f>IF(AK217&gt;=2,(AK217-2)/8,0)</f>
        <v/>
      </c>
    </row>
    <row r="218">
      <c r="T218">
        <f>SUM(C218:R218)</f>
        <v/>
      </c>
      <c r="U218" s="6">
        <f>ROUND(T218/11.5,2)</f>
        <v/>
      </c>
      <c r="V218" s="7">
        <f>IF(B218="","",IF(AB218,0,ROUND(AL218,2)))</f>
        <v/>
      </c>
      <c r="W218" s="7">
        <f>IF(B218="","",IF(AB218,0,MIN(5,ROUND(AL218+AM218,2))))</f>
        <v/>
      </c>
      <c r="X218" s="8">
        <f>IF(B218="","",IF(W218&gt;=5,"A+",IF(W218&gt;=4,"A",IF(W218&gt;=3.5,"A-",IF(W218&gt;=3,"B",IF(W218&gt;=2,"C",IF(W218&gt;=1,"D","F")))))))</f>
        <v/>
      </c>
      <c r="Y218">
        <f>NOT(OR(AND(J218&gt;=10,K218&gt;=23,L218&gt;=10,M218&gt;=23),AND(J218+L218&gt;=20,K218+M218&gt;=46)))</f>
        <v/>
      </c>
      <c r="Z218">
        <f>OR(N218&lt;10,O218&lt;23)</f>
        <v/>
      </c>
      <c r="AA218">
        <f>OR(P218&lt;10,Q218&lt;23)</f>
        <v/>
      </c>
      <c r="AB218">
        <f>OR((C218+D218)&lt;66,(E218+F218)&lt;66,G218&lt;33,(H218+I218)&lt;66,Y218,Z218,AA218,R218&lt;8.25)</f>
        <v/>
      </c>
      <c r="AC218">
        <f>IF(C218+D218&lt;66,0,IF((C218+D218)/2&gt;=80,5,IF((C218+D218)/2&gt;=70,4,IF((C218+D218)/2&gt;=60,3.5,IF((C218+D218)/2&gt;=50,3,IF((C218+D218)/2&gt;=40,2,IF((C218+D218)/2&gt;=33,1,0)))))))</f>
        <v/>
      </c>
      <c r="AD218">
        <f>IF(E218+F218&lt;66,0,IF((E218+F218)/2&gt;=80,5,IF((E218+F218)/2&gt;=70,4,IF((E218+F218)/2&gt;=60,3.5,IF((E218+F218)/2&gt;=50,3,IF((E218+F218)/2&gt;=40,2,IF((E218+F218)/2&gt;=33,1,0)))))))</f>
        <v/>
      </c>
      <c r="AE218">
        <f>IF(G218&lt;33,0,IF(G218&gt;=80,5,IF(G218&gt;=70,4,IF(G218&gt;=60,3.5,IF(G218&gt;=50,3,IF(G218&gt;=40,2,IF(G218&gt;=33,1,0)))))))</f>
        <v/>
      </c>
      <c r="AF218">
        <f>IF(H218+I218&lt;66,0,IF((H218+I218)/2&gt;=80,5,IF((H218+I218)/2&gt;=70,4,IF((H218+I218)/2&gt;=60,3.5,IF((H218+I218)/2&gt;=50,3,IF((H218+I218)/2&gt;=40,2,IF((H218+I218)/2&gt;=33,1,0)))))))</f>
        <v/>
      </c>
      <c r="AG218">
        <f>IF(Y218,0,IF((J218+K218+L218+M218)/2&gt;=80,5,IF((J218+K218+L218+M218)/2&gt;=70,4,IF((J218+K218+L218+M218)/2&gt;=60,3.5,IF((J218+K218+L218+M218)/2&gt;=50,3,IF((J218+K218+L218+M218)/2&gt;=40,2,IF((J218+K218+L218+M218)/2&gt;=33,1,0)))))))</f>
        <v/>
      </c>
      <c r="AH218">
        <f>IF(Z218,0,IF(N218+O218&gt;=80,5,IF(N218+O218&gt;=70,4,IF(N218+O218&gt;=60,3.5,IF(N218+O218&gt;=50,3,IF(N218+O218&gt;=40,2,IF(N218+O218&gt;=33,1,0)))))))</f>
        <v/>
      </c>
      <c r="AI218">
        <f>IF(AA218,0,IF(P218+Q218&gt;=80,5,IF(P218+Q218&gt;=70,4,IF(P218+Q218&gt;=60,3.5,IF(P218+Q218&gt;=50,3,IF(P218+Q218&gt;=40,2,IF(P218+Q218&gt;=33,1,0)))))))</f>
        <v/>
      </c>
      <c r="AJ218">
        <f>IF(R218&lt;8.25,0,IF(R218*2&gt;=80,5,IF(R218*2&gt;=70,4,IF(R218*2&gt;=60,3.5,IF(R218*2&gt;=50,3,IF(R218*2&gt;=40,2,IF(R218*2&gt;=33,1,0)))))))</f>
        <v/>
      </c>
      <c r="AK218">
        <f>IF(S218&lt;33,0,IF(S218&gt;=80,5,IF(S218&gt;=70,4,IF(S218&gt;=60,3.5,IF(S218&gt;=50,3,IF(S218&gt;=40,2,IF(S218&gt;=33,1,0)))))))</f>
        <v/>
      </c>
      <c r="AL218">
        <f>(AC218+AD218+AE218+AF218+AG218+AH218+AI218+AJ218)/8</f>
        <v/>
      </c>
      <c r="AM218">
        <f>IF(AK218&gt;=2,(AK218-2)/8,0)</f>
        <v/>
      </c>
    </row>
    <row r="219">
      <c r="T219">
        <f>SUM(C219:R219)</f>
        <v/>
      </c>
      <c r="U219" s="6">
        <f>ROUND(T219/11.5,2)</f>
        <v/>
      </c>
      <c r="V219" s="7">
        <f>IF(B219="","",IF(AB219,0,ROUND(AL219,2)))</f>
        <v/>
      </c>
      <c r="W219" s="7">
        <f>IF(B219="","",IF(AB219,0,MIN(5,ROUND(AL219+AM219,2))))</f>
        <v/>
      </c>
      <c r="X219" s="8">
        <f>IF(B219="","",IF(W219&gt;=5,"A+",IF(W219&gt;=4,"A",IF(W219&gt;=3.5,"A-",IF(W219&gt;=3,"B",IF(W219&gt;=2,"C",IF(W219&gt;=1,"D","F")))))))</f>
        <v/>
      </c>
      <c r="Y219">
        <f>NOT(OR(AND(J219&gt;=10,K219&gt;=23,L219&gt;=10,M219&gt;=23),AND(J219+L219&gt;=20,K219+M219&gt;=46)))</f>
        <v/>
      </c>
      <c r="Z219">
        <f>OR(N219&lt;10,O219&lt;23)</f>
        <v/>
      </c>
      <c r="AA219">
        <f>OR(P219&lt;10,Q219&lt;23)</f>
        <v/>
      </c>
      <c r="AB219">
        <f>OR((C219+D219)&lt;66,(E219+F219)&lt;66,G219&lt;33,(H219+I219)&lt;66,Y219,Z219,AA219,R219&lt;8.25)</f>
        <v/>
      </c>
      <c r="AC219">
        <f>IF(C219+D219&lt;66,0,IF((C219+D219)/2&gt;=80,5,IF((C219+D219)/2&gt;=70,4,IF((C219+D219)/2&gt;=60,3.5,IF((C219+D219)/2&gt;=50,3,IF((C219+D219)/2&gt;=40,2,IF((C219+D219)/2&gt;=33,1,0)))))))</f>
        <v/>
      </c>
      <c r="AD219">
        <f>IF(E219+F219&lt;66,0,IF((E219+F219)/2&gt;=80,5,IF((E219+F219)/2&gt;=70,4,IF((E219+F219)/2&gt;=60,3.5,IF((E219+F219)/2&gt;=50,3,IF((E219+F219)/2&gt;=40,2,IF((E219+F219)/2&gt;=33,1,0)))))))</f>
        <v/>
      </c>
      <c r="AE219">
        <f>IF(G219&lt;33,0,IF(G219&gt;=80,5,IF(G219&gt;=70,4,IF(G219&gt;=60,3.5,IF(G219&gt;=50,3,IF(G219&gt;=40,2,IF(G219&gt;=33,1,0)))))))</f>
        <v/>
      </c>
      <c r="AF219">
        <f>IF(H219+I219&lt;66,0,IF((H219+I219)/2&gt;=80,5,IF((H219+I219)/2&gt;=70,4,IF((H219+I219)/2&gt;=60,3.5,IF((H219+I219)/2&gt;=50,3,IF((H219+I219)/2&gt;=40,2,IF((H219+I219)/2&gt;=33,1,0)))))))</f>
        <v/>
      </c>
      <c r="AG219">
        <f>IF(Y219,0,IF((J219+K219+L219+M219)/2&gt;=80,5,IF((J219+K219+L219+M219)/2&gt;=70,4,IF((J219+K219+L219+M219)/2&gt;=60,3.5,IF((J219+K219+L219+M219)/2&gt;=50,3,IF((J219+K219+L219+M219)/2&gt;=40,2,IF((J219+K219+L219+M219)/2&gt;=33,1,0)))))))</f>
        <v/>
      </c>
      <c r="AH219">
        <f>IF(Z219,0,IF(N219+O219&gt;=80,5,IF(N219+O219&gt;=70,4,IF(N219+O219&gt;=60,3.5,IF(N219+O219&gt;=50,3,IF(N219+O219&gt;=40,2,IF(N219+O219&gt;=33,1,0)))))))</f>
        <v/>
      </c>
      <c r="AI219">
        <f>IF(AA219,0,IF(P219+Q219&gt;=80,5,IF(P219+Q219&gt;=70,4,IF(P219+Q219&gt;=60,3.5,IF(P219+Q219&gt;=50,3,IF(P219+Q219&gt;=40,2,IF(P219+Q219&gt;=33,1,0)))))))</f>
        <v/>
      </c>
      <c r="AJ219">
        <f>IF(R219&lt;8.25,0,IF(R219*2&gt;=80,5,IF(R219*2&gt;=70,4,IF(R219*2&gt;=60,3.5,IF(R219*2&gt;=50,3,IF(R219*2&gt;=40,2,IF(R219*2&gt;=33,1,0)))))))</f>
        <v/>
      </c>
      <c r="AK219">
        <f>IF(S219&lt;33,0,IF(S219&gt;=80,5,IF(S219&gt;=70,4,IF(S219&gt;=60,3.5,IF(S219&gt;=50,3,IF(S219&gt;=40,2,IF(S219&gt;=33,1,0)))))))</f>
        <v/>
      </c>
      <c r="AL219">
        <f>(AC219+AD219+AE219+AF219+AG219+AH219+AI219+AJ219)/8</f>
        <v/>
      </c>
      <c r="AM219">
        <f>IF(AK219&gt;=2,(AK219-2)/8,0)</f>
        <v/>
      </c>
    </row>
    <row r="220">
      <c r="T220">
        <f>SUM(C220:R220)</f>
        <v/>
      </c>
      <c r="U220" s="6">
        <f>ROUND(T220/11.5,2)</f>
        <v/>
      </c>
      <c r="V220" s="7">
        <f>IF(B220="","",IF(AB220,0,ROUND(AL220,2)))</f>
        <v/>
      </c>
      <c r="W220" s="7">
        <f>IF(B220="","",IF(AB220,0,MIN(5,ROUND(AL220+AM220,2))))</f>
        <v/>
      </c>
      <c r="X220" s="8">
        <f>IF(B220="","",IF(W220&gt;=5,"A+",IF(W220&gt;=4,"A",IF(W220&gt;=3.5,"A-",IF(W220&gt;=3,"B",IF(W220&gt;=2,"C",IF(W220&gt;=1,"D","F")))))))</f>
        <v/>
      </c>
      <c r="Y220">
        <f>NOT(OR(AND(J220&gt;=10,K220&gt;=23,L220&gt;=10,M220&gt;=23),AND(J220+L220&gt;=20,K220+M220&gt;=46)))</f>
        <v/>
      </c>
      <c r="Z220">
        <f>OR(N220&lt;10,O220&lt;23)</f>
        <v/>
      </c>
      <c r="AA220">
        <f>OR(P220&lt;10,Q220&lt;23)</f>
        <v/>
      </c>
      <c r="AB220">
        <f>OR((C220+D220)&lt;66,(E220+F220)&lt;66,G220&lt;33,(H220+I220)&lt;66,Y220,Z220,AA220,R220&lt;8.25)</f>
        <v/>
      </c>
      <c r="AC220">
        <f>IF(C220+D220&lt;66,0,IF((C220+D220)/2&gt;=80,5,IF((C220+D220)/2&gt;=70,4,IF((C220+D220)/2&gt;=60,3.5,IF((C220+D220)/2&gt;=50,3,IF((C220+D220)/2&gt;=40,2,IF((C220+D220)/2&gt;=33,1,0)))))))</f>
        <v/>
      </c>
      <c r="AD220">
        <f>IF(E220+F220&lt;66,0,IF((E220+F220)/2&gt;=80,5,IF((E220+F220)/2&gt;=70,4,IF((E220+F220)/2&gt;=60,3.5,IF((E220+F220)/2&gt;=50,3,IF((E220+F220)/2&gt;=40,2,IF((E220+F220)/2&gt;=33,1,0)))))))</f>
        <v/>
      </c>
      <c r="AE220">
        <f>IF(G220&lt;33,0,IF(G220&gt;=80,5,IF(G220&gt;=70,4,IF(G220&gt;=60,3.5,IF(G220&gt;=50,3,IF(G220&gt;=40,2,IF(G220&gt;=33,1,0)))))))</f>
        <v/>
      </c>
      <c r="AF220">
        <f>IF(H220+I220&lt;66,0,IF((H220+I220)/2&gt;=80,5,IF((H220+I220)/2&gt;=70,4,IF((H220+I220)/2&gt;=60,3.5,IF((H220+I220)/2&gt;=50,3,IF((H220+I220)/2&gt;=40,2,IF((H220+I220)/2&gt;=33,1,0)))))))</f>
        <v/>
      </c>
      <c r="AG220">
        <f>IF(Y220,0,IF((J220+K220+L220+M220)/2&gt;=80,5,IF((J220+K220+L220+M220)/2&gt;=70,4,IF((J220+K220+L220+M220)/2&gt;=60,3.5,IF((J220+K220+L220+M220)/2&gt;=50,3,IF((J220+K220+L220+M220)/2&gt;=40,2,IF((J220+K220+L220+M220)/2&gt;=33,1,0)))))))</f>
        <v/>
      </c>
      <c r="AH220">
        <f>IF(Z220,0,IF(N220+O220&gt;=80,5,IF(N220+O220&gt;=70,4,IF(N220+O220&gt;=60,3.5,IF(N220+O220&gt;=50,3,IF(N220+O220&gt;=40,2,IF(N220+O220&gt;=33,1,0)))))))</f>
        <v/>
      </c>
      <c r="AI220">
        <f>IF(AA220,0,IF(P220+Q220&gt;=80,5,IF(P220+Q220&gt;=70,4,IF(P220+Q220&gt;=60,3.5,IF(P220+Q220&gt;=50,3,IF(P220+Q220&gt;=40,2,IF(P220+Q220&gt;=33,1,0)))))))</f>
        <v/>
      </c>
      <c r="AJ220">
        <f>IF(R220&lt;8.25,0,IF(R220*2&gt;=80,5,IF(R220*2&gt;=70,4,IF(R220*2&gt;=60,3.5,IF(R220*2&gt;=50,3,IF(R220*2&gt;=40,2,IF(R220*2&gt;=33,1,0)))))))</f>
        <v/>
      </c>
      <c r="AK220">
        <f>IF(S220&lt;33,0,IF(S220&gt;=80,5,IF(S220&gt;=70,4,IF(S220&gt;=60,3.5,IF(S220&gt;=50,3,IF(S220&gt;=40,2,IF(S220&gt;=33,1,0)))))))</f>
        <v/>
      </c>
      <c r="AL220">
        <f>(AC220+AD220+AE220+AF220+AG220+AH220+AI220+AJ220)/8</f>
        <v/>
      </c>
      <c r="AM220">
        <f>IF(AK220&gt;=2,(AK220-2)/8,0)</f>
        <v/>
      </c>
    </row>
    <row r="221">
      <c r="T221">
        <f>SUM(C221:R221)</f>
        <v/>
      </c>
      <c r="U221" s="6">
        <f>ROUND(T221/11.5,2)</f>
        <v/>
      </c>
      <c r="V221" s="7">
        <f>IF(B221="","",IF(AB221,0,ROUND(AL221,2)))</f>
        <v/>
      </c>
      <c r="W221" s="7">
        <f>IF(B221="","",IF(AB221,0,MIN(5,ROUND(AL221+AM221,2))))</f>
        <v/>
      </c>
      <c r="X221" s="8">
        <f>IF(B221="","",IF(W221&gt;=5,"A+",IF(W221&gt;=4,"A",IF(W221&gt;=3.5,"A-",IF(W221&gt;=3,"B",IF(W221&gt;=2,"C",IF(W221&gt;=1,"D","F")))))))</f>
        <v/>
      </c>
      <c r="Y221">
        <f>NOT(OR(AND(J221&gt;=10,K221&gt;=23,L221&gt;=10,M221&gt;=23),AND(J221+L221&gt;=20,K221+M221&gt;=46)))</f>
        <v/>
      </c>
      <c r="Z221">
        <f>OR(N221&lt;10,O221&lt;23)</f>
        <v/>
      </c>
      <c r="AA221">
        <f>OR(P221&lt;10,Q221&lt;23)</f>
        <v/>
      </c>
      <c r="AB221">
        <f>OR((C221+D221)&lt;66,(E221+F221)&lt;66,G221&lt;33,(H221+I221)&lt;66,Y221,Z221,AA221,R221&lt;8.25)</f>
        <v/>
      </c>
      <c r="AC221">
        <f>IF(C221+D221&lt;66,0,IF((C221+D221)/2&gt;=80,5,IF((C221+D221)/2&gt;=70,4,IF((C221+D221)/2&gt;=60,3.5,IF((C221+D221)/2&gt;=50,3,IF((C221+D221)/2&gt;=40,2,IF((C221+D221)/2&gt;=33,1,0)))))))</f>
        <v/>
      </c>
      <c r="AD221">
        <f>IF(E221+F221&lt;66,0,IF((E221+F221)/2&gt;=80,5,IF((E221+F221)/2&gt;=70,4,IF((E221+F221)/2&gt;=60,3.5,IF((E221+F221)/2&gt;=50,3,IF((E221+F221)/2&gt;=40,2,IF((E221+F221)/2&gt;=33,1,0)))))))</f>
        <v/>
      </c>
      <c r="AE221">
        <f>IF(G221&lt;33,0,IF(G221&gt;=80,5,IF(G221&gt;=70,4,IF(G221&gt;=60,3.5,IF(G221&gt;=50,3,IF(G221&gt;=40,2,IF(G221&gt;=33,1,0)))))))</f>
        <v/>
      </c>
      <c r="AF221">
        <f>IF(H221+I221&lt;66,0,IF((H221+I221)/2&gt;=80,5,IF((H221+I221)/2&gt;=70,4,IF((H221+I221)/2&gt;=60,3.5,IF((H221+I221)/2&gt;=50,3,IF((H221+I221)/2&gt;=40,2,IF((H221+I221)/2&gt;=33,1,0)))))))</f>
        <v/>
      </c>
      <c r="AG221">
        <f>IF(Y221,0,IF((J221+K221+L221+M221)/2&gt;=80,5,IF((J221+K221+L221+M221)/2&gt;=70,4,IF((J221+K221+L221+M221)/2&gt;=60,3.5,IF((J221+K221+L221+M221)/2&gt;=50,3,IF((J221+K221+L221+M221)/2&gt;=40,2,IF((J221+K221+L221+M221)/2&gt;=33,1,0)))))))</f>
        <v/>
      </c>
      <c r="AH221">
        <f>IF(Z221,0,IF(N221+O221&gt;=80,5,IF(N221+O221&gt;=70,4,IF(N221+O221&gt;=60,3.5,IF(N221+O221&gt;=50,3,IF(N221+O221&gt;=40,2,IF(N221+O221&gt;=33,1,0)))))))</f>
        <v/>
      </c>
      <c r="AI221">
        <f>IF(AA221,0,IF(P221+Q221&gt;=80,5,IF(P221+Q221&gt;=70,4,IF(P221+Q221&gt;=60,3.5,IF(P221+Q221&gt;=50,3,IF(P221+Q221&gt;=40,2,IF(P221+Q221&gt;=33,1,0)))))))</f>
        <v/>
      </c>
      <c r="AJ221">
        <f>IF(R221&lt;8.25,0,IF(R221*2&gt;=80,5,IF(R221*2&gt;=70,4,IF(R221*2&gt;=60,3.5,IF(R221*2&gt;=50,3,IF(R221*2&gt;=40,2,IF(R221*2&gt;=33,1,0)))))))</f>
        <v/>
      </c>
      <c r="AK221">
        <f>IF(S221&lt;33,0,IF(S221&gt;=80,5,IF(S221&gt;=70,4,IF(S221&gt;=60,3.5,IF(S221&gt;=50,3,IF(S221&gt;=40,2,IF(S221&gt;=33,1,0)))))))</f>
        <v/>
      </c>
      <c r="AL221">
        <f>(AC221+AD221+AE221+AF221+AG221+AH221+AI221+AJ221)/8</f>
        <v/>
      </c>
      <c r="AM221">
        <f>IF(AK221&gt;=2,(AK221-2)/8,0)</f>
        <v/>
      </c>
    </row>
    <row r="222">
      <c r="T222">
        <f>SUM(C222:R222)</f>
        <v/>
      </c>
      <c r="U222" s="6">
        <f>ROUND(T222/11.5,2)</f>
        <v/>
      </c>
      <c r="V222" s="7">
        <f>IF(B222="","",IF(AB222,0,ROUND(AL222,2)))</f>
        <v/>
      </c>
      <c r="W222" s="7">
        <f>IF(B222="","",IF(AB222,0,MIN(5,ROUND(AL222+AM222,2))))</f>
        <v/>
      </c>
      <c r="X222" s="8">
        <f>IF(B222="","",IF(W222&gt;=5,"A+",IF(W222&gt;=4,"A",IF(W222&gt;=3.5,"A-",IF(W222&gt;=3,"B",IF(W222&gt;=2,"C",IF(W222&gt;=1,"D","F")))))))</f>
        <v/>
      </c>
      <c r="Y222">
        <f>NOT(OR(AND(J222&gt;=10,K222&gt;=23,L222&gt;=10,M222&gt;=23),AND(J222+L222&gt;=20,K222+M222&gt;=46)))</f>
        <v/>
      </c>
      <c r="Z222">
        <f>OR(N222&lt;10,O222&lt;23)</f>
        <v/>
      </c>
      <c r="AA222">
        <f>OR(P222&lt;10,Q222&lt;23)</f>
        <v/>
      </c>
      <c r="AB222">
        <f>OR((C222+D222)&lt;66,(E222+F222)&lt;66,G222&lt;33,(H222+I222)&lt;66,Y222,Z222,AA222,R222&lt;8.25)</f>
        <v/>
      </c>
      <c r="AC222">
        <f>IF(C222+D222&lt;66,0,IF((C222+D222)/2&gt;=80,5,IF((C222+D222)/2&gt;=70,4,IF((C222+D222)/2&gt;=60,3.5,IF((C222+D222)/2&gt;=50,3,IF((C222+D222)/2&gt;=40,2,IF((C222+D222)/2&gt;=33,1,0)))))))</f>
        <v/>
      </c>
      <c r="AD222">
        <f>IF(E222+F222&lt;66,0,IF((E222+F222)/2&gt;=80,5,IF((E222+F222)/2&gt;=70,4,IF((E222+F222)/2&gt;=60,3.5,IF((E222+F222)/2&gt;=50,3,IF((E222+F222)/2&gt;=40,2,IF((E222+F222)/2&gt;=33,1,0)))))))</f>
        <v/>
      </c>
      <c r="AE222">
        <f>IF(G222&lt;33,0,IF(G222&gt;=80,5,IF(G222&gt;=70,4,IF(G222&gt;=60,3.5,IF(G222&gt;=50,3,IF(G222&gt;=40,2,IF(G222&gt;=33,1,0)))))))</f>
        <v/>
      </c>
      <c r="AF222">
        <f>IF(H222+I222&lt;66,0,IF((H222+I222)/2&gt;=80,5,IF((H222+I222)/2&gt;=70,4,IF((H222+I222)/2&gt;=60,3.5,IF((H222+I222)/2&gt;=50,3,IF((H222+I222)/2&gt;=40,2,IF((H222+I222)/2&gt;=33,1,0)))))))</f>
        <v/>
      </c>
      <c r="AG222">
        <f>IF(Y222,0,IF((J222+K222+L222+M222)/2&gt;=80,5,IF((J222+K222+L222+M222)/2&gt;=70,4,IF((J222+K222+L222+M222)/2&gt;=60,3.5,IF((J222+K222+L222+M222)/2&gt;=50,3,IF((J222+K222+L222+M222)/2&gt;=40,2,IF((J222+K222+L222+M222)/2&gt;=33,1,0)))))))</f>
        <v/>
      </c>
      <c r="AH222">
        <f>IF(Z222,0,IF(N222+O222&gt;=80,5,IF(N222+O222&gt;=70,4,IF(N222+O222&gt;=60,3.5,IF(N222+O222&gt;=50,3,IF(N222+O222&gt;=40,2,IF(N222+O222&gt;=33,1,0)))))))</f>
        <v/>
      </c>
      <c r="AI222">
        <f>IF(AA222,0,IF(P222+Q222&gt;=80,5,IF(P222+Q222&gt;=70,4,IF(P222+Q222&gt;=60,3.5,IF(P222+Q222&gt;=50,3,IF(P222+Q222&gt;=40,2,IF(P222+Q222&gt;=33,1,0)))))))</f>
        <v/>
      </c>
      <c r="AJ222">
        <f>IF(R222&lt;8.25,0,IF(R222*2&gt;=80,5,IF(R222*2&gt;=70,4,IF(R222*2&gt;=60,3.5,IF(R222*2&gt;=50,3,IF(R222*2&gt;=40,2,IF(R222*2&gt;=33,1,0)))))))</f>
        <v/>
      </c>
      <c r="AK222">
        <f>IF(S222&lt;33,0,IF(S222&gt;=80,5,IF(S222&gt;=70,4,IF(S222&gt;=60,3.5,IF(S222&gt;=50,3,IF(S222&gt;=40,2,IF(S222&gt;=33,1,0)))))))</f>
        <v/>
      </c>
      <c r="AL222">
        <f>(AC222+AD222+AE222+AF222+AG222+AH222+AI222+AJ222)/8</f>
        <v/>
      </c>
      <c r="AM222">
        <f>IF(AK222&gt;=2,(AK222-2)/8,0)</f>
        <v/>
      </c>
    </row>
    <row r="223">
      <c r="T223">
        <f>SUM(C223:R223)</f>
        <v/>
      </c>
      <c r="U223" s="6">
        <f>ROUND(T223/11.5,2)</f>
        <v/>
      </c>
      <c r="V223" s="7">
        <f>IF(B223="","",IF(AB223,0,ROUND(AL223,2)))</f>
        <v/>
      </c>
      <c r="W223" s="7">
        <f>IF(B223="","",IF(AB223,0,MIN(5,ROUND(AL223+AM223,2))))</f>
        <v/>
      </c>
      <c r="X223" s="8">
        <f>IF(B223="","",IF(W223&gt;=5,"A+",IF(W223&gt;=4,"A",IF(W223&gt;=3.5,"A-",IF(W223&gt;=3,"B",IF(W223&gt;=2,"C",IF(W223&gt;=1,"D","F")))))))</f>
        <v/>
      </c>
      <c r="Y223">
        <f>NOT(OR(AND(J223&gt;=10,K223&gt;=23,L223&gt;=10,M223&gt;=23),AND(J223+L223&gt;=20,K223+M223&gt;=46)))</f>
        <v/>
      </c>
      <c r="Z223">
        <f>OR(N223&lt;10,O223&lt;23)</f>
        <v/>
      </c>
      <c r="AA223">
        <f>OR(P223&lt;10,Q223&lt;23)</f>
        <v/>
      </c>
      <c r="AB223">
        <f>OR((C223+D223)&lt;66,(E223+F223)&lt;66,G223&lt;33,(H223+I223)&lt;66,Y223,Z223,AA223,R223&lt;8.25)</f>
        <v/>
      </c>
      <c r="AC223">
        <f>IF(C223+D223&lt;66,0,IF((C223+D223)/2&gt;=80,5,IF((C223+D223)/2&gt;=70,4,IF((C223+D223)/2&gt;=60,3.5,IF((C223+D223)/2&gt;=50,3,IF((C223+D223)/2&gt;=40,2,IF((C223+D223)/2&gt;=33,1,0)))))))</f>
        <v/>
      </c>
      <c r="AD223">
        <f>IF(E223+F223&lt;66,0,IF((E223+F223)/2&gt;=80,5,IF((E223+F223)/2&gt;=70,4,IF((E223+F223)/2&gt;=60,3.5,IF((E223+F223)/2&gt;=50,3,IF((E223+F223)/2&gt;=40,2,IF((E223+F223)/2&gt;=33,1,0)))))))</f>
        <v/>
      </c>
      <c r="AE223">
        <f>IF(G223&lt;33,0,IF(G223&gt;=80,5,IF(G223&gt;=70,4,IF(G223&gt;=60,3.5,IF(G223&gt;=50,3,IF(G223&gt;=40,2,IF(G223&gt;=33,1,0)))))))</f>
        <v/>
      </c>
      <c r="AF223">
        <f>IF(H223+I223&lt;66,0,IF((H223+I223)/2&gt;=80,5,IF((H223+I223)/2&gt;=70,4,IF((H223+I223)/2&gt;=60,3.5,IF((H223+I223)/2&gt;=50,3,IF((H223+I223)/2&gt;=40,2,IF((H223+I223)/2&gt;=33,1,0)))))))</f>
        <v/>
      </c>
      <c r="AG223">
        <f>IF(Y223,0,IF((J223+K223+L223+M223)/2&gt;=80,5,IF((J223+K223+L223+M223)/2&gt;=70,4,IF((J223+K223+L223+M223)/2&gt;=60,3.5,IF((J223+K223+L223+M223)/2&gt;=50,3,IF((J223+K223+L223+M223)/2&gt;=40,2,IF((J223+K223+L223+M223)/2&gt;=33,1,0)))))))</f>
        <v/>
      </c>
      <c r="AH223">
        <f>IF(Z223,0,IF(N223+O223&gt;=80,5,IF(N223+O223&gt;=70,4,IF(N223+O223&gt;=60,3.5,IF(N223+O223&gt;=50,3,IF(N223+O223&gt;=40,2,IF(N223+O223&gt;=33,1,0)))))))</f>
        <v/>
      </c>
      <c r="AI223">
        <f>IF(AA223,0,IF(P223+Q223&gt;=80,5,IF(P223+Q223&gt;=70,4,IF(P223+Q223&gt;=60,3.5,IF(P223+Q223&gt;=50,3,IF(P223+Q223&gt;=40,2,IF(P223+Q223&gt;=33,1,0)))))))</f>
        <v/>
      </c>
      <c r="AJ223">
        <f>IF(R223&lt;8.25,0,IF(R223*2&gt;=80,5,IF(R223*2&gt;=70,4,IF(R223*2&gt;=60,3.5,IF(R223*2&gt;=50,3,IF(R223*2&gt;=40,2,IF(R223*2&gt;=33,1,0)))))))</f>
        <v/>
      </c>
      <c r="AK223">
        <f>IF(S223&lt;33,0,IF(S223&gt;=80,5,IF(S223&gt;=70,4,IF(S223&gt;=60,3.5,IF(S223&gt;=50,3,IF(S223&gt;=40,2,IF(S223&gt;=33,1,0)))))))</f>
        <v/>
      </c>
      <c r="AL223">
        <f>(AC223+AD223+AE223+AF223+AG223+AH223+AI223+AJ223)/8</f>
        <v/>
      </c>
      <c r="AM223">
        <f>IF(AK223&gt;=2,(AK223-2)/8,0)</f>
        <v/>
      </c>
    </row>
    <row r="224">
      <c r="T224">
        <f>SUM(C224:R224)</f>
        <v/>
      </c>
      <c r="U224" s="6">
        <f>ROUND(T224/11.5,2)</f>
        <v/>
      </c>
      <c r="V224" s="7">
        <f>IF(B224="","",IF(AB224,0,ROUND(AL224,2)))</f>
        <v/>
      </c>
      <c r="W224" s="7">
        <f>IF(B224="","",IF(AB224,0,MIN(5,ROUND(AL224+AM224,2))))</f>
        <v/>
      </c>
      <c r="X224" s="8">
        <f>IF(B224="","",IF(W224&gt;=5,"A+",IF(W224&gt;=4,"A",IF(W224&gt;=3.5,"A-",IF(W224&gt;=3,"B",IF(W224&gt;=2,"C",IF(W224&gt;=1,"D","F")))))))</f>
        <v/>
      </c>
      <c r="Y224">
        <f>NOT(OR(AND(J224&gt;=10,K224&gt;=23,L224&gt;=10,M224&gt;=23),AND(J224+L224&gt;=20,K224+M224&gt;=46)))</f>
        <v/>
      </c>
      <c r="Z224">
        <f>OR(N224&lt;10,O224&lt;23)</f>
        <v/>
      </c>
      <c r="AA224">
        <f>OR(P224&lt;10,Q224&lt;23)</f>
        <v/>
      </c>
      <c r="AB224">
        <f>OR((C224+D224)&lt;66,(E224+F224)&lt;66,G224&lt;33,(H224+I224)&lt;66,Y224,Z224,AA224,R224&lt;8.25)</f>
        <v/>
      </c>
      <c r="AC224">
        <f>IF(C224+D224&lt;66,0,IF((C224+D224)/2&gt;=80,5,IF((C224+D224)/2&gt;=70,4,IF((C224+D224)/2&gt;=60,3.5,IF((C224+D224)/2&gt;=50,3,IF((C224+D224)/2&gt;=40,2,IF((C224+D224)/2&gt;=33,1,0)))))))</f>
        <v/>
      </c>
      <c r="AD224">
        <f>IF(E224+F224&lt;66,0,IF((E224+F224)/2&gt;=80,5,IF((E224+F224)/2&gt;=70,4,IF((E224+F224)/2&gt;=60,3.5,IF((E224+F224)/2&gt;=50,3,IF((E224+F224)/2&gt;=40,2,IF((E224+F224)/2&gt;=33,1,0)))))))</f>
        <v/>
      </c>
      <c r="AE224">
        <f>IF(G224&lt;33,0,IF(G224&gt;=80,5,IF(G224&gt;=70,4,IF(G224&gt;=60,3.5,IF(G224&gt;=50,3,IF(G224&gt;=40,2,IF(G224&gt;=33,1,0)))))))</f>
        <v/>
      </c>
      <c r="AF224">
        <f>IF(H224+I224&lt;66,0,IF((H224+I224)/2&gt;=80,5,IF((H224+I224)/2&gt;=70,4,IF((H224+I224)/2&gt;=60,3.5,IF((H224+I224)/2&gt;=50,3,IF((H224+I224)/2&gt;=40,2,IF((H224+I224)/2&gt;=33,1,0)))))))</f>
        <v/>
      </c>
      <c r="AG224">
        <f>IF(Y224,0,IF((J224+K224+L224+M224)/2&gt;=80,5,IF((J224+K224+L224+M224)/2&gt;=70,4,IF((J224+K224+L224+M224)/2&gt;=60,3.5,IF((J224+K224+L224+M224)/2&gt;=50,3,IF((J224+K224+L224+M224)/2&gt;=40,2,IF((J224+K224+L224+M224)/2&gt;=33,1,0)))))))</f>
        <v/>
      </c>
      <c r="AH224">
        <f>IF(Z224,0,IF(N224+O224&gt;=80,5,IF(N224+O224&gt;=70,4,IF(N224+O224&gt;=60,3.5,IF(N224+O224&gt;=50,3,IF(N224+O224&gt;=40,2,IF(N224+O224&gt;=33,1,0)))))))</f>
        <v/>
      </c>
      <c r="AI224">
        <f>IF(AA224,0,IF(P224+Q224&gt;=80,5,IF(P224+Q224&gt;=70,4,IF(P224+Q224&gt;=60,3.5,IF(P224+Q224&gt;=50,3,IF(P224+Q224&gt;=40,2,IF(P224+Q224&gt;=33,1,0)))))))</f>
        <v/>
      </c>
      <c r="AJ224">
        <f>IF(R224&lt;8.25,0,IF(R224*2&gt;=80,5,IF(R224*2&gt;=70,4,IF(R224*2&gt;=60,3.5,IF(R224*2&gt;=50,3,IF(R224*2&gt;=40,2,IF(R224*2&gt;=33,1,0)))))))</f>
        <v/>
      </c>
      <c r="AK224">
        <f>IF(S224&lt;33,0,IF(S224&gt;=80,5,IF(S224&gt;=70,4,IF(S224&gt;=60,3.5,IF(S224&gt;=50,3,IF(S224&gt;=40,2,IF(S224&gt;=33,1,0)))))))</f>
        <v/>
      </c>
      <c r="AL224">
        <f>(AC224+AD224+AE224+AF224+AG224+AH224+AI224+AJ224)/8</f>
        <v/>
      </c>
      <c r="AM224">
        <f>IF(AK224&gt;=2,(AK224-2)/8,0)</f>
        <v/>
      </c>
    </row>
    <row r="225">
      <c r="T225">
        <f>SUM(C225:R225)</f>
        <v/>
      </c>
      <c r="U225" s="6">
        <f>ROUND(T225/11.5,2)</f>
        <v/>
      </c>
      <c r="V225" s="7">
        <f>IF(B225="","",IF(AB225,0,ROUND(AL225,2)))</f>
        <v/>
      </c>
      <c r="W225" s="7">
        <f>IF(B225="","",IF(AB225,0,MIN(5,ROUND(AL225+AM225,2))))</f>
        <v/>
      </c>
      <c r="X225" s="8">
        <f>IF(B225="","",IF(W225&gt;=5,"A+",IF(W225&gt;=4,"A",IF(W225&gt;=3.5,"A-",IF(W225&gt;=3,"B",IF(W225&gt;=2,"C",IF(W225&gt;=1,"D","F")))))))</f>
        <v/>
      </c>
      <c r="Y225">
        <f>NOT(OR(AND(J225&gt;=10,K225&gt;=23,L225&gt;=10,M225&gt;=23),AND(J225+L225&gt;=20,K225+M225&gt;=46)))</f>
        <v/>
      </c>
      <c r="Z225">
        <f>OR(N225&lt;10,O225&lt;23)</f>
        <v/>
      </c>
      <c r="AA225">
        <f>OR(P225&lt;10,Q225&lt;23)</f>
        <v/>
      </c>
      <c r="AB225">
        <f>OR((C225+D225)&lt;66,(E225+F225)&lt;66,G225&lt;33,(H225+I225)&lt;66,Y225,Z225,AA225,R225&lt;8.25)</f>
        <v/>
      </c>
      <c r="AC225">
        <f>IF(C225+D225&lt;66,0,IF((C225+D225)/2&gt;=80,5,IF((C225+D225)/2&gt;=70,4,IF((C225+D225)/2&gt;=60,3.5,IF((C225+D225)/2&gt;=50,3,IF((C225+D225)/2&gt;=40,2,IF((C225+D225)/2&gt;=33,1,0)))))))</f>
        <v/>
      </c>
      <c r="AD225">
        <f>IF(E225+F225&lt;66,0,IF((E225+F225)/2&gt;=80,5,IF((E225+F225)/2&gt;=70,4,IF((E225+F225)/2&gt;=60,3.5,IF((E225+F225)/2&gt;=50,3,IF((E225+F225)/2&gt;=40,2,IF((E225+F225)/2&gt;=33,1,0)))))))</f>
        <v/>
      </c>
      <c r="AE225">
        <f>IF(G225&lt;33,0,IF(G225&gt;=80,5,IF(G225&gt;=70,4,IF(G225&gt;=60,3.5,IF(G225&gt;=50,3,IF(G225&gt;=40,2,IF(G225&gt;=33,1,0)))))))</f>
        <v/>
      </c>
      <c r="AF225">
        <f>IF(H225+I225&lt;66,0,IF((H225+I225)/2&gt;=80,5,IF((H225+I225)/2&gt;=70,4,IF((H225+I225)/2&gt;=60,3.5,IF((H225+I225)/2&gt;=50,3,IF((H225+I225)/2&gt;=40,2,IF((H225+I225)/2&gt;=33,1,0)))))))</f>
        <v/>
      </c>
      <c r="AG225">
        <f>IF(Y225,0,IF((J225+K225+L225+M225)/2&gt;=80,5,IF((J225+K225+L225+M225)/2&gt;=70,4,IF((J225+K225+L225+M225)/2&gt;=60,3.5,IF((J225+K225+L225+M225)/2&gt;=50,3,IF((J225+K225+L225+M225)/2&gt;=40,2,IF((J225+K225+L225+M225)/2&gt;=33,1,0)))))))</f>
        <v/>
      </c>
      <c r="AH225">
        <f>IF(Z225,0,IF(N225+O225&gt;=80,5,IF(N225+O225&gt;=70,4,IF(N225+O225&gt;=60,3.5,IF(N225+O225&gt;=50,3,IF(N225+O225&gt;=40,2,IF(N225+O225&gt;=33,1,0)))))))</f>
        <v/>
      </c>
      <c r="AI225">
        <f>IF(AA225,0,IF(P225+Q225&gt;=80,5,IF(P225+Q225&gt;=70,4,IF(P225+Q225&gt;=60,3.5,IF(P225+Q225&gt;=50,3,IF(P225+Q225&gt;=40,2,IF(P225+Q225&gt;=33,1,0)))))))</f>
        <v/>
      </c>
      <c r="AJ225">
        <f>IF(R225&lt;8.25,0,IF(R225*2&gt;=80,5,IF(R225*2&gt;=70,4,IF(R225*2&gt;=60,3.5,IF(R225*2&gt;=50,3,IF(R225*2&gt;=40,2,IF(R225*2&gt;=33,1,0)))))))</f>
        <v/>
      </c>
      <c r="AK225">
        <f>IF(S225&lt;33,0,IF(S225&gt;=80,5,IF(S225&gt;=70,4,IF(S225&gt;=60,3.5,IF(S225&gt;=50,3,IF(S225&gt;=40,2,IF(S225&gt;=33,1,0)))))))</f>
        <v/>
      </c>
      <c r="AL225">
        <f>(AC225+AD225+AE225+AF225+AG225+AH225+AI225+AJ225)/8</f>
        <v/>
      </c>
      <c r="AM225">
        <f>IF(AK225&gt;=2,(AK225-2)/8,0)</f>
        <v/>
      </c>
    </row>
    <row r="226">
      <c r="T226">
        <f>SUM(C226:R226)</f>
        <v/>
      </c>
      <c r="U226" s="6">
        <f>ROUND(T226/11.5,2)</f>
        <v/>
      </c>
      <c r="V226" s="7">
        <f>IF(B226="","",IF(AB226,0,ROUND(AL226,2)))</f>
        <v/>
      </c>
      <c r="W226" s="7">
        <f>IF(B226="","",IF(AB226,0,MIN(5,ROUND(AL226+AM226,2))))</f>
        <v/>
      </c>
      <c r="X226" s="8">
        <f>IF(B226="","",IF(W226&gt;=5,"A+",IF(W226&gt;=4,"A",IF(W226&gt;=3.5,"A-",IF(W226&gt;=3,"B",IF(W226&gt;=2,"C",IF(W226&gt;=1,"D","F")))))))</f>
        <v/>
      </c>
      <c r="Y226">
        <f>NOT(OR(AND(J226&gt;=10,K226&gt;=23,L226&gt;=10,M226&gt;=23),AND(J226+L226&gt;=20,K226+M226&gt;=46)))</f>
        <v/>
      </c>
      <c r="Z226">
        <f>OR(N226&lt;10,O226&lt;23)</f>
        <v/>
      </c>
      <c r="AA226">
        <f>OR(P226&lt;10,Q226&lt;23)</f>
        <v/>
      </c>
      <c r="AB226">
        <f>OR((C226+D226)&lt;66,(E226+F226)&lt;66,G226&lt;33,(H226+I226)&lt;66,Y226,Z226,AA226,R226&lt;8.25)</f>
        <v/>
      </c>
      <c r="AC226">
        <f>IF(C226+D226&lt;66,0,IF((C226+D226)/2&gt;=80,5,IF((C226+D226)/2&gt;=70,4,IF((C226+D226)/2&gt;=60,3.5,IF((C226+D226)/2&gt;=50,3,IF((C226+D226)/2&gt;=40,2,IF((C226+D226)/2&gt;=33,1,0)))))))</f>
        <v/>
      </c>
      <c r="AD226">
        <f>IF(E226+F226&lt;66,0,IF((E226+F226)/2&gt;=80,5,IF((E226+F226)/2&gt;=70,4,IF((E226+F226)/2&gt;=60,3.5,IF((E226+F226)/2&gt;=50,3,IF((E226+F226)/2&gt;=40,2,IF((E226+F226)/2&gt;=33,1,0)))))))</f>
        <v/>
      </c>
      <c r="AE226">
        <f>IF(G226&lt;33,0,IF(G226&gt;=80,5,IF(G226&gt;=70,4,IF(G226&gt;=60,3.5,IF(G226&gt;=50,3,IF(G226&gt;=40,2,IF(G226&gt;=33,1,0)))))))</f>
        <v/>
      </c>
      <c r="AF226">
        <f>IF(H226+I226&lt;66,0,IF((H226+I226)/2&gt;=80,5,IF((H226+I226)/2&gt;=70,4,IF((H226+I226)/2&gt;=60,3.5,IF((H226+I226)/2&gt;=50,3,IF((H226+I226)/2&gt;=40,2,IF((H226+I226)/2&gt;=33,1,0)))))))</f>
        <v/>
      </c>
      <c r="AG226">
        <f>IF(Y226,0,IF((J226+K226+L226+M226)/2&gt;=80,5,IF((J226+K226+L226+M226)/2&gt;=70,4,IF((J226+K226+L226+M226)/2&gt;=60,3.5,IF((J226+K226+L226+M226)/2&gt;=50,3,IF((J226+K226+L226+M226)/2&gt;=40,2,IF((J226+K226+L226+M226)/2&gt;=33,1,0)))))))</f>
        <v/>
      </c>
      <c r="AH226">
        <f>IF(Z226,0,IF(N226+O226&gt;=80,5,IF(N226+O226&gt;=70,4,IF(N226+O226&gt;=60,3.5,IF(N226+O226&gt;=50,3,IF(N226+O226&gt;=40,2,IF(N226+O226&gt;=33,1,0)))))))</f>
        <v/>
      </c>
      <c r="AI226">
        <f>IF(AA226,0,IF(P226+Q226&gt;=80,5,IF(P226+Q226&gt;=70,4,IF(P226+Q226&gt;=60,3.5,IF(P226+Q226&gt;=50,3,IF(P226+Q226&gt;=40,2,IF(P226+Q226&gt;=33,1,0)))))))</f>
        <v/>
      </c>
      <c r="AJ226">
        <f>IF(R226&lt;8.25,0,IF(R226*2&gt;=80,5,IF(R226*2&gt;=70,4,IF(R226*2&gt;=60,3.5,IF(R226*2&gt;=50,3,IF(R226*2&gt;=40,2,IF(R226*2&gt;=33,1,0)))))))</f>
        <v/>
      </c>
      <c r="AK226">
        <f>IF(S226&lt;33,0,IF(S226&gt;=80,5,IF(S226&gt;=70,4,IF(S226&gt;=60,3.5,IF(S226&gt;=50,3,IF(S226&gt;=40,2,IF(S226&gt;=33,1,0)))))))</f>
        <v/>
      </c>
      <c r="AL226">
        <f>(AC226+AD226+AE226+AF226+AG226+AH226+AI226+AJ226)/8</f>
        <v/>
      </c>
      <c r="AM226">
        <f>IF(AK226&gt;=2,(AK226-2)/8,0)</f>
        <v/>
      </c>
    </row>
    <row r="227">
      <c r="T227">
        <f>SUM(C227:R227)</f>
        <v/>
      </c>
      <c r="U227" s="6">
        <f>ROUND(T227/11.5,2)</f>
        <v/>
      </c>
      <c r="V227" s="7">
        <f>IF(B227="","",IF(AB227,0,ROUND(AL227,2)))</f>
        <v/>
      </c>
      <c r="W227" s="7">
        <f>IF(B227="","",IF(AB227,0,MIN(5,ROUND(AL227+AM227,2))))</f>
        <v/>
      </c>
      <c r="X227" s="8">
        <f>IF(B227="","",IF(W227&gt;=5,"A+",IF(W227&gt;=4,"A",IF(W227&gt;=3.5,"A-",IF(W227&gt;=3,"B",IF(W227&gt;=2,"C",IF(W227&gt;=1,"D","F")))))))</f>
        <v/>
      </c>
      <c r="Y227">
        <f>NOT(OR(AND(J227&gt;=10,K227&gt;=23,L227&gt;=10,M227&gt;=23),AND(J227+L227&gt;=20,K227+M227&gt;=46)))</f>
        <v/>
      </c>
      <c r="Z227">
        <f>OR(N227&lt;10,O227&lt;23)</f>
        <v/>
      </c>
      <c r="AA227">
        <f>OR(P227&lt;10,Q227&lt;23)</f>
        <v/>
      </c>
      <c r="AB227">
        <f>OR((C227+D227)&lt;66,(E227+F227)&lt;66,G227&lt;33,(H227+I227)&lt;66,Y227,Z227,AA227,R227&lt;8.25)</f>
        <v/>
      </c>
      <c r="AC227">
        <f>IF(C227+D227&lt;66,0,IF((C227+D227)/2&gt;=80,5,IF((C227+D227)/2&gt;=70,4,IF((C227+D227)/2&gt;=60,3.5,IF((C227+D227)/2&gt;=50,3,IF((C227+D227)/2&gt;=40,2,IF((C227+D227)/2&gt;=33,1,0)))))))</f>
        <v/>
      </c>
      <c r="AD227">
        <f>IF(E227+F227&lt;66,0,IF((E227+F227)/2&gt;=80,5,IF((E227+F227)/2&gt;=70,4,IF((E227+F227)/2&gt;=60,3.5,IF((E227+F227)/2&gt;=50,3,IF((E227+F227)/2&gt;=40,2,IF((E227+F227)/2&gt;=33,1,0)))))))</f>
        <v/>
      </c>
      <c r="AE227">
        <f>IF(G227&lt;33,0,IF(G227&gt;=80,5,IF(G227&gt;=70,4,IF(G227&gt;=60,3.5,IF(G227&gt;=50,3,IF(G227&gt;=40,2,IF(G227&gt;=33,1,0)))))))</f>
        <v/>
      </c>
      <c r="AF227">
        <f>IF(H227+I227&lt;66,0,IF((H227+I227)/2&gt;=80,5,IF((H227+I227)/2&gt;=70,4,IF((H227+I227)/2&gt;=60,3.5,IF((H227+I227)/2&gt;=50,3,IF((H227+I227)/2&gt;=40,2,IF((H227+I227)/2&gt;=33,1,0)))))))</f>
        <v/>
      </c>
      <c r="AG227">
        <f>IF(Y227,0,IF((J227+K227+L227+M227)/2&gt;=80,5,IF((J227+K227+L227+M227)/2&gt;=70,4,IF((J227+K227+L227+M227)/2&gt;=60,3.5,IF((J227+K227+L227+M227)/2&gt;=50,3,IF((J227+K227+L227+M227)/2&gt;=40,2,IF((J227+K227+L227+M227)/2&gt;=33,1,0)))))))</f>
        <v/>
      </c>
      <c r="AH227">
        <f>IF(Z227,0,IF(N227+O227&gt;=80,5,IF(N227+O227&gt;=70,4,IF(N227+O227&gt;=60,3.5,IF(N227+O227&gt;=50,3,IF(N227+O227&gt;=40,2,IF(N227+O227&gt;=33,1,0)))))))</f>
        <v/>
      </c>
      <c r="AI227">
        <f>IF(AA227,0,IF(P227+Q227&gt;=80,5,IF(P227+Q227&gt;=70,4,IF(P227+Q227&gt;=60,3.5,IF(P227+Q227&gt;=50,3,IF(P227+Q227&gt;=40,2,IF(P227+Q227&gt;=33,1,0)))))))</f>
        <v/>
      </c>
      <c r="AJ227">
        <f>IF(R227&lt;8.25,0,IF(R227*2&gt;=80,5,IF(R227*2&gt;=70,4,IF(R227*2&gt;=60,3.5,IF(R227*2&gt;=50,3,IF(R227*2&gt;=40,2,IF(R227*2&gt;=33,1,0)))))))</f>
        <v/>
      </c>
      <c r="AK227">
        <f>IF(S227&lt;33,0,IF(S227&gt;=80,5,IF(S227&gt;=70,4,IF(S227&gt;=60,3.5,IF(S227&gt;=50,3,IF(S227&gt;=40,2,IF(S227&gt;=33,1,0)))))))</f>
        <v/>
      </c>
      <c r="AL227">
        <f>(AC227+AD227+AE227+AF227+AG227+AH227+AI227+AJ227)/8</f>
        <v/>
      </c>
      <c r="AM227">
        <f>IF(AK227&gt;=2,(AK227-2)/8,0)</f>
        <v/>
      </c>
    </row>
    <row r="228">
      <c r="T228">
        <f>SUM(C228:R228)</f>
        <v/>
      </c>
      <c r="U228" s="6">
        <f>ROUND(T228/11.5,2)</f>
        <v/>
      </c>
      <c r="V228" s="7">
        <f>IF(B228="","",IF(AB228,0,ROUND(AL228,2)))</f>
        <v/>
      </c>
      <c r="W228" s="7">
        <f>IF(B228="","",IF(AB228,0,MIN(5,ROUND(AL228+AM228,2))))</f>
        <v/>
      </c>
      <c r="X228" s="8">
        <f>IF(B228="","",IF(W228&gt;=5,"A+",IF(W228&gt;=4,"A",IF(W228&gt;=3.5,"A-",IF(W228&gt;=3,"B",IF(W228&gt;=2,"C",IF(W228&gt;=1,"D","F")))))))</f>
        <v/>
      </c>
      <c r="Y228">
        <f>NOT(OR(AND(J228&gt;=10,K228&gt;=23,L228&gt;=10,M228&gt;=23),AND(J228+L228&gt;=20,K228+M228&gt;=46)))</f>
        <v/>
      </c>
      <c r="Z228">
        <f>OR(N228&lt;10,O228&lt;23)</f>
        <v/>
      </c>
      <c r="AA228">
        <f>OR(P228&lt;10,Q228&lt;23)</f>
        <v/>
      </c>
      <c r="AB228">
        <f>OR((C228+D228)&lt;66,(E228+F228)&lt;66,G228&lt;33,(H228+I228)&lt;66,Y228,Z228,AA228,R228&lt;8.25)</f>
        <v/>
      </c>
      <c r="AC228">
        <f>IF(C228+D228&lt;66,0,IF((C228+D228)/2&gt;=80,5,IF((C228+D228)/2&gt;=70,4,IF((C228+D228)/2&gt;=60,3.5,IF((C228+D228)/2&gt;=50,3,IF((C228+D228)/2&gt;=40,2,IF((C228+D228)/2&gt;=33,1,0)))))))</f>
        <v/>
      </c>
      <c r="AD228">
        <f>IF(E228+F228&lt;66,0,IF((E228+F228)/2&gt;=80,5,IF((E228+F228)/2&gt;=70,4,IF((E228+F228)/2&gt;=60,3.5,IF((E228+F228)/2&gt;=50,3,IF((E228+F228)/2&gt;=40,2,IF((E228+F228)/2&gt;=33,1,0)))))))</f>
        <v/>
      </c>
      <c r="AE228">
        <f>IF(G228&lt;33,0,IF(G228&gt;=80,5,IF(G228&gt;=70,4,IF(G228&gt;=60,3.5,IF(G228&gt;=50,3,IF(G228&gt;=40,2,IF(G228&gt;=33,1,0)))))))</f>
        <v/>
      </c>
      <c r="AF228">
        <f>IF(H228+I228&lt;66,0,IF((H228+I228)/2&gt;=80,5,IF((H228+I228)/2&gt;=70,4,IF((H228+I228)/2&gt;=60,3.5,IF((H228+I228)/2&gt;=50,3,IF((H228+I228)/2&gt;=40,2,IF((H228+I228)/2&gt;=33,1,0)))))))</f>
        <v/>
      </c>
      <c r="AG228">
        <f>IF(Y228,0,IF((J228+K228+L228+M228)/2&gt;=80,5,IF((J228+K228+L228+M228)/2&gt;=70,4,IF((J228+K228+L228+M228)/2&gt;=60,3.5,IF((J228+K228+L228+M228)/2&gt;=50,3,IF((J228+K228+L228+M228)/2&gt;=40,2,IF((J228+K228+L228+M228)/2&gt;=33,1,0)))))))</f>
        <v/>
      </c>
      <c r="AH228">
        <f>IF(Z228,0,IF(N228+O228&gt;=80,5,IF(N228+O228&gt;=70,4,IF(N228+O228&gt;=60,3.5,IF(N228+O228&gt;=50,3,IF(N228+O228&gt;=40,2,IF(N228+O228&gt;=33,1,0)))))))</f>
        <v/>
      </c>
      <c r="AI228">
        <f>IF(AA228,0,IF(P228+Q228&gt;=80,5,IF(P228+Q228&gt;=70,4,IF(P228+Q228&gt;=60,3.5,IF(P228+Q228&gt;=50,3,IF(P228+Q228&gt;=40,2,IF(P228+Q228&gt;=33,1,0)))))))</f>
        <v/>
      </c>
      <c r="AJ228">
        <f>IF(R228&lt;8.25,0,IF(R228*2&gt;=80,5,IF(R228*2&gt;=70,4,IF(R228*2&gt;=60,3.5,IF(R228*2&gt;=50,3,IF(R228*2&gt;=40,2,IF(R228*2&gt;=33,1,0)))))))</f>
        <v/>
      </c>
      <c r="AK228">
        <f>IF(S228&lt;33,0,IF(S228&gt;=80,5,IF(S228&gt;=70,4,IF(S228&gt;=60,3.5,IF(S228&gt;=50,3,IF(S228&gt;=40,2,IF(S228&gt;=33,1,0)))))))</f>
        <v/>
      </c>
      <c r="AL228">
        <f>(AC228+AD228+AE228+AF228+AG228+AH228+AI228+AJ228)/8</f>
        <v/>
      </c>
      <c r="AM228">
        <f>IF(AK228&gt;=2,(AK228-2)/8,0)</f>
        <v/>
      </c>
    </row>
    <row r="229">
      <c r="T229">
        <f>SUM(C229:R229)</f>
        <v/>
      </c>
      <c r="U229" s="6">
        <f>ROUND(T229/11.5,2)</f>
        <v/>
      </c>
      <c r="V229" s="7">
        <f>IF(B229="","",IF(AB229,0,ROUND(AL229,2)))</f>
        <v/>
      </c>
      <c r="W229" s="7">
        <f>IF(B229="","",IF(AB229,0,MIN(5,ROUND(AL229+AM229,2))))</f>
        <v/>
      </c>
      <c r="X229" s="8">
        <f>IF(B229="","",IF(W229&gt;=5,"A+",IF(W229&gt;=4,"A",IF(W229&gt;=3.5,"A-",IF(W229&gt;=3,"B",IF(W229&gt;=2,"C",IF(W229&gt;=1,"D","F")))))))</f>
        <v/>
      </c>
      <c r="Y229">
        <f>NOT(OR(AND(J229&gt;=10,K229&gt;=23,L229&gt;=10,M229&gt;=23),AND(J229+L229&gt;=20,K229+M229&gt;=46)))</f>
        <v/>
      </c>
      <c r="Z229">
        <f>OR(N229&lt;10,O229&lt;23)</f>
        <v/>
      </c>
      <c r="AA229">
        <f>OR(P229&lt;10,Q229&lt;23)</f>
        <v/>
      </c>
      <c r="AB229">
        <f>OR((C229+D229)&lt;66,(E229+F229)&lt;66,G229&lt;33,(H229+I229)&lt;66,Y229,Z229,AA229,R229&lt;8.25)</f>
        <v/>
      </c>
      <c r="AC229">
        <f>IF(C229+D229&lt;66,0,IF((C229+D229)/2&gt;=80,5,IF((C229+D229)/2&gt;=70,4,IF((C229+D229)/2&gt;=60,3.5,IF((C229+D229)/2&gt;=50,3,IF((C229+D229)/2&gt;=40,2,IF((C229+D229)/2&gt;=33,1,0)))))))</f>
        <v/>
      </c>
      <c r="AD229">
        <f>IF(E229+F229&lt;66,0,IF((E229+F229)/2&gt;=80,5,IF((E229+F229)/2&gt;=70,4,IF((E229+F229)/2&gt;=60,3.5,IF((E229+F229)/2&gt;=50,3,IF((E229+F229)/2&gt;=40,2,IF((E229+F229)/2&gt;=33,1,0)))))))</f>
        <v/>
      </c>
      <c r="AE229">
        <f>IF(G229&lt;33,0,IF(G229&gt;=80,5,IF(G229&gt;=70,4,IF(G229&gt;=60,3.5,IF(G229&gt;=50,3,IF(G229&gt;=40,2,IF(G229&gt;=33,1,0)))))))</f>
        <v/>
      </c>
      <c r="AF229">
        <f>IF(H229+I229&lt;66,0,IF((H229+I229)/2&gt;=80,5,IF((H229+I229)/2&gt;=70,4,IF((H229+I229)/2&gt;=60,3.5,IF((H229+I229)/2&gt;=50,3,IF((H229+I229)/2&gt;=40,2,IF((H229+I229)/2&gt;=33,1,0)))))))</f>
        <v/>
      </c>
      <c r="AG229">
        <f>IF(Y229,0,IF((J229+K229+L229+M229)/2&gt;=80,5,IF((J229+K229+L229+M229)/2&gt;=70,4,IF((J229+K229+L229+M229)/2&gt;=60,3.5,IF((J229+K229+L229+M229)/2&gt;=50,3,IF((J229+K229+L229+M229)/2&gt;=40,2,IF((J229+K229+L229+M229)/2&gt;=33,1,0)))))))</f>
        <v/>
      </c>
      <c r="AH229">
        <f>IF(Z229,0,IF(N229+O229&gt;=80,5,IF(N229+O229&gt;=70,4,IF(N229+O229&gt;=60,3.5,IF(N229+O229&gt;=50,3,IF(N229+O229&gt;=40,2,IF(N229+O229&gt;=33,1,0)))))))</f>
        <v/>
      </c>
      <c r="AI229">
        <f>IF(AA229,0,IF(P229+Q229&gt;=80,5,IF(P229+Q229&gt;=70,4,IF(P229+Q229&gt;=60,3.5,IF(P229+Q229&gt;=50,3,IF(P229+Q229&gt;=40,2,IF(P229+Q229&gt;=33,1,0)))))))</f>
        <v/>
      </c>
      <c r="AJ229">
        <f>IF(R229&lt;8.25,0,IF(R229*2&gt;=80,5,IF(R229*2&gt;=70,4,IF(R229*2&gt;=60,3.5,IF(R229*2&gt;=50,3,IF(R229*2&gt;=40,2,IF(R229*2&gt;=33,1,0)))))))</f>
        <v/>
      </c>
      <c r="AK229">
        <f>IF(S229&lt;33,0,IF(S229&gt;=80,5,IF(S229&gt;=70,4,IF(S229&gt;=60,3.5,IF(S229&gt;=50,3,IF(S229&gt;=40,2,IF(S229&gt;=33,1,0)))))))</f>
        <v/>
      </c>
      <c r="AL229">
        <f>(AC229+AD229+AE229+AF229+AG229+AH229+AI229+AJ229)/8</f>
        <v/>
      </c>
      <c r="AM229">
        <f>IF(AK229&gt;=2,(AK229-2)/8,0)</f>
        <v/>
      </c>
    </row>
    <row r="230">
      <c r="T230">
        <f>SUM(C230:R230)</f>
        <v/>
      </c>
      <c r="U230" s="6">
        <f>ROUND(T230/11.5,2)</f>
        <v/>
      </c>
      <c r="V230" s="7">
        <f>IF(B230="","",IF(AB230,0,ROUND(AL230,2)))</f>
        <v/>
      </c>
      <c r="W230" s="7">
        <f>IF(B230="","",IF(AB230,0,MIN(5,ROUND(AL230+AM230,2))))</f>
        <v/>
      </c>
      <c r="X230" s="8">
        <f>IF(B230="","",IF(W230&gt;=5,"A+",IF(W230&gt;=4,"A",IF(W230&gt;=3.5,"A-",IF(W230&gt;=3,"B",IF(W230&gt;=2,"C",IF(W230&gt;=1,"D","F")))))))</f>
        <v/>
      </c>
      <c r="Y230">
        <f>NOT(OR(AND(J230&gt;=10,K230&gt;=23,L230&gt;=10,M230&gt;=23),AND(J230+L230&gt;=20,K230+M230&gt;=46)))</f>
        <v/>
      </c>
      <c r="Z230">
        <f>OR(N230&lt;10,O230&lt;23)</f>
        <v/>
      </c>
      <c r="AA230">
        <f>OR(P230&lt;10,Q230&lt;23)</f>
        <v/>
      </c>
      <c r="AB230">
        <f>OR((C230+D230)&lt;66,(E230+F230)&lt;66,G230&lt;33,(H230+I230)&lt;66,Y230,Z230,AA230,R230&lt;8.25)</f>
        <v/>
      </c>
      <c r="AC230">
        <f>IF(C230+D230&lt;66,0,IF((C230+D230)/2&gt;=80,5,IF((C230+D230)/2&gt;=70,4,IF((C230+D230)/2&gt;=60,3.5,IF((C230+D230)/2&gt;=50,3,IF((C230+D230)/2&gt;=40,2,IF((C230+D230)/2&gt;=33,1,0)))))))</f>
        <v/>
      </c>
      <c r="AD230">
        <f>IF(E230+F230&lt;66,0,IF((E230+F230)/2&gt;=80,5,IF((E230+F230)/2&gt;=70,4,IF((E230+F230)/2&gt;=60,3.5,IF((E230+F230)/2&gt;=50,3,IF((E230+F230)/2&gt;=40,2,IF((E230+F230)/2&gt;=33,1,0)))))))</f>
        <v/>
      </c>
      <c r="AE230">
        <f>IF(G230&lt;33,0,IF(G230&gt;=80,5,IF(G230&gt;=70,4,IF(G230&gt;=60,3.5,IF(G230&gt;=50,3,IF(G230&gt;=40,2,IF(G230&gt;=33,1,0)))))))</f>
        <v/>
      </c>
      <c r="AF230">
        <f>IF(H230+I230&lt;66,0,IF((H230+I230)/2&gt;=80,5,IF((H230+I230)/2&gt;=70,4,IF((H230+I230)/2&gt;=60,3.5,IF((H230+I230)/2&gt;=50,3,IF((H230+I230)/2&gt;=40,2,IF((H230+I230)/2&gt;=33,1,0)))))))</f>
        <v/>
      </c>
      <c r="AG230">
        <f>IF(Y230,0,IF((J230+K230+L230+M230)/2&gt;=80,5,IF((J230+K230+L230+M230)/2&gt;=70,4,IF((J230+K230+L230+M230)/2&gt;=60,3.5,IF((J230+K230+L230+M230)/2&gt;=50,3,IF((J230+K230+L230+M230)/2&gt;=40,2,IF((J230+K230+L230+M230)/2&gt;=33,1,0)))))))</f>
        <v/>
      </c>
      <c r="AH230">
        <f>IF(Z230,0,IF(N230+O230&gt;=80,5,IF(N230+O230&gt;=70,4,IF(N230+O230&gt;=60,3.5,IF(N230+O230&gt;=50,3,IF(N230+O230&gt;=40,2,IF(N230+O230&gt;=33,1,0)))))))</f>
        <v/>
      </c>
      <c r="AI230">
        <f>IF(AA230,0,IF(P230+Q230&gt;=80,5,IF(P230+Q230&gt;=70,4,IF(P230+Q230&gt;=60,3.5,IF(P230+Q230&gt;=50,3,IF(P230+Q230&gt;=40,2,IF(P230+Q230&gt;=33,1,0)))))))</f>
        <v/>
      </c>
      <c r="AJ230">
        <f>IF(R230&lt;8.25,0,IF(R230*2&gt;=80,5,IF(R230*2&gt;=70,4,IF(R230*2&gt;=60,3.5,IF(R230*2&gt;=50,3,IF(R230*2&gt;=40,2,IF(R230*2&gt;=33,1,0)))))))</f>
        <v/>
      </c>
      <c r="AK230">
        <f>IF(S230&lt;33,0,IF(S230&gt;=80,5,IF(S230&gt;=70,4,IF(S230&gt;=60,3.5,IF(S230&gt;=50,3,IF(S230&gt;=40,2,IF(S230&gt;=33,1,0)))))))</f>
        <v/>
      </c>
      <c r="AL230">
        <f>(AC230+AD230+AE230+AF230+AG230+AH230+AI230+AJ230)/8</f>
        <v/>
      </c>
      <c r="AM230">
        <f>IF(AK230&gt;=2,(AK230-2)/8,0)</f>
        <v/>
      </c>
    </row>
    <row r="231">
      <c r="T231">
        <f>SUM(C231:R231)</f>
        <v/>
      </c>
      <c r="U231" s="6">
        <f>ROUND(T231/11.5,2)</f>
        <v/>
      </c>
      <c r="V231" s="7">
        <f>IF(B231="","",IF(AB231,0,ROUND(AL231,2)))</f>
        <v/>
      </c>
      <c r="W231" s="7">
        <f>IF(B231="","",IF(AB231,0,MIN(5,ROUND(AL231+AM231,2))))</f>
        <v/>
      </c>
      <c r="X231" s="8">
        <f>IF(B231="","",IF(W231&gt;=5,"A+",IF(W231&gt;=4,"A",IF(W231&gt;=3.5,"A-",IF(W231&gt;=3,"B",IF(W231&gt;=2,"C",IF(W231&gt;=1,"D","F")))))))</f>
        <v/>
      </c>
      <c r="Y231">
        <f>NOT(OR(AND(J231&gt;=10,K231&gt;=23,L231&gt;=10,M231&gt;=23),AND(J231+L231&gt;=20,K231+M231&gt;=46)))</f>
        <v/>
      </c>
      <c r="Z231">
        <f>OR(N231&lt;10,O231&lt;23)</f>
        <v/>
      </c>
      <c r="AA231">
        <f>OR(P231&lt;10,Q231&lt;23)</f>
        <v/>
      </c>
      <c r="AB231">
        <f>OR((C231+D231)&lt;66,(E231+F231)&lt;66,G231&lt;33,(H231+I231)&lt;66,Y231,Z231,AA231,R231&lt;8.25)</f>
        <v/>
      </c>
      <c r="AC231">
        <f>IF(C231+D231&lt;66,0,IF((C231+D231)/2&gt;=80,5,IF((C231+D231)/2&gt;=70,4,IF((C231+D231)/2&gt;=60,3.5,IF((C231+D231)/2&gt;=50,3,IF((C231+D231)/2&gt;=40,2,IF((C231+D231)/2&gt;=33,1,0)))))))</f>
        <v/>
      </c>
      <c r="AD231">
        <f>IF(E231+F231&lt;66,0,IF((E231+F231)/2&gt;=80,5,IF((E231+F231)/2&gt;=70,4,IF((E231+F231)/2&gt;=60,3.5,IF((E231+F231)/2&gt;=50,3,IF((E231+F231)/2&gt;=40,2,IF((E231+F231)/2&gt;=33,1,0)))))))</f>
        <v/>
      </c>
      <c r="AE231">
        <f>IF(G231&lt;33,0,IF(G231&gt;=80,5,IF(G231&gt;=70,4,IF(G231&gt;=60,3.5,IF(G231&gt;=50,3,IF(G231&gt;=40,2,IF(G231&gt;=33,1,0)))))))</f>
        <v/>
      </c>
      <c r="AF231">
        <f>IF(H231+I231&lt;66,0,IF((H231+I231)/2&gt;=80,5,IF((H231+I231)/2&gt;=70,4,IF((H231+I231)/2&gt;=60,3.5,IF((H231+I231)/2&gt;=50,3,IF((H231+I231)/2&gt;=40,2,IF((H231+I231)/2&gt;=33,1,0)))))))</f>
        <v/>
      </c>
      <c r="AG231">
        <f>IF(Y231,0,IF((J231+K231+L231+M231)/2&gt;=80,5,IF((J231+K231+L231+M231)/2&gt;=70,4,IF((J231+K231+L231+M231)/2&gt;=60,3.5,IF((J231+K231+L231+M231)/2&gt;=50,3,IF((J231+K231+L231+M231)/2&gt;=40,2,IF((J231+K231+L231+M231)/2&gt;=33,1,0)))))))</f>
        <v/>
      </c>
      <c r="AH231">
        <f>IF(Z231,0,IF(N231+O231&gt;=80,5,IF(N231+O231&gt;=70,4,IF(N231+O231&gt;=60,3.5,IF(N231+O231&gt;=50,3,IF(N231+O231&gt;=40,2,IF(N231+O231&gt;=33,1,0)))))))</f>
        <v/>
      </c>
      <c r="AI231">
        <f>IF(AA231,0,IF(P231+Q231&gt;=80,5,IF(P231+Q231&gt;=70,4,IF(P231+Q231&gt;=60,3.5,IF(P231+Q231&gt;=50,3,IF(P231+Q231&gt;=40,2,IF(P231+Q231&gt;=33,1,0)))))))</f>
        <v/>
      </c>
      <c r="AJ231">
        <f>IF(R231&lt;8.25,0,IF(R231*2&gt;=80,5,IF(R231*2&gt;=70,4,IF(R231*2&gt;=60,3.5,IF(R231*2&gt;=50,3,IF(R231*2&gt;=40,2,IF(R231*2&gt;=33,1,0)))))))</f>
        <v/>
      </c>
      <c r="AK231">
        <f>IF(S231&lt;33,0,IF(S231&gt;=80,5,IF(S231&gt;=70,4,IF(S231&gt;=60,3.5,IF(S231&gt;=50,3,IF(S231&gt;=40,2,IF(S231&gt;=33,1,0)))))))</f>
        <v/>
      </c>
      <c r="AL231">
        <f>(AC231+AD231+AE231+AF231+AG231+AH231+AI231+AJ231)/8</f>
        <v/>
      </c>
      <c r="AM231">
        <f>IF(AK231&gt;=2,(AK231-2)/8,0)</f>
        <v/>
      </c>
    </row>
    <row r="232">
      <c r="T232">
        <f>SUM(C232:R232)</f>
        <v/>
      </c>
      <c r="U232" s="6">
        <f>ROUND(T232/11.5,2)</f>
        <v/>
      </c>
      <c r="V232" s="7">
        <f>IF(B232="","",IF(AB232,0,ROUND(AL232,2)))</f>
        <v/>
      </c>
      <c r="W232" s="7">
        <f>IF(B232="","",IF(AB232,0,MIN(5,ROUND(AL232+AM232,2))))</f>
        <v/>
      </c>
      <c r="X232" s="8">
        <f>IF(B232="","",IF(W232&gt;=5,"A+",IF(W232&gt;=4,"A",IF(W232&gt;=3.5,"A-",IF(W232&gt;=3,"B",IF(W232&gt;=2,"C",IF(W232&gt;=1,"D","F")))))))</f>
        <v/>
      </c>
      <c r="Y232">
        <f>NOT(OR(AND(J232&gt;=10,K232&gt;=23,L232&gt;=10,M232&gt;=23),AND(J232+L232&gt;=20,K232+M232&gt;=46)))</f>
        <v/>
      </c>
      <c r="Z232">
        <f>OR(N232&lt;10,O232&lt;23)</f>
        <v/>
      </c>
      <c r="AA232">
        <f>OR(P232&lt;10,Q232&lt;23)</f>
        <v/>
      </c>
      <c r="AB232">
        <f>OR((C232+D232)&lt;66,(E232+F232)&lt;66,G232&lt;33,(H232+I232)&lt;66,Y232,Z232,AA232,R232&lt;8.25)</f>
        <v/>
      </c>
      <c r="AC232">
        <f>IF(C232+D232&lt;66,0,IF((C232+D232)/2&gt;=80,5,IF((C232+D232)/2&gt;=70,4,IF((C232+D232)/2&gt;=60,3.5,IF((C232+D232)/2&gt;=50,3,IF((C232+D232)/2&gt;=40,2,IF((C232+D232)/2&gt;=33,1,0)))))))</f>
        <v/>
      </c>
      <c r="AD232">
        <f>IF(E232+F232&lt;66,0,IF((E232+F232)/2&gt;=80,5,IF((E232+F232)/2&gt;=70,4,IF((E232+F232)/2&gt;=60,3.5,IF((E232+F232)/2&gt;=50,3,IF((E232+F232)/2&gt;=40,2,IF((E232+F232)/2&gt;=33,1,0)))))))</f>
        <v/>
      </c>
      <c r="AE232">
        <f>IF(G232&lt;33,0,IF(G232&gt;=80,5,IF(G232&gt;=70,4,IF(G232&gt;=60,3.5,IF(G232&gt;=50,3,IF(G232&gt;=40,2,IF(G232&gt;=33,1,0)))))))</f>
        <v/>
      </c>
      <c r="AF232">
        <f>IF(H232+I232&lt;66,0,IF((H232+I232)/2&gt;=80,5,IF((H232+I232)/2&gt;=70,4,IF((H232+I232)/2&gt;=60,3.5,IF((H232+I232)/2&gt;=50,3,IF((H232+I232)/2&gt;=40,2,IF((H232+I232)/2&gt;=33,1,0)))))))</f>
        <v/>
      </c>
      <c r="AG232">
        <f>IF(Y232,0,IF((J232+K232+L232+M232)/2&gt;=80,5,IF((J232+K232+L232+M232)/2&gt;=70,4,IF((J232+K232+L232+M232)/2&gt;=60,3.5,IF((J232+K232+L232+M232)/2&gt;=50,3,IF((J232+K232+L232+M232)/2&gt;=40,2,IF((J232+K232+L232+M232)/2&gt;=33,1,0)))))))</f>
        <v/>
      </c>
      <c r="AH232">
        <f>IF(Z232,0,IF(N232+O232&gt;=80,5,IF(N232+O232&gt;=70,4,IF(N232+O232&gt;=60,3.5,IF(N232+O232&gt;=50,3,IF(N232+O232&gt;=40,2,IF(N232+O232&gt;=33,1,0)))))))</f>
        <v/>
      </c>
      <c r="AI232">
        <f>IF(AA232,0,IF(P232+Q232&gt;=80,5,IF(P232+Q232&gt;=70,4,IF(P232+Q232&gt;=60,3.5,IF(P232+Q232&gt;=50,3,IF(P232+Q232&gt;=40,2,IF(P232+Q232&gt;=33,1,0)))))))</f>
        <v/>
      </c>
      <c r="AJ232">
        <f>IF(R232&lt;8.25,0,IF(R232*2&gt;=80,5,IF(R232*2&gt;=70,4,IF(R232*2&gt;=60,3.5,IF(R232*2&gt;=50,3,IF(R232*2&gt;=40,2,IF(R232*2&gt;=33,1,0)))))))</f>
        <v/>
      </c>
      <c r="AK232">
        <f>IF(S232&lt;33,0,IF(S232&gt;=80,5,IF(S232&gt;=70,4,IF(S232&gt;=60,3.5,IF(S232&gt;=50,3,IF(S232&gt;=40,2,IF(S232&gt;=33,1,0)))))))</f>
        <v/>
      </c>
      <c r="AL232">
        <f>(AC232+AD232+AE232+AF232+AG232+AH232+AI232+AJ232)/8</f>
        <v/>
      </c>
      <c r="AM232">
        <f>IF(AK232&gt;=2,(AK232-2)/8,0)</f>
        <v/>
      </c>
    </row>
    <row r="233">
      <c r="T233">
        <f>SUM(C233:R233)</f>
        <v/>
      </c>
      <c r="U233" s="6">
        <f>ROUND(T233/11.5,2)</f>
        <v/>
      </c>
      <c r="V233" s="7">
        <f>IF(B233="","",IF(AB233,0,ROUND(AL233,2)))</f>
        <v/>
      </c>
      <c r="W233" s="7">
        <f>IF(B233="","",IF(AB233,0,MIN(5,ROUND(AL233+AM233,2))))</f>
        <v/>
      </c>
      <c r="X233" s="8">
        <f>IF(B233="","",IF(W233&gt;=5,"A+",IF(W233&gt;=4,"A",IF(W233&gt;=3.5,"A-",IF(W233&gt;=3,"B",IF(W233&gt;=2,"C",IF(W233&gt;=1,"D","F")))))))</f>
        <v/>
      </c>
      <c r="Y233">
        <f>NOT(OR(AND(J233&gt;=10,K233&gt;=23,L233&gt;=10,M233&gt;=23),AND(J233+L233&gt;=20,K233+M233&gt;=46)))</f>
        <v/>
      </c>
      <c r="Z233">
        <f>OR(N233&lt;10,O233&lt;23)</f>
        <v/>
      </c>
      <c r="AA233">
        <f>OR(P233&lt;10,Q233&lt;23)</f>
        <v/>
      </c>
      <c r="AB233">
        <f>OR((C233+D233)&lt;66,(E233+F233)&lt;66,G233&lt;33,(H233+I233)&lt;66,Y233,Z233,AA233,R233&lt;8.25)</f>
        <v/>
      </c>
      <c r="AC233">
        <f>IF(C233+D233&lt;66,0,IF((C233+D233)/2&gt;=80,5,IF((C233+D233)/2&gt;=70,4,IF((C233+D233)/2&gt;=60,3.5,IF((C233+D233)/2&gt;=50,3,IF((C233+D233)/2&gt;=40,2,IF((C233+D233)/2&gt;=33,1,0)))))))</f>
        <v/>
      </c>
      <c r="AD233">
        <f>IF(E233+F233&lt;66,0,IF((E233+F233)/2&gt;=80,5,IF((E233+F233)/2&gt;=70,4,IF((E233+F233)/2&gt;=60,3.5,IF((E233+F233)/2&gt;=50,3,IF((E233+F233)/2&gt;=40,2,IF((E233+F233)/2&gt;=33,1,0)))))))</f>
        <v/>
      </c>
      <c r="AE233">
        <f>IF(G233&lt;33,0,IF(G233&gt;=80,5,IF(G233&gt;=70,4,IF(G233&gt;=60,3.5,IF(G233&gt;=50,3,IF(G233&gt;=40,2,IF(G233&gt;=33,1,0)))))))</f>
        <v/>
      </c>
      <c r="AF233">
        <f>IF(H233+I233&lt;66,0,IF((H233+I233)/2&gt;=80,5,IF((H233+I233)/2&gt;=70,4,IF((H233+I233)/2&gt;=60,3.5,IF((H233+I233)/2&gt;=50,3,IF((H233+I233)/2&gt;=40,2,IF((H233+I233)/2&gt;=33,1,0)))))))</f>
        <v/>
      </c>
      <c r="AG233">
        <f>IF(Y233,0,IF((J233+K233+L233+M233)/2&gt;=80,5,IF((J233+K233+L233+M233)/2&gt;=70,4,IF((J233+K233+L233+M233)/2&gt;=60,3.5,IF((J233+K233+L233+M233)/2&gt;=50,3,IF((J233+K233+L233+M233)/2&gt;=40,2,IF((J233+K233+L233+M233)/2&gt;=33,1,0)))))))</f>
        <v/>
      </c>
      <c r="AH233">
        <f>IF(Z233,0,IF(N233+O233&gt;=80,5,IF(N233+O233&gt;=70,4,IF(N233+O233&gt;=60,3.5,IF(N233+O233&gt;=50,3,IF(N233+O233&gt;=40,2,IF(N233+O233&gt;=33,1,0)))))))</f>
        <v/>
      </c>
      <c r="AI233">
        <f>IF(AA233,0,IF(P233+Q233&gt;=80,5,IF(P233+Q233&gt;=70,4,IF(P233+Q233&gt;=60,3.5,IF(P233+Q233&gt;=50,3,IF(P233+Q233&gt;=40,2,IF(P233+Q233&gt;=33,1,0)))))))</f>
        <v/>
      </c>
      <c r="AJ233">
        <f>IF(R233&lt;8.25,0,IF(R233*2&gt;=80,5,IF(R233*2&gt;=70,4,IF(R233*2&gt;=60,3.5,IF(R233*2&gt;=50,3,IF(R233*2&gt;=40,2,IF(R233*2&gt;=33,1,0)))))))</f>
        <v/>
      </c>
      <c r="AK233">
        <f>IF(S233&lt;33,0,IF(S233&gt;=80,5,IF(S233&gt;=70,4,IF(S233&gt;=60,3.5,IF(S233&gt;=50,3,IF(S233&gt;=40,2,IF(S233&gt;=33,1,0)))))))</f>
        <v/>
      </c>
      <c r="AL233">
        <f>(AC233+AD233+AE233+AF233+AG233+AH233+AI233+AJ233)/8</f>
        <v/>
      </c>
      <c r="AM233">
        <f>IF(AK233&gt;=2,(AK233-2)/8,0)</f>
        <v/>
      </c>
    </row>
    <row r="234">
      <c r="T234">
        <f>SUM(C234:R234)</f>
        <v/>
      </c>
      <c r="U234" s="6">
        <f>ROUND(T234/11.5,2)</f>
        <v/>
      </c>
      <c r="V234" s="7">
        <f>IF(B234="","",IF(AB234,0,ROUND(AL234,2)))</f>
        <v/>
      </c>
      <c r="W234" s="7">
        <f>IF(B234="","",IF(AB234,0,MIN(5,ROUND(AL234+AM234,2))))</f>
        <v/>
      </c>
      <c r="X234" s="8">
        <f>IF(B234="","",IF(W234&gt;=5,"A+",IF(W234&gt;=4,"A",IF(W234&gt;=3.5,"A-",IF(W234&gt;=3,"B",IF(W234&gt;=2,"C",IF(W234&gt;=1,"D","F")))))))</f>
        <v/>
      </c>
      <c r="Y234">
        <f>NOT(OR(AND(J234&gt;=10,K234&gt;=23,L234&gt;=10,M234&gt;=23),AND(J234+L234&gt;=20,K234+M234&gt;=46)))</f>
        <v/>
      </c>
      <c r="Z234">
        <f>OR(N234&lt;10,O234&lt;23)</f>
        <v/>
      </c>
      <c r="AA234">
        <f>OR(P234&lt;10,Q234&lt;23)</f>
        <v/>
      </c>
      <c r="AB234">
        <f>OR((C234+D234)&lt;66,(E234+F234)&lt;66,G234&lt;33,(H234+I234)&lt;66,Y234,Z234,AA234,R234&lt;8.25)</f>
        <v/>
      </c>
      <c r="AC234">
        <f>IF(C234+D234&lt;66,0,IF((C234+D234)/2&gt;=80,5,IF((C234+D234)/2&gt;=70,4,IF((C234+D234)/2&gt;=60,3.5,IF((C234+D234)/2&gt;=50,3,IF((C234+D234)/2&gt;=40,2,IF((C234+D234)/2&gt;=33,1,0)))))))</f>
        <v/>
      </c>
      <c r="AD234">
        <f>IF(E234+F234&lt;66,0,IF((E234+F234)/2&gt;=80,5,IF((E234+F234)/2&gt;=70,4,IF((E234+F234)/2&gt;=60,3.5,IF((E234+F234)/2&gt;=50,3,IF((E234+F234)/2&gt;=40,2,IF((E234+F234)/2&gt;=33,1,0)))))))</f>
        <v/>
      </c>
      <c r="AE234">
        <f>IF(G234&lt;33,0,IF(G234&gt;=80,5,IF(G234&gt;=70,4,IF(G234&gt;=60,3.5,IF(G234&gt;=50,3,IF(G234&gt;=40,2,IF(G234&gt;=33,1,0)))))))</f>
        <v/>
      </c>
      <c r="AF234">
        <f>IF(H234+I234&lt;66,0,IF((H234+I234)/2&gt;=80,5,IF((H234+I234)/2&gt;=70,4,IF((H234+I234)/2&gt;=60,3.5,IF((H234+I234)/2&gt;=50,3,IF((H234+I234)/2&gt;=40,2,IF((H234+I234)/2&gt;=33,1,0)))))))</f>
        <v/>
      </c>
      <c r="AG234">
        <f>IF(Y234,0,IF((J234+K234+L234+M234)/2&gt;=80,5,IF((J234+K234+L234+M234)/2&gt;=70,4,IF((J234+K234+L234+M234)/2&gt;=60,3.5,IF((J234+K234+L234+M234)/2&gt;=50,3,IF((J234+K234+L234+M234)/2&gt;=40,2,IF((J234+K234+L234+M234)/2&gt;=33,1,0)))))))</f>
        <v/>
      </c>
      <c r="AH234">
        <f>IF(Z234,0,IF(N234+O234&gt;=80,5,IF(N234+O234&gt;=70,4,IF(N234+O234&gt;=60,3.5,IF(N234+O234&gt;=50,3,IF(N234+O234&gt;=40,2,IF(N234+O234&gt;=33,1,0)))))))</f>
        <v/>
      </c>
      <c r="AI234">
        <f>IF(AA234,0,IF(P234+Q234&gt;=80,5,IF(P234+Q234&gt;=70,4,IF(P234+Q234&gt;=60,3.5,IF(P234+Q234&gt;=50,3,IF(P234+Q234&gt;=40,2,IF(P234+Q234&gt;=33,1,0)))))))</f>
        <v/>
      </c>
      <c r="AJ234">
        <f>IF(R234&lt;8.25,0,IF(R234*2&gt;=80,5,IF(R234*2&gt;=70,4,IF(R234*2&gt;=60,3.5,IF(R234*2&gt;=50,3,IF(R234*2&gt;=40,2,IF(R234*2&gt;=33,1,0)))))))</f>
        <v/>
      </c>
      <c r="AK234">
        <f>IF(S234&lt;33,0,IF(S234&gt;=80,5,IF(S234&gt;=70,4,IF(S234&gt;=60,3.5,IF(S234&gt;=50,3,IF(S234&gt;=40,2,IF(S234&gt;=33,1,0)))))))</f>
        <v/>
      </c>
      <c r="AL234">
        <f>(AC234+AD234+AE234+AF234+AG234+AH234+AI234+AJ234)/8</f>
        <v/>
      </c>
      <c r="AM234">
        <f>IF(AK234&gt;=2,(AK234-2)/8,0)</f>
        <v/>
      </c>
    </row>
    <row r="235">
      <c r="T235">
        <f>SUM(C235:R235)</f>
        <v/>
      </c>
      <c r="U235" s="6">
        <f>ROUND(T235/11.5,2)</f>
        <v/>
      </c>
      <c r="V235" s="7">
        <f>IF(B235="","",IF(AB235,0,ROUND(AL235,2)))</f>
        <v/>
      </c>
      <c r="W235" s="7">
        <f>IF(B235="","",IF(AB235,0,MIN(5,ROUND(AL235+AM235,2))))</f>
        <v/>
      </c>
      <c r="X235" s="8">
        <f>IF(B235="","",IF(W235&gt;=5,"A+",IF(W235&gt;=4,"A",IF(W235&gt;=3.5,"A-",IF(W235&gt;=3,"B",IF(W235&gt;=2,"C",IF(W235&gt;=1,"D","F")))))))</f>
        <v/>
      </c>
      <c r="Y235">
        <f>NOT(OR(AND(J235&gt;=10,K235&gt;=23,L235&gt;=10,M235&gt;=23),AND(J235+L235&gt;=20,K235+M235&gt;=46)))</f>
        <v/>
      </c>
      <c r="Z235">
        <f>OR(N235&lt;10,O235&lt;23)</f>
        <v/>
      </c>
      <c r="AA235">
        <f>OR(P235&lt;10,Q235&lt;23)</f>
        <v/>
      </c>
      <c r="AB235">
        <f>OR((C235+D235)&lt;66,(E235+F235)&lt;66,G235&lt;33,(H235+I235)&lt;66,Y235,Z235,AA235,R235&lt;8.25)</f>
        <v/>
      </c>
      <c r="AC235">
        <f>IF(C235+D235&lt;66,0,IF((C235+D235)/2&gt;=80,5,IF((C235+D235)/2&gt;=70,4,IF((C235+D235)/2&gt;=60,3.5,IF((C235+D235)/2&gt;=50,3,IF((C235+D235)/2&gt;=40,2,IF((C235+D235)/2&gt;=33,1,0)))))))</f>
        <v/>
      </c>
      <c r="AD235">
        <f>IF(E235+F235&lt;66,0,IF((E235+F235)/2&gt;=80,5,IF((E235+F235)/2&gt;=70,4,IF((E235+F235)/2&gt;=60,3.5,IF((E235+F235)/2&gt;=50,3,IF((E235+F235)/2&gt;=40,2,IF((E235+F235)/2&gt;=33,1,0)))))))</f>
        <v/>
      </c>
      <c r="AE235">
        <f>IF(G235&lt;33,0,IF(G235&gt;=80,5,IF(G235&gt;=70,4,IF(G235&gt;=60,3.5,IF(G235&gt;=50,3,IF(G235&gt;=40,2,IF(G235&gt;=33,1,0)))))))</f>
        <v/>
      </c>
      <c r="AF235">
        <f>IF(H235+I235&lt;66,0,IF((H235+I235)/2&gt;=80,5,IF((H235+I235)/2&gt;=70,4,IF((H235+I235)/2&gt;=60,3.5,IF((H235+I235)/2&gt;=50,3,IF((H235+I235)/2&gt;=40,2,IF((H235+I235)/2&gt;=33,1,0)))))))</f>
        <v/>
      </c>
      <c r="AG235">
        <f>IF(Y235,0,IF((J235+K235+L235+M235)/2&gt;=80,5,IF((J235+K235+L235+M235)/2&gt;=70,4,IF((J235+K235+L235+M235)/2&gt;=60,3.5,IF((J235+K235+L235+M235)/2&gt;=50,3,IF((J235+K235+L235+M235)/2&gt;=40,2,IF((J235+K235+L235+M235)/2&gt;=33,1,0)))))))</f>
        <v/>
      </c>
      <c r="AH235">
        <f>IF(Z235,0,IF(N235+O235&gt;=80,5,IF(N235+O235&gt;=70,4,IF(N235+O235&gt;=60,3.5,IF(N235+O235&gt;=50,3,IF(N235+O235&gt;=40,2,IF(N235+O235&gt;=33,1,0)))))))</f>
        <v/>
      </c>
      <c r="AI235">
        <f>IF(AA235,0,IF(P235+Q235&gt;=80,5,IF(P235+Q235&gt;=70,4,IF(P235+Q235&gt;=60,3.5,IF(P235+Q235&gt;=50,3,IF(P235+Q235&gt;=40,2,IF(P235+Q235&gt;=33,1,0)))))))</f>
        <v/>
      </c>
      <c r="AJ235">
        <f>IF(R235&lt;8.25,0,IF(R235*2&gt;=80,5,IF(R235*2&gt;=70,4,IF(R235*2&gt;=60,3.5,IF(R235*2&gt;=50,3,IF(R235*2&gt;=40,2,IF(R235*2&gt;=33,1,0)))))))</f>
        <v/>
      </c>
      <c r="AK235">
        <f>IF(S235&lt;33,0,IF(S235&gt;=80,5,IF(S235&gt;=70,4,IF(S235&gt;=60,3.5,IF(S235&gt;=50,3,IF(S235&gt;=40,2,IF(S235&gt;=33,1,0)))))))</f>
        <v/>
      </c>
      <c r="AL235">
        <f>(AC235+AD235+AE235+AF235+AG235+AH235+AI235+AJ235)/8</f>
        <v/>
      </c>
      <c r="AM235">
        <f>IF(AK235&gt;=2,(AK235-2)/8,0)</f>
        <v/>
      </c>
    </row>
    <row r="236">
      <c r="T236">
        <f>SUM(C236:R236)</f>
        <v/>
      </c>
      <c r="U236" s="6">
        <f>ROUND(T236/11.5,2)</f>
        <v/>
      </c>
      <c r="V236" s="7">
        <f>IF(B236="","",IF(AB236,0,ROUND(AL236,2)))</f>
        <v/>
      </c>
      <c r="W236" s="7">
        <f>IF(B236="","",IF(AB236,0,MIN(5,ROUND(AL236+AM236,2))))</f>
        <v/>
      </c>
      <c r="X236" s="8">
        <f>IF(B236="","",IF(W236&gt;=5,"A+",IF(W236&gt;=4,"A",IF(W236&gt;=3.5,"A-",IF(W236&gt;=3,"B",IF(W236&gt;=2,"C",IF(W236&gt;=1,"D","F")))))))</f>
        <v/>
      </c>
      <c r="Y236">
        <f>NOT(OR(AND(J236&gt;=10,K236&gt;=23,L236&gt;=10,M236&gt;=23),AND(J236+L236&gt;=20,K236+M236&gt;=46)))</f>
        <v/>
      </c>
      <c r="Z236">
        <f>OR(N236&lt;10,O236&lt;23)</f>
        <v/>
      </c>
      <c r="AA236">
        <f>OR(P236&lt;10,Q236&lt;23)</f>
        <v/>
      </c>
      <c r="AB236">
        <f>OR((C236+D236)&lt;66,(E236+F236)&lt;66,G236&lt;33,(H236+I236)&lt;66,Y236,Z236,AA236,R236&lt;8.25)</f>
        <v/>
      </c>
      <c r="AC236">
        <f>IF(C236+D236&lt;66,0,IF((C236+D236)/2&gt;=80,5,IF((C236+D236)/2&gt;=70,4,IF((C236+D236)/2&gt;=60,3.5,IF((C236+D236)/2&gt;=50,3,IF((C236+D236)/2&gt;=40,2,IF((C236+D236)/2&gt;=33,1,0)))))))</f>
        <v/>
      </c>
      <c r="AD236">
        <f>IF(E236+F236&lt;66,0,IF((E236+F236)/2&gt;=80,5,IF((E236+F236)/2&gt;=70,4,IF((E236+F236)/2&gt;=60,3.5,IF((E236+F236)/2&gt;=50,3,IF((E236+F236)/2&gt;=40,2,IF((E236+F236)/2&gt;=33,1,0)))))))</f>
        <v/>
      </c>
      <c r="AE236">
        <f>IF(G236&lt;33,0,IF(G236&gt;=80,5,IF(G236&gt;=70,4,IF(G236&gt;=60,3.5,IF(G236&gt;=50,3,IF(G236&gt;=40,2,IF(G236&gt;=33,1,0)))))))</f>
        <v/>
      </c>
      <c r="AF236">
        <f>IF(H236+I236&lt;66,0,IF((H236+I236)/2&gt;=80,5,IF((H236+I236)/2&gt;=70,4,IF((H236+I236)/2&gt;=60,3.5,IF((H236+I236)/2&gt;=50,3,IF((H236+I236)/2&gt;=40,2,IF((H236+I236)/2&gt;=33,1,0)))))))</f>
        <v/>
      </c>
      <c r="AG236">
        <f>IF(Y236,0,IF((J236+K236+L236+M236)/2&gt;=80,5,IF((J236+K236+L236+M236)/2&gt;=70,4,IF((J236+K236+L236+M236)/2&gt;=60,3.5,IF((J236+K236+L236+M236)/2&gt;=50,3,IF((J236+K236+L236+M236)/2&gt;=40,2,IF((J236+K236+L236+M236)/2&gt;=33,1,0)))))))</f>
        <v/>
      </c>
      <c r="AH236">
        <f>IF(Z236,0,IF(N236+O236&gt;=80,5,IF(N236+O236&gt;=70,4,IF(N236+O236&gt;=60,3.5,IF(N236+O236&gt;=50,3,IF(N236+O236&gt;=40,2,IF(N236+O236&gt;=33,1,0)))))))</f>
        <v/>
      </c>
      <c r="AI236">
        <f>IF(AA236,0,IF(P236+Q236&gt;=80,5,IF(P236+Q236&gt;=70,4,IF(P236+Q236&gt;=60,3.5,IF(P236+Q236&gt;=50,3,IF(P236+Q236&gt;=40,2,IF(P236+Q236&gt;=33,1,0)))))))</f>
        <v/>
      </c>
      <c r="AJ236">
        <f>IF(R236&lt;8.25,0,IF(R236*2&gt;=80,5,IF(R236*2&gt;=70,4,IF(R236*2&gt;=60,3.5,IF(R236*2&gt;=50,3,IF(R236*2&gt;=40,2,IF(R236*2&gt;=33,1,0)))))))</f>
        <v/>
      </c>
      <c r="AK236">
        <f>IF(S236&lt;33,0,IF(S236&gt;=80,5,IF(S236&gt;=70,4,IF(S236&gt;=60,3.5,IF(S236&gt;=50,3,IF(S236&gt;=40,2,IF(S236&gt;=33,1,0)))))))</f>
        <v/>
      </c>
      <c r="AL236">
        <f>(AC236+AD236+AE236+AF236+AG236+AH236+AI236+AJ236)/8</f>
        <v/>
      </c>
      <c r="AM236">
        <f>IF(AK236&gt;=2,(AK236-2)/8,0)</f>
        <v/>
      </c>
    </row>
    <row r="237">
      <c r="T237">
        <f>SUM(C237:R237)</f>
        <v/>
      </c>
      <c r="U237" s="6">
        <f>ROUND(T237/11.5,2)</f>
        <v/>
      </c>
      <c r="V237" s="7">
        <f>IF(B237="","",IF(AB237,0,ROUND(AL237,2)))</f>
        <v/>
      </c>
      <c r="W237" s="7">
        <f>IF(B237="","",IF(AB237,0,MIN(5,ROUND(AL237+AM237,2))))</f>
        <v/>
      </c>
      <c r="X237" s="8">
        <f>IF(B237="","",IF(W237&gt;=5,"A+",IF(W237&gt;=4,"A",IF(W237&gt;=3.5,"A-",IF(W237&gt;=3,"B",IF(W237&gt;=2,"C",IF(W237&gt;=1,"D","F")))))))</f>
        <v/>
      </c>
      <c r="Y237">
        <f>NOT(OR(AND(J237&gt;=10,K237&gt;=23,L237&gt;=10,M237&gt;=23),AND(J237+L237&gt;=20,K237+M237&gt;=46)))</f>
        <v/>
      </c>
      <c r="Z237">
        <f>OR(N237&lt;10,O237&lt;23)</f>
        <v/>
      </c>
      <c r="AA237">
        <f>OR(P237&lt;10,Q237&lt;23)</f>
        <v/>
      </c>
      <c r="AB237">
        <f>OR((C237+D237)&lt;66,(E237+F237)&lt;66,G237&lt;33,(H237+I237)&lt;66,Y237,Z237,AA237,R237&lt;8.25)</f>
        <v/>
      </c>
      <c r="AC237">
        <f>IF(C237+D237&lt;66,0,IF((C237+D237)/2&gt;=80,5,IF((C237+D237)/2&gt;=70,4,IF((C237+D237)/2&gt;=60,3.5,IF((C237+D237)/2&gt;=50,3,IF((C237+D237)/2&gt;=40,2,IF((C237+D237)/2&gt;=33,1,0)))))))</f>
        <v/>
      </c>
      <c r="AD237">
        <f>IF(E237+F237&lt;66,0,IF((E237+F237)/2&gt;=80,5,IF((E237+F237)/2&gt;=70,4,IF((E237+F237)/2&gt;=60,3.5,IF((E237+F237)/2&gt;=50,3,IF((E237+F237)/2&gt;=40,2,IF((E237+F237)/2&gt;=33,1,0)))))))</f>
        <v/>
      </c>
      <c r="AE237">
        <f>IF(G237&lt;33,0,IF(G237&gt;=80,5,IF(G237&gt;=70,4,IF(G237&gt;=60,3.5,IF(G237&gt;=50,3,IF(G237&gt;=40,2,IF(G237&gt;=33,1,0)))))))</f>
        <v/>
      </c>
      <c r="AF237">
        <f>IF(H237+I237&lt;66,0,IF((H237+I237)/2&gt;=80,5,IF((H237+I237)/2&gt;=70,4,IF((H237+I237)/2&gt;=60,3.5,IF((H237+I237)/2&gt;=50,3,IF((H237+I237)/2&gt;=40,2,IF((H237+I237)/2&gt;=33,1,0)))))))</f>
        <v/>
      </c>
      <c r="AG237">
        <f>IF(Y237,0,IF((J237+K237+L237+M237)/2&gt;=80,5,IF((J237+K237+L237+M237)/2&gt;=70,4,IF((J237+K237+L237+M237)/2&gt;=60,3.5,IF((J237+K237+L237+M237)/2&gt;=50,3,IF((J237+K237+L237+M237)/2&gt;=40,2,IF((J237+K237+L237+M237)/2&gt;=33,1,0)))))))</f>
        <v/>
      </c>
      <c r="AH237">
        <f>IF(Z237,0,IF(N237+O237&gt;=80,5,IF(N237+O237&gt;=70,4,IF(N237+O237&gt;=60,3.5,IF(N237+O237&gt;=50,3,IF(N237+O237&gt;=40,2,IF(N237+O237&gt;=33,1,0)))))))</f>
        <v/>
      </c>
      <c r="AI237">
        <f>IF(AA237,0,IF(P237+Q237&gt;=80,5,IF(P237+Q237&gt;=70,4,IF(P237+Q237&gt;=60,3.5,IF(P237+Q237&gt;=50,3,IF(P237+Q237&gt;=40,2,IF(P237+Q237&gt;=33,1,0)))))))</f>
        <v/>
      </c>
      <c r="AJ237">
        <f>IF(R237&lt;8.25,0,IF(R237*2&gt;=80,5,IF(R237*2&gt;=70,4,IF(R237*2&gt;=60,3.5,IF(R237*2&gt;=50,3,IF(R237*2&gt;=40,2,IF(R237*2&gt;=33,1,0)))))))</f>
        <v/>
      </c>
      <c r="AK237">
        <f>IF(S237&lt;33,0,IF(S237&gt;=80,5,IF(S237&gt;=70,4,IF(S237&gt;=60,3.5,IF(S237&gt;=50,3,IF(S237&gt;=40,2,IF(S237&gt;=33,1,0)))))))</f>
        <v/>
      </c>
      <c r="AL237">
        <f>(AC237+AD237+AE237+AF237+AG237+AH237+AI237+AJ237)/8</f>
        <v/>
      </c>
      <c r="AM237">
        <f>IF(AK237&gt;=2,(AK237-2)/8,0)</f>
        <v/>
      </c>
    </row>
    <row r="238">
      <c r="T238">
        <f>SUM(C238:R238)</f>
        <v/>
      </c>
      <c r="U238" s="6">
        <f>ROUND(T238/11.5,2)</f>
        <v/>
      </c>
      <c r="V238" s="7">
        <f>IF(B238="","",IF(AB238,0,ROUND(AL238,2)))</f>
        <v/>
      </c>
      <c r="W238" s="7">
        <f>IF(B238="","",IF(AB238,0,MIN(5,ROUND(AL238+AM238,2))))</f>
        <v/>
      </c>
      <c r="X238" s="8">
        <f>IF(B238="","",IF(W238&gt;=5,"A+",IF(W238&gt;=4,"A",IF(W238&gt;=3.5,"A-",IF(W238&gt;=3,"B",IF(W238&gt;=2,"C",IF(W238&gt;=1,"D","F")))))))</f>
        <v/>
      </c>
      <c r="Y238">
        <f>NOT(OR(AND(J238&gt;=10,K238&gt;=23,L238&gt;=10,M238&gt;=23),AND(J238+L238&gt;=20,K238+M238&gt;=46)))</f>
        <v/>
      </c>
      <c r="Z238">
        <f>OR(N238&lt;10,O238&lt;23)</f>
        <v/>
      </c>
      <c r="AA238">
        <f>OR(P238&lt;10,Q238&lt;23)</f>
        <v/>
      </c>
      <c r="AB238">
        <f>OR((C238+D238)&lt;66,(E238+F238)&lt;66,G238&lt;33,(H238+I238)&lt;66,Y238,Z238,AA238,R238&lt;8.25)</f>
        <v/>
      </c>
      <c r="AC238">
        <f>IF(C238+D238&lt;66,0,IF((C238+D238)/2&gt;=80,5,IF((C238+D238)/2&gt;=70,4,IF((C238+D238)/2&gt;=60,3.5,IF((C238+D238)/2&gt;=50,3,IF((C238+D238)/2&gt;=40,2,IF((C238+D238)/2&gt;=33,1,0)))))))</f>
        <v/>
      </c>
      <c r="AD238">
        <f>IF(E238+F238&lt;66,0,IF((E238+F238)/2&gt;=80,5,IF((E238+F238)/2&gt;=70,4,IF((E238+F238)/2&gt;=60,3.5,IF((E238+F238)/2&gt;=50,3,IF((E238+F238)/2&gt;=40,2,IF((E238+F238)/2&gt;=33,1,0)))))))</f>
        <v/>
      </c>
      <c r="AE238">
        <f>IF(G238&lt;33,0,IF(G238&gt;=80,5,IF(G238&gt;=70,4,IF(G238&gt;=60,3.5,IF(G238&gt;=50,3,IF(G238&gt;=40,2,IF(G238&gt;=33,1,0)))))))</f>
        <v/>
      </c>
      <c r="AF238">
        <f>IF(H238+I238&lt;66,0,IF((H238+I238)/2&gt;=80,5,IF((H238+I238)/2&gt;=70,4,IF((H238+I238)/2&gt;=60,3.5,IF((H238+I238)/2&gt;=50,3,IF((H238+I238)/2&gt;=40,2,IF((H238+I238)/2&gt;=33,1,0)))))))</f>
        <v/>
      </c>
      <c r="AG238">
        <f>IF(Y238,0,IF((J238+K238+L238+M238)/2&gt;=80,5,IF((J238+K238+L238+M238)/2&gt;=70,4,IF((J238+K238+L238+M238)/2&gt;=60,3.5,IF((J238+K238+L238+M238)/2&gt;=50,3,IF((J238+K238+L238+M238)/2&gt;=40,2,IF((J238+K238+L238+M238)/2&gt;=33,1,0)))))))</f>
        <v/>
      </c>
      <c r="AH238">
        <f>IF(Z238,0,IF(N238+O238&gt;=80,5,IF(N238+O238&gt;=70,4,IF(N238+O238&gt;=60,3.5,IF(N238+O238&gt;=50,3,IF(N238+O238&gt;=40,2,IF(N238+O238&gt;=33,1,0)))))))</f>
        <v/>
      </c>
      <c r="AI238">
        <f>IF(AA238,0,IF(P238+Q238&gt;=80,5,IF(P238+Q238&gt;=70,4,IF(P238+Q238&gt;=60,3.5,IF(P238+Q238&gt;=50,3,IF(P238+Q238&gt;=40,2,IF(P238+Q238&gt;=33,1,0)))))))</f>
        <v/>
      </c>
      <c r="AJ238">
        <f>IF(R238&lt;8.25,0,IF(R238*2&gt;=80,5,IF(R238*2&gt;=70,4,IF(R238*2&gt;=60,3.5,IF(R238*2&gt;=50,3,IF(R238*2&gt;=40,2,IF(R238*2&gt;=33,1,0)))))))</f>
        <v/>
      </c>
      <c r="AK238">
        <f>IF(S238&lt;33,0,IF(S238&gt;=80,5,IF(S238&gt;=70,4,IF(S238&gt;=60,3.5,IF(S238&gt;=50,3,IF(S238&gt;=40,2,IF(S238&gt;=33,1,0)))))))</f>
        <v/>
      </c>
      <c r="AL238">
        <f>(AC238+AD238+AE238+AF238+AG238+AH238+AI238+AJ238)/8</f>
        <v/>
      </c>
      <c r="AM238">
        <f>IF(AK238&gt;=2,(AK238-2)/8,0)</f>
        <v/>
      </c>
    </row>
    <row r="239">
      <c r="T239">
        <f>SUM(C239:R239)</f>
        <v/>
      </c>
      <c r="U239" s="6">
        <f>ROUND(T239/11.5,2)</f>
        <v/>
      </c>
      <c r="V239" s="7">
        <f>IF(B239="","",IF(AB239,0,ROUND(AL239,2)))</f>
        <v/>
      </c>
      <c r="W239" s="7">
        <f>IF(B239="","",IF(AB239,0,MIN(5,ROUND(AL239+AM239,2))))</f>
        <v/>
      </c>
      <c r="X239" s="8">
        <f>IF(B239="","",IF(W239&gt;=5,"A+",IF(W239&gt;=4,"A",IF(W239&gt;=3.5,"A-",IF(W239&gt;=3,"B",IF(W239&gt;=2,"C",IF(W239&gt;=1,"D","F")))))))</f>
        <v/>
      </c>
      <c r="Y239">
        <f>NOT(OR(AND(J239&gt;=10,K239&gt;=23,L239&gt;=10,M239&gt;=23),AND(J239+L239&gt;=20,K239+M239&gt;=46)))</f>
        <v/>
      </c>
      <c r="Z239">
        <f>OR(N239&lt;10,O239&lt;23)</f>
        <v/>
      </c>
      <c r="AA239">
        <f>OR(P239&lt;10,Q239&lt;23)</f>
        <v/>
      </c>
      <c r="AB239">
        <f>OR((C239+D239)&lt;66,(E239+F239)&lt;66,G239&lt;33,(H239+I239)&lt;66,Y239,Z239,AA239,R239&lt;8.25)</f>
        <v/>
      </c>
      <c r="AC239">
        <f>IF(C239+D239&lt;66,0,IF((C239+D239)/2&gt;=80,5,IF((C239+D239)/2&gt;=70,4,IF((C239+D239)/2&gt;=60,3.5,IF((C239+D239)/2&gt;=50,3,IF((C239+D239)/2&gt;=40,2,IF((C239+D239)/2&gt;=33,1,0)))))))</f>
        <v/>
      </c>
      <c r="AD239">
        <f>IF(E239+F239&lt;66,0,IF((E239+F239)/2&gt;=80,5,IF((E239+F239)/2&gt;=70,4,IF((E239+F239)/2&gt;=60,3.5,IF((E239+F239)/2&gt;=50,3,IF((E239+F239)/2&gt;=40,2,IF((E239+F239)/2&gt;=33,1,0)))))))</f>
        <v/>
      </c>
      <c r="AE239">
        <f>IF(G239&lt;33,0,IF(G239&gt;=80,5,IF(G239&gt;=70,4,IF(G239&gt;=60,3.5,IF(G239&gt;=50,3,IF(G239&gt;=40,2,IF(G239&gt;=33,1,0)))))))</f>
        <v/>
      </c>
      <c r="AF239">
        <f>IF(H239+I239&lt;66,0,IF((H239+I239)/2&gt;=80,5,IF((H239+I239)/2&gt;=70,4,IF((H239+I239)/2&gt;=60,3.5,IF((H239+I239)/2&gt;=50,3,IF((H239+I239)/2&gt;=40,2,IF((H239+I239)/2&gt;=33,1,0)))))))</f>
        <v/>
      </c>
      <c r="AG239">
        <f>IF(Y239,0,IF((J239+K239+L239+M239)/2&gt;=80,5,IF((J239+K239+L239+M239)/2&gt;=70,4,IF((J239+K239+L239+M239)/2&gt;=60,3.5,IF((J239+K239+L239+M239)/2&gt;=50,3,IF((J239+K239+L239+M239)/2&gt;=40,2,IF((J239+K239+L239+M239)/2&gt;=33,1,0)))))))</f>
        <v/>
      </c>
      <c r="AH239">
        <f>IF(Z239,0,IF(N239+O239&gt;=80,5,IF(N239+O239&gt;=70,4,IF(N239+O239&gt;=60,3.5,IF(N239+O239&gt;=50,3,IF(N239+O239&gt;=40,2,IF(N239+O239&gt;=33,1,0)))))))</f>
        <v/>
      </c>
      <c r="AI239">
        <f>IF(AA239,0,IF(P239+Q239&gt;=80,5,IF(P239+Q239&gt;=70,4,IF(P239+Q239&gt;=60,3.5,IF(P239+Q239&gt;=50,3,IF(P239+Q239&gt;=40,2,IF(P239+Q239&gt;=33,1,0)))))))</f>
        <v/>
      </c>
      <c r="AJ239">
        <f>IF(R239&lt;8.25,0,IF(R239*2&gt;=80,5,IF(R239*2&gt;=70,4,IF(R239*2&gt;=60,3.5,IF(R239*2&gt;=50,3,IF(R239*2&gt;=40,2,IF(R239*2&gt;=33,1,0)))))))</f>
        <v/>
      </c>
      <c r="AK239">
        <f>IF(S239&lt;33,0,IF(S239&gt;=80,5,IF(S239&gt;=70,4,IF(S239&gt;=60,3.5,IF(S239&gt;=50,3,IF(S239&gt;=40,2,IF(S239&gt;=33,1,0)))))))</f>
        <v/>
      </c>
      <c r="AL239">
        <f>(AC239+AD239+AE239+AF239+AG239+AH239+AI239+AJ239)/8</f>
        <v/>
      </c>
      <c r="AM239">
        <f>IF(AK239&gt;=2,(AK239-2)/8,0)</f>
        <v/>
      </c>
    </row>
    <row r="240">
      <c r="T240">
        <f>SUM(C240:R240)</f>
        <v/>
      </c>
      <c r="U240" s="6">
        <f>ROUND(T240/11.5,2)</f>
        <v/>
      </c>
      <c r="V240" s="7">
        <f>IF(B240="","",IF(AB240,0,ROUND(AL240,2)))</f>
        <v/>
      </c>
      <c r="W240" s="7">
        <f>IF(B240="","",IF(AB240,0,MIN(5,ROUND(AL240+AM240,2))))</f>
        <v/>
      </c>
      <c r="X240" s="8">
        <f>IF(B240="","",IF(W240&gt;=5,"A+",IF(W240&gt;=4,"A",IF(W240&gt;=3.5,"A-",IF(W240&gt;=3,"B",IF(W240&gt;=2,"C",IF(W240&gt;=1,"D","F")))))))</f>
        <v/>
      </c>
      <c r="Y240">
        <f>NOT(OR(AND(J240&gt;=10,K240&gt;=23,L240&gt;=10,M240&gt;=23),AND(J240+L240&gt;=20,K240+M240&gt;=46)))</f>
        <v/>
      </c>
      <c r="Z240">
        <f>OR(N240&lt;10,O240&lt;23)</f>
        <v/>
      </c>
      <c r="AA240">
        <f>OR(P240&lt;10,Q240&lt;23)</f>
        <v/>
      </c>
      <c r="AB240">
        <f>OR((C240+D240)&lt;66,(E240+F240)&lt;66,G240&lt;33,(H240+I240)&lt;66,Y240,Z240,AA240,R240&lt;8.25)</f>
        <v/>
      </c>
      <c r="AC240">
        <f>IF(C240+D240&lt;66,0,IF((C240+D240)/2&gt;=80,5,IF((C240+D240)/2&gt;=70,4,IF((C240+D240)/2&gt;=60,3.5,IF((C240+D240)/2&gt;=50,3,IF((C240+D240)/2&gt;=40,2,IF((C240+D240)/2&gt;=33,1,0)))))))</f>
        <v/>
      </c>
      <c r="AD240">
        <f>IF(E240+F240&lt;66,0,IF((E240+F240)/2&gt;=80,5,IF((E240+F240)/2&gt;=70,4,IF((E240+F240)/2&gt;=60,3.5,IF((E240+F240)/2&gt;=50,3,IF((E240+F240)/2&gt;=40,2,IF((E240+F240)/2&gt;=33,1,0)))))))</f>
        <v/>
      </c>
      <c r="AE240">
        <f>IF(G240&lt;33,0,IF(G240&gt;=80,5,IF(G240&gt;=70,4,IF(G240&gt;=60,3.5,IF(G240&gt;=50,3,IF(G240&gt;=40,2,IF(G240&gt;=33,1,0)))))))</f>
        <v/>
      </c>
      <c r="AF240">
        <f>IF(H240+I240&lt;66,0,IF((H240+I240)/2&gt;=80,5,IF((H240+I240)/2&gt;=70,4,IF((H240+I240)/2&gt;=60,3.5,IF((H240+I240)/2&gt;=50,3,IF((H240+I240)/2&gt;=40,2,IF((H240+I240)/2&gt;=33,1,0)))))))</f>
        <v/>
      </c>
      <c r="AG240">
        <f>IF(Y240,0,IF((J240+K240+L240+M240)/2&gt;=80,5,IF((J240+K240+L240+M240)/2&gt;=70,4,IF((J240+K240+L240+M240)/2&gt;=60,3.5,IF((J240+K240+L240+M240)/2&gt;=50,3,IF((J240+K240+L240+M240)/2&gt;=40,2,IF((J240+K240+L240+M240)/2&gt;=33,1,0)))))))</f>
        <v/>
      </c>
      <c r="AH240">
        <f>IF(Z240,0,IF(N240+O240&gt;=80,5,IF(N240+O240&gt;=70,4,IF(N240+O240&gt;=60,3.5,IF(N240+O240&gt;=50,3,IF(N240+O240&gt;=40,2,IF(N240+O240&gt;=33,1,0)))))))</f>
        <v/>
      </c>
      <c r="AI240">
        <f>IF(AA240,0,IF(P240+Q240&gt;=80,5,IF(P240+Q240&gt;=70,4,IF(P240+Q240&gt;=60,3.5,IF(P240+Q240&gt;=50,3,IF(P240+Q240&gt;=40,2,IF(P240+Q240&gt;=33,1,0)))))))</f>
        <v/>
      </c>
      <c r="AJ240">
        <f>IF(R240&lt;8.25,0,IF(R240*2&gt;=80,5,IF(R240*2&gt;=70,4,IF(R240*2&gt;=60,3.5,IF(R240*2&gt;=50,3,IF(R240*2&gt;=40,2,IF(R240*2&gt;=33,1,0)))))))</f>
        <v/>
      </c>
      <c r="AK240">
        <f>IF(S240&lt;33,0,IF(S240&gt;=80,5,IF(S240&gt;=70,4,IF(S240&gt;=60,3.5,IF(S240&gt;=50,3,IF(S240&gt;=40,2,IF(S240&gt;=33,1,0)))))))</f>
        <v/>
      </c>
      <c r="AL240">
        <f>(AC240+AD240+AE240+AF240+AG240+AH240+AI240+AJ240)/8</f>
        <v/>
      </c>
      <c r="AM240">
        <f>IF(AK240&gt;=2,(AK240-2)/8,0)</f>
        <v/>
      </c>
    </row>
    <row r="241">
      <c r="T241">
        <f>SUM(C241:R241)</f>
        <v/>
      </c>
      <c r="U241" s="6">
        <f>ROUND(T241/11.5,2)</f>
        <v/>
      </c>
      <c r="V241" s="7">
        <f>IF(B241="","",IF(AB241,0,ROUND(AL241,2)))</f>
        <v/>
      </c>
      <c r="W241" s="7">
        <f>IF(B241="","",IF(AB241,0,MIN(5,ROUND(AL241+AM241,2))))</f>
        <v/>
      </c>
      <c r="X241" s="8">
        <f>IF(B241="","",IF(W241&gt;=5,"A+",IF(W241&gt;=4,"A",IF(W241&gt;=3.5,"A-",IF(W241&gt;=3,"B",IF(W241&gt;=2,"C",IF(W241&gt;=1,"D","F")))))))</f>
        <v/>
      </c>
      <c r="Y241">
        <f>NOT(OR(AND(J241&gt;=10,K241&gt;=23,L241&gt;=10,M241&gt;=23),AND(J241+L241&gt;=20,K241+M241&gt;=46)))</f>
        <v/>
      </c>
      <c r="Z241">
        <f>OR(N241&lt;10,O241&lt;23)</f>
        <v/>
      </c>
      <c r="AA241">
        <f>OR(P241&lt;10,Q241&lt;23)</f>
        <v/>
      </c>
      <c r="AB241">
        <f>OR((C241+D241)&lt;66,(E241+F241)&lt;66,G241&lt;33,(H241+I241)&lt;66,Y241,Z241,AA241,R241&lt;8.25)</f>
        <v/>
      </c>
      <c r="AC241">
        <f>IF(C241+D241&lt;66,0,IF((C241+D241)/2&gt;=80,5,IF((C241+D241)/2&gt;=70,4,IF((C241+D241)/2&gt;=60,3.5,IF((C241+D241)/2&gt;=50,3,IF((C241+D241)/2&gt;=40,2,IF((C241+D241)/2&gt;=33,1,0)))))))</f>
        <v/>
      </c>
      <c r="AD241">
        <f>IF(E241+F241&lt;66,0,IF((E241+F241)/2&gt;=80,5,IF((E241+F241)/2&gt;=70,4,IF((E241+F241)/2&gt;=60,3.5,IF((E241+F241)/2&gt;=50,3,IF((E241+F241)/2&gt;=40,2,IF((E241+F241)/2&gt;=33,1,0)))))))</f>
        <v/>
      </c>
      <c r="AE241">
        <f>IF(G241&lt;33,0,IF(G241&gt;=80,5,IF(G241&gt;=70,4,IF(G241&gt;=60,3.5,IF(G241&gt;=50,3,IF(G241&gt;=40,2,IF(G241&gt;=33,1,0)))))))</f>
        <v/>
      </c>
      <c r="AF241">
        <f>IF(H241+I241&lt;66,0,IF((H241+I241)/2&gt;=80,5,IF((H241+I241)/2&gt;=70,4,IF((H241+I241)/2&gt;=60,3.5,IF((H241+I241)/2&gt;=50,3,IF((H241+I241)/2&gt;=40,2,IF((H241+I241)/2&gt;=33,1,0)))))))</f>
        <v/>
      </c>
      <c r="AG241">
        <f>IF(Y241,0,IF((J241+K241+L241+M241)/2&gt;=80,5,IF((J241+K241+L241+M241)/2&gt;=70,4,IF((J241+K241+L241+M241)/2&gt;=60,3.5,IF((J241+K241+L241+M241)/2&gt;=50,3,IF((J241+K241+L241+M241)/2&gt;=40,2,IF((J241+K241+L241+M241)/2&gt;=33,1,0)))))))</f>
        <v/>
      </c>
      <c r="AH241">
        <f>IF(Z241,0,IF(N241+O241&gt;=80,5,IF(N241+O241&gt;=70,4,IF(N241+O241&gt;=60,3.5,IF(N241+O241&gt;=50,3,IF(N241+O241&gt;=40,2,IF(N241+O241&gt;=33,1,0)))))))</f>
        <v/>
      </c>
      <c r="AI241">
        <f>IF(AA241,0,IF(P241+Q241&gt;=80,5,IF(P241+Q241&gt;=70,4,IF(P241+Q241&gt;=60,3.5,IF(P241+Q241&gt;=50,3,IF(P241+Q241&gt;=40,2,IF(P241+Q241&gt;=33,1,0)))))))</f>
        <v/>
      </c>
      <c r="AJ241">
        <f>IF(R241&lt;8.25,0,IF(R241*2&gt;=80,5,IF(R241*2&gt;=70,4,IF(R241*2&gt;=60,3.5,IF(R241*2&gt;=50,3,IF(R241*2&gt;=40,2,IF(R241*2&gt;=33,1,0)))))))</f>
        <v/>
      </c>
      <c r="AK241">
        <f>IF(S241&lt;33,0,IF(S241&gt;=80,5,IF(S241&gt;=70,4,IF(S241&gt;=60,3.5,IF(S241&gt;=50,3,IF(S241&gt;=40,2,IF(S241&gt;=33,1,0)))))))</f>
        <v/>
      </c>
      <c r="AL241">
        <f>(AC241+AD241+AE241+AF241+AG241+AH241+AI241+AJ241)/8</f>
        <v/>
      </c>
      <c r="AM241">
        <f>IF(AK241&gt;=2,(AK241-2)/8,0)</f>
        <v/>
      </c>
    </row>
    <row r="242">
      <c r="T242">
        <f>SUM(C242:R242)</f>
        <v/>
      </c>
      <c r="U242" s="6">
        <f>ROUND(T242/11.5,2)</f>
        <v/>
      </c>
      <c r="V242" s="7">
        <f>IF(B242="","",IF(AB242,0,ROUND(AL242,2)))</f>
        <v/>
      </c>
      <c r="W242" s="7">
        <f>IF(B242="","",IF(AB242,0,MIN(5,ROUND(AL242+AM242,2))))</f>
        <v/>
      </c>
      <c r="X242" s="8">
        <f>IF(B242="","",IF(W242&gt;=5,"A+",IF(W242&gt;=4,"A",IF(W242&gt;=3.5,"A-",IF(W242&gt;=3,"B",IF(W242&gt;=2,"C",IF(W242&gt;=1,"D","F")))))))</f>
        <v/>
      </c>
      <c r="Y242">
        <f>NOT(OR(AND(J242&gt;=10,K242&gt;=23,L242&gt;=10,M242&gt;=23),AND(J242+L242&gt;=20,K242+M242&gt;=46)))</f>
        <v/>
      </c>
      <c r="Z242">
        <f>OR(N242&lt;10,O242&lt;23)</f>
        <v/>
      </c>
      <c r="AA242">
        <f>OR(P242&lt;10,Q242&lt;23)</f>
        <v/>
      </c>
      <c r="AB242">
        <f>OR((C242+D242)&lt;66,(E242+F242)&lt;66,G242&lt;33,(H242+I242)&lt;66,Y242,Z242,AA242,R242&lt;8.25)</f>
        <v/>
      </c>
      <c r="AC242">
        <f>IF(C242+D242&lt;66,0,IF((C242+D242)/2&gt;=80,5,IF((C242+D242)/2&gt;=70,4,IF((C242+D242)/2&gt;=60,3.5,IF((C242+D242)/2&gt;=50,3,IF((C242+D242)/2&gt;=40,2,IF((C242+D242)/2&gt;=33,1,0)))))))</f>
        <v/>
      </c>
      <c r="AD242">
        <f>IF(E242+F242&lt;66,0,IF((E242+F242)/2&gt;=80,5,IF((E242+F242)/2&gt;=70,4,IF((E242+F242)/2&gt;=60,3.5,IF((E242+F242)/2&gt;=50,3,IF((E242+F242)/2&gt;=40,2,IF((E242+F242)/2&gt;=33,1,0)))))))</f>
        <v/>
      </c>
      <c r="AE242">
        <f>IF(G242&lt;33,0,IF(G242&gt;=80,5,IF(G242&gt;=70,4,IF(G242&gt;=60,3.5,IF(G242&gt;=50,3,IF(G242&gt;=40,2,IF(G242&gt;=33,1,0)))))))</f>
        <v/>
      </c>
      <c r="AF242">
        <f>IF(H242+I242&lt;66,0,IF((H242+I242)/2&gt;=80,5,IF((H242+I242)/2&gt;=70,4,IF((H242+I242)/2&gt;=60,3.5,IF((H242+I242)/2&gt;=50,3,IF((H242+I242)/2&gt;=40,2,IF((H242+I242)/2&gt;=33,1,0)))))))</f>
        <v/>
      </c>
      <c r="AG242">
        <f>IF(Y242,0,IF((J242+K242+L242+M242)/2&gt;=80,5,IF((J242+K242+L242+M242)/2&gt;=70,4,IF((J242+K242+L242+M242)/2&gt;=60,3.5,IF((J242+K242+L242+M242)/2&gt;=50,3,IF((J242+K242+L242+M242)/2&gt;=40,2,IF((J242+K242+L242+M242)/2&gt;=33,1,0)))))))</f>
        <v/>
      </c>
      <c r="AH242">
        <f>IF(Z242,0,IF(N242+O242&gt;=80,5,IF(N242+O242&gt;=70,4,IF(N242+O242&gt;=60,3.5,IF(N242+O242&gt;=50,3,IF(N242+O242&gt;=40,2,IF(N242+O242&gt;=33,1,0)))))))</f>
        <v/>
      </c>
      <c r="AI242">
        <f>IF(AA242,0,IF(P242+Q242&gt;=80,5,IF(P242+Q242&gt;=70,4,IF(P242+Q242&gt;=60,3.5,IF(P242+Q242&gt;=50,3,IF(P242+Q242&gt;=40,2,IF(P242+Q242&gt;=33,1,0)))))))</f>
        <v/>
      </c>
      <c r="AJ242">
        <f>IF(R242&lt;8.25,0,IF(R242*2&gt;=80,5,IF(R242*2&gt;=70,4,IF(R242*2&gt;=60,3.5,IF(R242*2&gt;=50,3,IF(R242*2&gt;=40,2,IF(R242*2&gt;=33,1,0)))))))</f>
        <v/>
      </c>
      <c r="AK242">
        <f>IF(S242&lt;33,0,IF(S242&gt;=80,5,IF(S242&gt;=70,4,IF(S242&gt;=60,3.5,IF(S242&gt;=50,3,IF(S242&gt;=40,2,IF(S242&gt;=33,1,0)))))))</f>
        <v/>
      </c>
      <c r="AL242">
        <f>(AC242+AD242+AE242+AF242+AG242+AH242+AI242+AJ242)/8</f>
        <v/>
      </c>
      <c r="AM242">
        <f>IF(AK242&gt;=2,(AK242-2)/8,0)</f>
        <v/>
      </c>
    </row>
    <row r="243">
      <c r="T243">
        <f>SUM(C243:R243)</f>
        <v/>
      </c>
      <c r="U243" s="6">
        <f>ROUND(T243/11.5,2)</f>
        <v/>
      </c>
      <c r="V243" s="7">
        <f>IF(B243="","",IF(AB243,0,ROUND(AL243,2)))</f>
        <v/>
      </c>
      <c r="W243" s="7">
        <f>IF(B243="","",IF(AB243,0,MIN(5,ROUND(AL243+AM243,2))))</f>
        <v/>
      </c>
      <c r="X243" s="8">
        <f>IF(B243="","",IF(W243&gt;=5,"A+",IF(W243&gt;=4,"A",IF(W243&gt;=3.5,"A-",IF(W243&gt;=3,"B",IF(W243&gt;=2,"C",IF(W243&gt;=1,"D","F")))))))</f>
        <v/>
      </c>
      <c r="Y243">
        <f>NOT(OR(AND(J243&gt;=10,K243&gt;=23,L243&gt;=10,M243&gt;=23),AND(J243+L243&gt;=20,K243+M243&gt;=46)))</f>
        <v/>
      </c>
      <c r="Z243">
        <f>OR(N243&lt;10,O243&lt;23)</f>
        <v/>
      </c>
      <c r="AA243">
        <f>OR(P243&lt;10,Q243&lt;23)</f>
        <v/>
      </c>
      <c r="AB243">
        <f>OR((C243+D243)&lt;66,(E243+F243)&lt;66,G243&lt;33,(H243+I243)&lt;66,Y243,Z243,AA243,R243&lt;8.25)</f>
        <v/>
      </c>
      <c r="AC243">
        <f>IF(C243+D243&lt;66,0,IF((C243+D243)/2&gt;=80,5,IF((C243+D243)/2&gt;=70,4,IF((C243+D243)/2&gt;=60,3.5,IF((C243+D243)/2&gt;=50,3,IF((C243+D243)/2&gt;=40,2,IF((C243+D243)/2&gt;=33,1,0)))))))</f>
        <v/>
      </c>
      <c r="AD243">
        <f>IF(E243+F243&lt;66,0,IF((E243+F243)/2&gt;=80,5,IF((E243+F243)/2&gt;=70,4,IF((E243+F243)/2&gt;=60,3.5,IF((E243+F243)/2&gt;=50,3,IF((E243+F243)/2&gt;=40,2,IF((E243+F243)/2&gt;=33,1,0)))))))</f>
        <v/>
      </c>
      <c r="AE243">
        <f>IF(G243&lt;33,0,IF(G243&gt;=80,5,IF(G243&gt;=70,4,IF(G243&gt;=60,3.5,IF(G243&gt;=50,3,IF(G243&gt;=40,2,IF(G243&gt;=33,1,0)))))))</f>
        <v/>
      </c>
      <c r="AF243">
        <f>IF(H243+I243&lt;66,0,IF((H243+I243)/2&gt;=80,5,IF((H243+I243)/2&gt;=70,4,IF((H243+I243)/2&gt;=60,3.5,IF((H243+I243)/2&gt;=50,3,IF((H243+I243)/2&gt;=40,2,IF((H243+I243)/2&gt;=33,1,0)))))))</f>
        <v/>
      </c>
      <c r="AG243">
        <f>IF(Y243,0,IF((J243+K243+L243+M243)/2&gt;=80,5,IF((J243+K243+L243+M243)/2&gt;=70,4,IF((J243+K243+L243+M243)/2&gt;=60,3.5,IF((J243+K243+L243+M243)/2&gt;=50,3,IF((J243+K243+L243+M243)/2&gt;=40,2,IF((J243+K243+L243+M243)/2&gt;=33,1,0)))))))</f>
        <v/>
      </c>
      <c r="AH243">
        <f>IF(Z243,0,IF(N243+O243&gt;=80,5,IF(N243+O243&gt;=70,4,IF(N243+O243&gt;=60,3.5,IF(N243+O243&gt;=50,3,IF(N243+O243&gt;=40,2,IF(N243+O243&gt;=33,1,0)))))))</f>
        <v/>
      </c>
      <c r="AI243">
        <f>IF(AA243,0,IF(P243+Q243&gt;=80,5,IF(P243+Q243&gt;=70,4,IF(P243+Q243&gt;=60,3.5,IF(P243+Q243&gt;=50,3,IF(P243+Q243&gt;=40,2,IF(P243+Q243&gt;=33,1,0)))))))</f>
        <v/>
      </c>
      <c r="AJ243">
        <f>IF(R243&lt;8.25,0,IF(R243*2&gt;=80,5,IF(R243*2&gt;=70,4,IF(R243*2&gt;=60,3.5,IF(R243*2&gt;=50,3,IF(R243*2&gt;=40,2,IF(R243*2&gt;=33,1,0)))))))</f>
        <v/>
      </c>
      <c r="AK243">
        <f>IF(S243&lt;33,0,IF(S243&gt;=80,5,IF(S243&gt;=70,4,IF(S243&gt;=60,3.5,IF(S243&gt;=50,3,IF(S243&gt;=40,2,IF(S243&gt;=33,1,0)))))))</f>
        <v/>
      </c>
      <c r="AL243">
        <f>(AC243+AD243+AE243+AF243+AG243+AH243+AI243+AJ243)/8</f>
        <v/>
      </c>
      <c r="AM243">
        <f>IF(AK243&gt;=2,(AK243-2)/8,0)</f>
        <v/>
      </c>
    </row>
    <row r="244">
      <c r="T244">
        <f>SUM(C244:R244)</f>
        <v/>
      </c>
      <c r="U244" s="6">
        <f>ROUND(T244/11.5,2)</f>
        <v/>
      </c>
      <c r="V244" s="7">
        <f>IF(B244="","",IF(AB244,0,ROUND(AL244,2)))</f>
        <v/>
      </c>
      <c r="W244" s="7">
        <f>IF(B244="","",IF(AB244,0,MIN(5,ROUND(AL244+AM244,2))))</f>
        <v/>
      </c>
      <c r="X244" s="8">
        <f>IF(B244="","",IF(W244&gt;=5,"A+",IF(W244&gt;=4,"A",IF(W244&gt;=3.5,"A-",IF(W244&gt;=3,"B",IF(W244&gt;=2,"C",IF(W244&gt;=1,"D","F")))))))</f>
        <v/>
      </c>
      <c r="Y244">
        <f>NOT(OR(AND(J244&gt;=10,K244&gt;=23,L244&gt;=10,M244&gt;=23),AND(J244+L244&gt;=20,K244+M244&gt;=46)))</f>
        <v/>
      </c>
      <c r="Z244">
        <f>OR(N244&lt;10,O244&lt;23)</f>
        <v/>
      </c>
      <c r="AA244">
        <f>OR(P244&lt;10,Q244&lt;23)</f>
        <v/>
      </c>
      <c r="AB244">
        <f>OR((C244+D244)&lt;66,(E244+F244)&lt;66,G244&lt;33,(H244+I244)&lt;66,Y244,Z244,AA244,R244&lt;8.25)</f>
        <v/>
      </c>
      <c r="AC244">
        <f>IF(C244+D244&lt;66,0,IF((C244+D244)/2&gt;=80,5,IF((C244+D244)/2&gt;=70,4,IF((C244+D244)/2&gt;=60,3.5,IF((C244+D244)/2&gt;=50,3,IF((C244+D244)/2&gt;=40,2,IF((C244+D244)/2&gt;=33,1,0)))))))</f>
        <v/>
      </c>
      <c r="AD244">
        <f>IF(E244+F244&lt;66,0,IF((E244+F244)/2&gt;=80,5,IF((E244+F244)/2&gt;=70,4,IF((E244+F244)/2&gt;=60,3.5,IF((E244+F244)/2&gt;=50,3,IF((E244+F244)/2&gt;=40,2,IF((E244+F244)/2&gt;=33,1,0)))))))</f>
        <v/>
      </c>
      <c r="AE244">
        <f>IF(G244&lt;33,0,IF(G244&gt;=80,5,IF(G244&gt;=70,4,IF(G244&gt;=60,3.5,IF(G244&gt;=50,3,IF(G244&gt;=40,2,IF(G244&gt;=33,1,0)))))))</f>
        <v/>
      </c>
      <c r="AF244">
        <f>IF(H244+I244&lt;66,0,IF((H244+I244)/2&gt;=80,5,IF((H244+I244)/2&gt;=70,4,IF((H244+I244)/2&gt;=60,3.5,IF((H244+I244)/2&gt;=50,3,IF((H244+I244)/2&gt;=40,2,IF((H244+I244)/2&gt;=33,1,0)))))))</f>
        <v/>
      </c>
      <c r="AG244">
        <f>IF(Y244,0,IF((J244+K244+L244+M244)/2&gt;=80,5,IF((J244+K244+L244+M244)/2&gt;=70,4,IF((J244+K244+L244+M244)/2&gt;=60,3.5,IF((J244+K244+L244+M244)/2&gt;=50,3,IF((J244+K244+L244+M244)/2&gt;=40,2,IF((J244+K244+L244+M244)/2&gt;=33,1,0)))))))</f>
        <v/>
      </c>
      <c r="AH244">
        <f>IF(Z244,0,IF(N244+O244&gt;=80,5,IF(N244+O244&gt;=70,4,IF(N244+O244&gt;=60,3.5,IF(N244+O244&gt;=50,3,IF(N244+O244&gt;=40,2,IF(N244+O244&gt;=33,1,0)))))))</f>
        <v/>
      </c>
      <c r="AI244">
        <f>IF(AA244,0,IF(P244+Q244&gt;=80,5,IF(P244+Q244&gt;=70,4,IF(P244+Q244&gt;=60,3.5,IF(P244+Q244&gt;=50,3,IF(P244+Q244&gt;=40,2,IF(P244+Q244&gt;=33,1,0)))))))</f>
        <v/>
      </c>
      <c r="AJ244">
        <f>IF(R244&lt;8.25,0,IF(R244*2&gt;=80,5,IF(R244*2&gt;=70,4,IF(R244*2&gt;=60,3.5,IF(R244*2&gt;=50,3,IF(R244*2&gt;=40,2,IF(R244*2&gt;=33,1,0)))))))</f>
        <v/>
      </c>
      <c r="AK244">
        <f>IF(S244&lt;33,0,IF(S244&gt;=80,5,IF(S244&gt;=70,4,IF(S244&gt;=60,3.5,IF(S244&gt;=50,3,IF(S244&gt;=40,2,IF(S244&gt;=33,1,0)))))))</f>
        <v/>
      </c>
      <c r="AL244">
        <f>(AC244+AD244+AE244+AF244+AG244+AH244+AI244+AJ244)/8</f>
        <v/>
      </c>
      <c r="AM244">
        <f>IF(AK244&gt;=2,(AK244-2)/8,0)</f>
        <v/>
      </c>
    </row>
    <row r="245">
      <c r="T245">
        <f>SUM(C245:R245)</f>
        <v/>
      </c>
      <c r="U245" s="6">
        <f>ROUND(T245/11.5,2)</f>
        <v/>
      </c>
      <c r="V245" s="7">
        <f>IF(B245="","",IF(AB245,0,ROUND(AL245,2)))</f>
        <v/>
      </c>
      <c r="W245" s="7">
        <f>IF(B245="","",IF(AB245,0,MIN(5,ROUND(AL245+AM245,2))))</f>
        <v/>
      </c>
      <c r="X245" s="8">
        <f>IF(B245="","",IF(W245&gt;=5,"A+",IF(W245&gt;=4,"A",IF(W245&gt;=3.5,"A-",IF(W245&gt;=3,"B",IF(W245&gt;=2,"C",IF(W245&gt;=1,"D","F")))))))</f>
        <v/>
      </c>
      <c r="Y245">
        <f>NOT(OR(AND(J245&gt;=10,K245&gt;=23,L245&gt;=10,M245&gt;=23),AND(J245+L245&gt;=20,K245+M245&gt;=46)))</f>
        <v/>
      </c>
      <c r="Z245">
        <f>OR(N245&lt;10,O245&lt;23)</f>
        <v/>
      </c>
      <c r="AA245">
        <f>OR(P245&lt;10,Q245&lt;23)</f>
        <v/>
      </c>
      <c r="AB245">
        <f>OR((C245+D245)&lt;66,(E245+F245)&lt;66,G245&lt;33,(H245+I245)&lt;66,Y245,Z245,AA245,R245&lt;8.25)</f>
        <v/>
      </c>
      <c r="AC245">
        <f>IF(C245+D245&lt;66,0,IF((C245+D245)/2&gt;=80,5,IF((C245+D245)/2&gt;=70,4,IF((C245+D245)/2&gt;=60,3.5,IF((C245+D245)/2&gt;=50,3,IF((C245+D245)/2&gt;=40,2,IF((C245+D245)/2&gt;=33,1,0)))))))</f>
        <v/>
      </c>
      <c r="AD245">
        <f>IF(E245+F245&lt;66,0,IF((E245+F245)/2&gt;=80,5,IF((E245+F245)/2&gt;=70,4,IF((E245+F245)/2&gt;=60,3.5,IF((E245+F245)/2&gt;=50,3,IF((E245+F245)/2&gt;=40,2,IF((E245+F245)/2&gt;=33,1,0)))))))</f>
        <v/>
      </c>
      <c r="AE245">
        <f>IF(G245&lt;33,0,IF(G245&gt;=80,5,IF(G245&gt;=70,4,IF(G245&gt;=60,3.5,IF(G245&gt;=50,3,IF(G245&gt;=40,2,IF(G245&gt;=33,1,0)))))))</f>
        <v/>
      </c>
      <c r="AF245">
        <f>IF(H245+I245&lt;66,0,IF((H245+I245)/2&gt;=80,5,IF((H245+I245)/2&gt;=70,4,IF((H245+I245)/2&gt;=60,3.5,IF((H245+I245)/2&gt;=50,3,IF((H245+I245)/2&gt;=40,2,IF((H245+I245)/2&gt;=33,1,0)))))))</f>
        <v/>
      </c>
      <c r="AG245">
        <f>IF(Y245,0,IF((J245+K245+L245+M245)/2&gt;=80,5,IF((J245+K245+L245+M245)/2&gt;=70,4,IF((J245+K245+L245+M245)/2&gt;=60,3.5,IF((J245+K245+L245+M245)/2&gt;=50,3,IF((J245+K245+L245+M245)/2&gt;=40,2,IF((J245+K245+L245+M245)/2&gt;=33,1,0)))))))</f>
        <v/>
      </c>
      <c r="AH245">
        <f>IF(Z245,0,IF(N245+O245&gt;=80,5,IF(N245+O245&gt;=70,4,IF(N245+O245&gt;=60,3.5,IF(N245+O245&gt;=50,3,IF(N245+O245&gt;=40,2,IF(N245+O245&gt;=33,1,0)))))))</f>
        <v/>
      </c>
      <c r="AI245">
        <f>IF(AA245,0,IF(P245+Q245&gt;=80,5,IF(P245+Q245&gt;=70,4,IF(P245+Q245&gt;=60,3.5,IF(P245+Q245&gt;=50,3,IF(P245+Q245&gt;=40,2,IF(P245+Q245&gt;=33,1,0)))))))</f>
        <v/>
      </c>
      <c r="AJ245">
        <f>IF(R245&lt;8.25,0,IF(R245*2&gt;=80,5,IF(R245*2&gt;=70,4,IF(R245*2&gt;=60,3.5,IF(R245*2&gt;=50,3,IF(R245*2&gt;=40,2,IF(R245*2&gt;=33,1,0)))))))</f>
        <v/>
      </c>
      <c r="AK245">
        <f>IF(S245&lt;33,0,IF(S245&gt;=80,5,IF(S245&gt;=70,4,IF(S245&gt;=60,3.5,IF(S245&gt;=50,3,IF(S245&gt;=40,2,IF(S245&gt;=33,1,0)))))))</f>
        <v/>
      </c>
      <c r="AL245">
        <f>(AC245+AD245+AE245+AF245+AG245+AH245+AI245+AJ245)/8</f>
        <v/>
      </c>
      <c r="AM245">
        <f>IF(AK245&gt;=2,(AK245-2)/8,0)</f>
        <v/>
      </c>
    </row>
    <row r="246">
      <c r="T246">
        <f>SUM(C246:R246)</f>
        <v/>
      </c>
      <c r="U246" s="6">
        <f>ROUND(T246/11.5,2)</f>
        <v/>
      </c>
      <c r="V246" s="7">
        <f>IF(B246="","",IF(AB246,0,ROUND(AL246,2)))</f>
        <v/>
      </c>
      <c r="W246" s="7">
        <f>IF(B246="","",IF(AB246,0,MIN(5,ROUND(AL246+AM246,2))))</f>
        <v/>
      </c>
      <c r="X246" s="8">
        <f>IF(B246="","",IF(W246&gt;=5,"A+",IF(W246&gt;=4,"A",IF(W246&gt;=3.5,"A-",IF(W246&gt;=3,"B",IF(W246&gt;=2,"C",IF(W246&gt;=1,"D","F")))))))</f>
        <v/>
      </c>
      <c r="Y246">
        <f>NOT(OR(AND(J246&gt;=10,K246&gt;=23,L246&gt;=10,M246&gt;=23),AND(J246+L246&gt;=20,K246+M246&gt;=46)))</f>
        <v/>
      </c>
      <c r="Z246">
        <f>OR(N246&lt;10,O246&lt;23)</f>
        <v/>
      </c>
      <c r="AA246">
        <f>OR(P246&lt;10,Q246&lt;23)</f>
        <v/>
      </c>
      <c r="AB246">
        <f>OR((C246+D246)&lt;66,(E246+F246)&lt;66,G246&lt;33,(H246+I246)&lt;66,Y246,Z246,AA246,R246&lt;8.25)</f>
        <v/>
      </c>
      <c r="AC246">
        <f>IF(C246+D246&lt;66,0,IF((C246+D246)/2&gt;=80,5,IF((C246+D246)/2&gt;=70,4,IF((C246+D246)/2&gt;=60,3.5,IF((C246+D246)/2&gt;=50,3,IF((C246+D246)/2&gt;=40,2,IF((C246+D246)/2&gt;=33,1,0)))))))</f>
        <v/>
      </c>
      <c r="AD246">
        <f>IF(E246+F246&lt;66,0,IF((E246+F246)/2&gt;=80,5,IF((E246+F246)/2&gt;=70,4,IF((E246+F246)/2&gt;=60,3.5,IF((E246+F246)/2&gt;=50,3,IF((E246+F246)/2&gt;=40,2,IF((E246+F246)/2&gt;=33,1,0)))))))</f>
        <v/>
      </c>
      <c r="AE246">
        <f>IF(G246&lt;33,0,IF(G246&gt;=80,5,IF(G246&gt;=70,4,IF(G246&gt;=60,3.5,IF(G246&gt;=50,3,IF(G246&gt;=40,2,IF(G246&gt;=33,1,0)))))))</f>
        <v/>
      </c>
      <c r="AF246">
        <f>IF(H246+I246&lt;66,0,IF((H246+I246)/2&gt;=80,5,IF((H246+I246)/2&gt;=70,4,IF((H246+I246)/2&gt;=60,3.5,IF((H246+I246)/2&gt;=50,3,IF((H246+I246)/2&gt;=40,2,IF((H246+I246)/2&gt;=33,1,0)))))))</f>
        <v/>
      </c>
      <c r="AG246">
        <f>IF(Y246,0,IF((J246+K246+L246+M246)/2&gt;=80,5,IF((J246+K246+L246+M246)/2&gt;=70,4,IF((J246+K246+L246+M246)/2&gt;=60,3.5,IF((J246+K246+L246+M246)/2&gt;=50,3,IF((J246+K246+L246+M246)/2&gt;=40,2,IF((J246+K246+L246+M246)/2&gt;=33,1,0)))))))</f>
        <v/>
      </c>
      <c r="AH246">
        <f>IF(Z246,0,IF(N246+O246&gt;=80,5,IF(N246+O246&gt;=70,4,IF(N246+O246&gt;=60,3.5,IF(N246+O246&gt;=50,3,IF(N246+O246&gt;=40,2,IF(N246+O246&gt;=33,1,0)))))))</f>
        <v/>
      </c>
      <c r="AI246">
        <f>IF(AA246,0,IF(P246+Q246&gt;=80,5,IF(P246+Q246&gt;=70,4,IF(P246+Q246&gt;=60,3.5,IF(P246+Q246&gt;=50,3,IF(P246+Q246&gt;=40,2,IF(P246+Q246&gt;=33,1,0)))))))</f>
        <v/>
      </c>
      <c r="AJ246">
        <f>IF(R246&lt;8.25,0,IF(R246*2&gt;=80,5,IF(R246*2&gt;=70,4,IF(R246*2&gt;=60,3.5,IF(R246*2&gt;=50,3,IF(R246*2&gt;=40,2,IF(R246*2&gt;=33,1,0)))))))</f>
        <v/>
      </c>
      <c r="AK246">
        <f>IF(S246&lt;33,0,IF(S246&gt;=80,5,IF(S246&gt;=70,4,IF(S246&gt;=60,3.5,IF(S246&gt;=50,3,IF(S246&gt;=40,2,IF(S246&gt;=33,1,0)))))))</f>
        <v/>
      </c>
      <c r="AL246">
        <f>(AC246+AD246+AE246+AF246+AG246+AH246+AI246+AJ246)/8</f>
        <v/>
      </c>
      <c r="AM246">
        <f>IF(AK246&gt;=2,(AK246-2)/8,0)</f>
        <v/>
      </c>
    </row>
    <row r="247">
      <c r="T247">
        <f>SUM(C247:R247)</f>
        <v/>
      </c>
      <c r="U247" s="6">
        <f>ROUND(T247/11.5,2)</f>
        <v/>
      </c>
      <c r="V247" s="7">
        <f>IF(B247="","",IF(AB247,0,ROUND(AL247,2)))</f>
        <v/>
      </c>
      <c r="W247" s="7">
        <f>IF(B247="","",IF(AB247,0,MIN(5,ROUND(AL247+AM247,2))))</f>
        <v/>
      </c>
      <c r="X247" s="8">
        <f>IF(B247="","",IF(W247&gt;=5,"A+",IF(W247&gt;=4,"A",IF(W247&gt;=3.5,"A-",IF(W247&gt;=3,"B",IF(W247&gt;=2,"C",IF(W247&gt;=1,"D","F")))))))</f>
        <v/>
      </c>
      <c r="Y247">
        <f>NOT(OR(AND(J247&gt;=10,K247&gt;=23,L247&gt;=10,M247&gt;=23),AND(J247+L247&gt;=20,K247+M247&gt;=46)))</f>
        <v/>
      </c>
      <c r="Z247">
        <f>OR(N247&lt;10,O247&lt;23)</f>
        <v/>
      </c>
      <c r="AA247">
        <f>OR(P247&lt;10,Q247&lt;23)</f>
        <v/>
      </c>
      <c r="AB247">
        <f>OR((C247+D247)&lt;66,(E247+F247)&lt;66,G247&lt;33,(H247+I247)&lt;66,Y247,Z247,AA247,R247&lt;8.25)</f>
        <v/>
      </c>
      <c r="AC247">
        <f>IF(C247+D247&lt;66,0,IF((C247+D247)/2&gt;=80,5,IF((C247+D247)/2&gt;=70,4,IF((C247+D247)/2&gt;=60,3.5,IF((C247+D247)/2&gt;=50,3,IF((C247+D247)/2&gt;=40,2,IF((C247+D247)/2&gt;=33,1,0)))))))</f>
        <v/>
      </c>
      <c r="AD247">
        <f>IF(E247+F247&lt;66,0,IF((E247+F247)/2&gt;=80,5,IF((E247+F247)/2&gt;=70,4,IF((E247+F247)/2&gt;=60,3.5,IF((E247+F247)/2&gt;=50,3,IF((E247+F247)/2&gt;=40,2,IF((E247+F247)/2&gt;=33,1,0)))))))</f>
        <v/>
      </c>
      <c r="AE247">
        <f>IF(G247&lt;33,0,IF(G247&gt;=80,5,IF(G247&gt;=70,4,IF(G247&gt;=60,3.5,IF(G247&gt;=50,3,IF(G247&gt;=40,2,IF(G247&gt;=33,1,0)))))))</f>
        <v/>
      </c>
      <c r="AF247">
        <f>IF(H247+I247&lt;66,0,IF((H247+I247)/2&gt;=80,5,IF((H247+I247)/2&gt;=70,4,IF((H247+I247)/2&gt;=60,3.5,IF((H247+I247)/2&gt;=50,3,IF((H247+I247)/2&gt;=40,2,IF((H247+I247)/2&gt;=33,1,0)))))))</f>
        <v/>
      </c>
      <c r="AG247">
        <f>IF(Y247,0,IF((J247+K247+L247+M247)/2&gt;=80,5,IF((J247+K247+L247+M247)/2&gt;=70,4,IF((J247+K247+L247+M247)/2&gt;=60,3.5,IF((J247+K247+L247+M247)/2&gt;=50,3,IF((J247+K247+L247+M247)/2&gt;=40,2,IF((J247+K247+L247+M247)/2&gt;=33,1,0)))))))</f>
        <v/>
      </c>
      <c r="AH247">
        <f>IF(Z247,0,IF(N247+O247&gt;=80,5,IF(N247+O247&gt;=70,4,IF(N247+O247&gt;=60,3.5,IF(N247+O247&gt;=50,3,IF(N247+O247&gt;=40,2,IF(N247+O247&gt;=33,1,0)))))))</f>
        <v/>
      </c>
      <c r="AI247">
        <f>IF(AA247,0,IF(P247+Q247&gt;=80,5,IF(P247+Q247&gt;=70,4,IF(P247+Q247&gt;=60,3.5,IF(P247+Q247&gt;=50,3,IF(P247+Q247&gt;=40,2,IF(P247+Q247&gt;=33,1,0)))))))</f>
        <v/>
      </c>
      <c r="AJ247">
        <f>IF(R247&lt;8.25,0,IF(R247*2&gt;=80,5,IF(R247*2&gt;=70,4,IF(R247*2&gt;=60,3.5,IF(R247*2&gt;=50,3,IF(R247*2&gt;=40,2,IF(R247*2&gt;=33,1,0)))))))</f>
        <v/>
      </c>
      <c r="AK247">
        <f>IF(S247&lt;33,0,IF(S247&gt;=80,5,IF(S247&gt;=70,4,IF(S247&gt;=60,3.5,IF(S247&gt;=50,3,IF(S247&gt;=40,2,IF(S247&gt;=33,1,0)))))))</f>
        <v/>
      </c>
      <c r="AL247">
        <f>(AC247+AD247+AE247+AF247+AG247+AH247+AI247+AJ247)/8</f>
        <v/>
      </c>
      <c r="AM247">
        <f>IF(AK247&gt;=2,(AK247-2)/8,0)</f>
        <v/>
      </c>
    </row>
    <row r="248">
      <c r="T248">
        <f>SUM(C248:R248)</f>
        <v/>
      </c>
      <c r="U248" s="6">
        <f>ROUND(T248/11.5,2)</f>
        <v/>
      </c>
      <c r="V248" s="7">
        <f>IF(B248="","",IF(AB248,0,ROUND(AL248,2)))</f>
        <v/>
      </c>
      <c r="W248" s="7">
        <f>IF(B248="","",IF(AB248,0,MIN(5,ROUND(AL248+AM248,2))))</f>
        <v/>
      </c>
      <c r="X248" s="8">
        <f>IF(B248="","",IF(W248&gt;=5,"A+",IF(W248&gt;=4,"A",IF(W248&gt;=3.5,"A-",IF(W248&gt;=3,"B",IF(W248&gt;=2,"C",IF(W248&gt;=1,"D","F")))))))</f>
        <v/>
      </c>
      <c r="Y248">
        <f>NOT(OR(AND(J248&gt;=10,K248&gt;=23,L248&gt;=10,M248&gt;=23),AND(J248+L248&gt;=20,K248+M248&gt;=46)))</f>
        <v/>
      </c>
      <c r="Z248">
        <f>OR(N248&lt;10,O248&lt;23)</f>
        <v/>
      </c>
      <c r="AA248">
        <f>OR(P248&lt;10,Q248&lt;23)</f>
        <v/>
      </c>
      <c r="AB248">
        <f>OR((C248+D248)&lt;66,(E248+F248)&lt;66,G248&lt;33,(H248+I248)&lt;66,Y248,Z248,AA248,R248&lt;8.25)</f>
        <v/>
      </c>
      <c r="AC248">
        <f>IF(C248+D248&lt;66,0,IF((C248+D248)/2&gt;=80,5,IF((C248+D248)/2&gt;=70,4,IF((C248+D248)/2&gt;=60,3.5,IF((C248+D248)/2&gt;=50,3,IF((C248+D248)/2&gt;=40,2,IF((C248+D248)/2&gt;=33,1,0)))))))</f>
        <v/>
      </c>
      <c r="AD248">
        <f>IF(E248+F248&lt;66,0,IF((E248+F248)/2&gt;=80,5,IF((E248+F248)/2&gt;=70,4,IF((E248+F248)/2&gt;=60,3.5,IF((E248+F248)/2&gt;=50,3,IF((E248+F248)/2&gt;=40,2,IF((E248+F248)/2&gt;=33,1,0)))))))</f>
        <v/>
      </c>
      <c r="AE248">
        <f>IF(G248&lt;33,0,IF(G248&gt;=80,5,IF(G248&gt;=70,4,IF(G248&gt;=60,3.5,IF(G248&gt;=50,3,IF(G248&gt;=40,2,IF(G248&gt;=33,1,0)))))))</f>
        <v/>
      </c>
      <c r="AF248">
        <f>IF(H248+I248&lt;66,0,IF((H248+I248)/2&gt;=80,5,IF((H248+I248)/2&gt;=70,4,IF((H248+I248)/2&gt;=60,3.5,IF((H248+I248)/2&gt;=50,3,IF((H248+I248)/2&gt;=40,2,IF((H248+I248)/2&gt;=33,1,0)))))))</f>
        <v/>
      </c>
      <c r="AG248">
        <f>IF(Y248,0,IF((J248+K248+L248+M248)/2&gt;=80,5,IF((J248+K248+L248+M248)/2&gt;=70,4,IF((J248+K248+L248+M248)/2&gt;=60,3.5,IF((J248+K248+L248+M248)/2&gt;=50,3,IF((J248+K248+L248+M248)/2&gt;=40,2,IF((J248+K248+L248+M248)/2&gt;=33,1,0)))))))</f>
        <v/>
      </c>
      <c r="AH248">
        <f>IF(Z248,0,IF(N248+O248&gt;=80,5,IF(N248+O248&gt;=70,4,IF(N248+O248&gt;=60,3.5,IF(N248+O248&gt;=50,3,IF(N248+O248&gt;=40,2,IF(N248+O248&gt;=33,1,0)))))))</f>
        <v/>
      </c>
      <c r="AI248">
        <f>IF(AA248,0,IF(P248+Q248&gt;=80,5,IF(P248+Q248&gt;=70,4,IF(P248+Q248&gt;=60,3.5,IF(P248+Q248&gt;=50,3,IF(P248+Q248&gt;=40,2,IF(P248+Q248&gt;=33,1,0)))))))</f>
        <v/>
      </c>
      <c r="AJ248">
        <f>IF(R248&lt;8.25,0,IF(R248*2&gt;=80,5,IF(R248*2&gt;=70,4,IF(R248*2&gt;=60,3.5,IF(R248*2&gt;=50,3,IF(R248*2&gt;=40,2,IF(R248*2&gt;=33,1,0)))))))</f>
        <v/>
      </c>
      <c r="AK248">
        <f>IF(S248&lt;33,0,IF(S248&gt;=80,5,IF(S248&gt;=70,4,IF(S248&gt;=60,3.5,IF(S248&gt;=50,3,IF(S248&gt;=40,2,IF(S248&gt;=33,1,0)))))))</f>
        <v/>
      </c>
      <c r="AL248">
        <f>(AC248+AD248+AE248+AF248+AG248+AH248+AI248+AJ248)/8</f>
        <v/>
      </c>
      <c r="AM248">
        <f>IF(AK248&gt;=2,(AK248-2)/8,0)</f>
        <v/>
      </c>
    </row>
    <row r="249">
      <c r="T249">
        <f>SUM(C249:R249)</f>
        <v/>
      </c>
      <c r="U249" s="6">
        <f>ROUND(T249/11.5,2)</f>
        <v/>
      </c>
      <c r="V249" s="7">
        <f>IF(B249="","",IF(AB249,0,ROUND(AL249,2)))</f>
        <v/>
      </c>
      <c r="W249" s="7">
        <f>IF(B249="","",IF(AB249,0,MIN(5,ROUND(AL249+AM249,2))))</f>
        <v/>
      </c>
      <c r="X249" s="8">
        <f>IF(B249="","",IF(W249&gt;=5,"A+",IF(W249&gt;=4,"A",IF(W249&gt;=3.5,"A-",IF(W249&gt;=3,"B",IF(W249&gt;=2,"C",IF(W249&gt;=1,"D","F")))))))</f>
        <v/>
      </c>
      <c r="Y249">
        <f>NOT(OR(AND(J249&gt;=10,K249&gt;=23,L249&gt;=10,M249&gt;=23),AND(J249+L249&gt;=20,K249+M249&gt;=46)))</f>
        <v/>
      </c>
      <c r="Z249">
        <f>OR(N249&lt;10,O249&lt;23)</f>
        <v/>
      </c>
      <c r="AA249">
        <f>OR(P249&lt;10,Q249&lt;23)</f>
        <v/>
      </c>
      <c r="AB249">
        <f>OR((C249+D249)&lt;66,(E249+F249)&lt;66,G249&lt;33,(H249+I249)&lt;66,Y249,Z249,AA249,R249&lt;8.25)</f>
        <v/>
      </c>
      <c r="AC249">
        <f>IF(C249+D249&lt;66,0,IF((C249+D249)/2&gt;=80,5,IF((C249+D249)/2&gt;=70,4,IF((C249+D249)/2&gt;=60,3.5,IF((C249+D249)/2&gt;=50,3,IF((C249+D249)/2&gt;=40,2,IF((C249+D249)/2&gt;=33,1,0)))))))</f>
        <v/>
      </c>
      <c r="AD249">
        <f>IF(E249+F249&lt;66,0,IF((E249+F249)/2&gt;=80,5,IF((E249+F249)/2&gt;=70,4,IF((E249+F249)/2&gt;=60,3.5,IF((E249+F249)/2&gt;=50,3,IF((E249+F249)/2&gt;=40,2,IF((E249+F249)/2&gt;=33,1,0)))))))</f>
        <v/>
      </c>
      <c r="AE249">
        <f>IF(G249&lt;33,0,IF(G249&gt;=80,5,IF(G249&gt;=70,4,IF(G249&gt;=60,3.5,IF(G249&gt;=50,3,IF(G249&gt;=40,2,IF(G249&gt;=33,1,0)))))))</f>
        <v/>
      </c>
      <c r="AF249">
        <f>IF(H249+I249&lt;66,0,IF((H249+I249)/2&gt;=80,5,IF((H249+I249)/2&gt;=70,4,IF((H249+I249)/2&gt;=60,3.5,IF((H249+I249)/2&gt;=50,3,IF((H249+I249)/2&gt;=40,2,IF((H249+I249)/2&gt;=33,1,0)))))))</f>
        <v/>
      </c>
      <c r="AG249">
        <f>IF(Y249,0,IF((J249+K249+L249+M249)/2&gt;=80,5,IF((J249+K249+L249+M249)/2&gt;=70,4,IF((J249+K249+L249+M249)/2&gt;=60,3.5,IF((J249+K249+L249+M249)/2&gt;=50,3,IF((J249+K249+L249+M249)/2&gt;=40,2,IF((J249+K249+L249+M249)/2&gt;=33,1,0)))))))</f>
        <v/>
      </c>
      <c r="AH249">
        <f>IF(Z249,0,IF(N249+O249&gt;=80,5,IF(N249+O249&gt;=70,4,IF(N249+O249&gt;=60,3.5,IF(N249+O249&gt;=50,3,IF(N249+O249&gt;=40,2,IF(N249+O249&gt;=33,1,0)))))))</f>
        <v/>
      </c>
      <c r="AI249">
        <f>IF(AA249,0,IF(P249+Q249&gt;=80,5,IF(P249+Q249&gt;=70,4,IF(P249+Q249&gt;=60,3.5,IF(P249+Q249&gt;=50,3,IF(P249+Q249&gt;=40,2,IF(P249+Q249&gt;=33,1,0)))))))</f>
        <v/>
      </c>
      <c r="AJ249">
        <f>IF(R249&lt;8.25,0,IF(R249*2&gt;=80,5,IF(R249*2&gt;=70,4,IF(R249*2&gt;=60,3.5,IF(R249*2&gt;=50,3,IF(R249*2&gt;=40,2,IF(R249*2&gt;=33,1,0)))))))</f>
        <v/>
      </c>
      <c r="AK249">
        <f>IF(S249&lt;33,0,IF(S249&gt;=80,5,IF(S249&gt;=70,4,IF(S249&gt;=60,3.5,IF(S249&gt;=50,3,IF(S249&gt;=40,2,IF(S249&gt;=33,1,0)))))))</f>
        <v/>
      </c>
      <c r="AL249">
        <f>(AC249+AD249+AE249+AF249+AG249+AH249+AI249+AJ249)/8</f>
        <v/>
      </c>
      <c r="AM249">
        <f>IF(AK249&gt;=2,(AK249-2)/8,0)</f>
        <v/>
      </c>
    </row>
    <row r="250">
      <c r="T250">
        <f>SUM(C250:R250)</f>
        <v/>
      </c>
      <c r="U250" s="6">
        <f>ROUND(T250/11.5,2)</f>
        <v/>
      </c>
      <c r="V250" s="7">
        <f>IF(B250="","",IF(AB250,0,ROUND(AL250,2)))</f>
        <v/>
      </c>
      <c r="W250" s="7">
        <f>IF(B250="","",IF(AB250,0,MIN(5,ROUND(AL250+AM250,2))))</f>
        <v/>
      </c>
      <c r="X250" s="8">
        <f>IF(B250="","",IF(W250&gt;=5,"A+",IF(W250&gt;=4,"A",IF(W250&gt;=3.5,"A-",IF(W250&gt;=3,"B",IF(W250&gt;=2,"C",IF(W250&gt;=1,"D","F")))))))</f>
        <v/>
      </c>
      <c r="Y250">
        <f>NOT(OR(AND(J250&gt;=10,K250&gt;=23,L250&gt;=10,M250&gt;=23),AND(J250+L250&gt;=20,K250+M250&gt;=46)))</f>
        <v/>
      </c>
      <c r="Z250">
        <f>OR(N250&lt;10,O250&lt;23)</f>
        <v/>
      </c>
      <c r="AA250">
        <f>OR(P250&lt;10,Q250&lt;23)</f>
        <v/>
      </c>
      <c r="AB250">
        <f>OR((C250+D250)&lt;66,(E250+F250)&lt;66,G250&lt;33,(H250+I250)&lt;66,Y250,Z250,AA250,R250&lt;8.25)</f>
        <v/>
      </c>
      <c r="AC250">
        <f>IF(C250+D250&lt;66,0,IF((C250+D250)/2&gt;=80,5,IF((C250+D250)/2&gt;=70,4,IF((C250+D250)/2&gt;=60,3.5,IF((C250+D250)/2&gt;=50,3,IF((C250+D250)/2&gt;=40,2,IF((C250+D250)/2&gt;=33,1,0)))))))</f>
        <v/>
      </c>
      <c r="AD250">
        <f>IF(E250+F250&lt;66,0,IF((E250+F250)/2&gt;=80,5,IF((E250+F250)/2&gt;=70,4,IF((E250+F250)/2&gt;=60,3.5,IF((E250+F250)/2&gt;=50,3,IF((E250+F250)/2&gt;=40,2,IF((E250+F250)/2&gt;=33,1,0)))))))</f>
        <v/>
      </c>
      <c r="AE250">
        <f>IF(G250&lt;33,0,IF(G250&gt;=80,5,IF(G250&gt;=70,4,IF(G250&gt;=60,3.5,IF(G250&gt;=50,3,IF(G250&gt;=40,2,IF(G250&gt;=33,1,0)))))))</f>
        <v/>
      </c>
      <c r="AF250">
        <f>IF(H250+I250&lt;66,0,IF((H250+I250)/2&gt;=80,5,IF((H250+I250)/2&gt;=70,4,IF((H250+I250)/2&gt;=60,3.5,IF((H250+I250)/2&gt;=50,3,IF((H250+I250)/2&gt;=40,2,IF((H250+I250)/2&gt;=33,1,0)))))))</f>
        <v/>
      </c>
      <c r="AG250">
        <f>IF(Y250,0,IF((J250+K250+L250+M250)/2&gt;=80,5,IF((J250+K250+L250+M250)/2&gt;=70,4,IF((J250+K250+L250+M250)/2&gt;=60,3.5,IF((J250+K250+L250+M250)/2&gt;=50,3,IF((J250+K250+L250+M250)/2&gt;=40,2,IF((J250+K250+L250+M250)/2&gt;=33,1,0)))))))</f>
        <v/>
      </c>
      <c r="AH250">
        <f>IF(Z250,0,IF(N250+O250&gt;=80,5,IF(N250+O250&gt;=70,4,IF(N250+O250&gt;=60,3.5,IF(N250+O250&gt;=50,3,IF(N250+O250&gt;=40,2,IF(N250+O250&gt;=33,1,0)))))))</f>
        <v/>
      </c>
      <c r="AI250">
        <f>IF(AA250,0,IF(P250+Q250&gt;=80,5,IF(P250+Q250&gt;=70,4,IF(P250+Q250&gt;=60,3.5,IF(P250+Q250&gt;=50,3,IF(P250+Q250&gt;=40,2,IF(P250+Q250&gt;=33,1,0)))))))</f>
        <v/>
      </c>
      <c r="AJ250">
        <f>IF(R250&lt;8.25,0,IF(R250*2&gt;=80,5,IF(R250*2&gt;=70,4,IF(R250*2&gt;=60,3.5,IF(R250*2&gt;=50,3,IF(R250*2&gt;=40,2,IF(R250*2&gt;=33,1,0)))))))</f>
        <v/>
      </c>
      <c r="AK250">
        <f>IF(S250&lt;33,0,IF(S250&gt;=80,5,IF(S250&gt;=70,4,IF(S250&gt;=60,3.5,IF(S250&gt;=50,3,IF(S250&gt;=40,2,IF(S250&gt;=33,1,0)))))))</f>
        <v/>
      </c>
      <c r="AL250">
        <f>(AC250+AD250+AE250+AF250+AG250+AH250+AI250+AJ250)/8</f>
        <v/>
      </c>
      <c r="AM250">
        <f>IF(AK250&gt;=2,(AK250-2)/8,0)</f>
        <v/>
      </c>
    </row>
    <row r="251">
      <c r="T251">
        <f>SUM(C251:R251)</f>
        <v/>
      </c>
      <c r="U251" s="6">
        <f>ROUND(T251/11.5,2)</f>
        <v/>
      </c>
      <c r="V251" s="7">
        <f>IF(B251="","",IF(AB251,0,ROUND(AL251,2)))</f>
        <v/>
      </c>
      <c r="W251" s="7">
        <f>IF(B251="","",IF(AB251,0,MIN(5,ROUND(AL251+AM251,2))))</f>
        <v/>
      </c>
      <c r="X251" s="8">
        <f>IF(B251="","",IF(W251&gt;=5,"A+",IF(W251&gt;=4,"A",IF(W251&gt;=3.5,"A-",IF(W251&gt;=3,"B",IF(W251&gt;=2,"C",IF(W251&gt;=1,"D","F")))))))</f>
        <v/>
      </c>
      <c r="Y251">
        <f>NOT(OR(AND(J251&gt;=10,K251&gt;=23,L251&gt;=10,M251&gt;=23),AND(J251+L251&gt;=20,K251+M251&gt;=46)))</f>
        <v/>
      </c>
      <c r="Z251">
        <f>OR(N251&lt;10,O251&lt;23)</f>
        <v/>
      </c>
      <c r="AA251">
        <f>OR(P251&lt;10,Q251&lt;23)</f>
        <v/>
      </c>
      <c r="AB251">
        <f>OR((C251+D251)&lt;66,(E251+F251)&lt;66,G251&lt;33,(H251+I251)&lt;66,Y251,Z251,AA251,R251&lt;8.25)</f>
        <v/>
      </c>
      <c r="AC251">
        <f>IF(C251+D251&lt;66,0,IF((C251+D251)/2&gt;=80,5,IF((C251+D251)/2&gt;=70,4,IF((C251+D251)/2&gt;=60,3.5,IF((C251+D251)/2&gt;=50,3,IF((C251+D251)/2&gt;=40,2,IF((C251+D251)/2&gt;=33,1,0)))))))</f>
        <v/>
      </c>
      <c r="AD251">
        <f>IF(E251+F251&lt;66,0,IF((E251+F251)/2&gt;=80,5,IF((E251+F251)/2&gt;=70,4,IF((E251+F251)/2&gt;=60,3.5,IF((E251+F251)/2&gt;=50,3,IF((E251+F251)/2&gt;=40,2,IF((E251+F251)/2&gt;=33,1,0)))))))</f>
        <v/>
      </c>
      <c r="AE251">
        <f>IF(G251&lt;33,0,IF(G251&gt;=80,5,IF(G251&gt;=70,4,IF(G251&gt;=60,3.5,IF(G251&gt;=50,3,IF(G251&gt;=40,2,IF(G251&gt;=33,1,0)))))))</f>
        <v/>
      </c>
      <c r="AF251">
        <f>IF(H251+I251&lt;66,0,IF((H251+I251)/2&gt;=80,5,IF((H251+I251)/2&gt;=70,4,IF((H251+I251)/2&gt;=60,3.5,IF((H251+I251)/2&gt;=50,3,IF((H251+I251)/2&gt;=40,2,IF((H251+I251)/2&gt;=33,1,0)))))))</f>
        <v/>
      </c>
      <c r="AG251">
        <f>IF(Y251,0,IF((J251+K251+L251+M251)/2&gt;=80,5,IF((J251+K251+L251+M251)/2&gt;=70,4,IF((J251+K251+L251+M251)/2&gt;=60,3.5,IF((J251+K251+L251+M251)/2&gt;=50,3,IF((J251+K251+L251+M251)/2&gt;=40,2,IF((J251+K251+L251+M251)/2&gt;=33,1,0)))))))</f>
        <v/>
      </c>
      <c r="AH251">
        <f>IF(Z251,0,IF(N251+O251&gt;=80,5,IF(N251+O251&gt;=70,4,IF(N251+O251&gt;=60,3.5,IF(N251+O251&gt;=50,3,IF(N251+O251&gt;=40,2,IF(N251+O251&gt;=33,1,0)))))))</f>
        <v/>
      </c>
      <c r="AI251">
        <f>IF(AA251,0,IF(P251+Q251&gt;=80,5,IF(P251+Q251&gt;=70,4,IF(P251+Q251&gt;=60,3.5,IF(P251+Q251&gt;=50,3,IF(P251+Q251&gt;=40,2,IF(P251+Q251&gt;=33,1,0)))))))</f>
        <v/>
      </c>
      <c r="AJ251">
        <f>IF(R251&lt;8.25,0,IF(R251*2&gt;=80,5,IF(R251*2&gt;=70,4,IF(R251*2&gt;=60,3.5,IF(R251*2&gt;=50,3,IF(R251*2&gt;=40,2,IF(R251*2&gt;=33,1,0)))))))</f>
        <v/>
      </c>
      <c r="AK251">
        <f>IF(S251&lt;33,0,IF(S251&gt;=80,5,IF(S251&gt;=70,4,IF(S251&gt;=60,3.5,IF(S251&gt;=50,3,IF(S251&gt;=40,2,IF(S251&gt;=33,1,0)))))))</f>
        <v/>
      </c>
      <c r="AL251">
        <f>(AC251+AD251+AE251+AF251+AG251+AH251+AI251+AJ251)/8</f>
        <v/>
      </c>
      <c r="AM251">
        <f>IF(AK251&gt;=2,(AK251-2)/8,0)</f>
        <v/>
      </c>
    </row>
    <row r="252">
      <c r="T252">
        <f>SUM(C252:R252)</f>
        <v/>
      </c>
      <c r="U252" s="6">
        <f>ROUND(T252/11.5,2)</f>
        <v/>
      </c>
      <c r="V252" s="7">
        <f>IF(B252="","",IF(AB252,0,ROUND(AL252,2)))</f>
        <v/>
      </c>
      <c r="W252" s="7">
        <f>IF(B252="","",IF(AB252,0,MIN(5,ROUND(AL252+AM252,2))))</f>
        <v/>
      </c>
      <c r="X252" s="8">
        <f>IF(B252="","",IF(W252&gt;=5,"A+",IF(W252&gt;=4,"A",IF(W252&gt;=3.5,"A-",IF(W252&gt;=3,"B",IF(W252&gt;=2,"C",IF(W252&gt;=1,"D","F")))))))</f>
        <v/>
      </c>
      <c r="Y252">
        <f>NOT(OR(AND(J252&gt;=10,K252&gt;=23,L252&gt;=10,M252&gt;=23),AND(J252+L252&gt;=20,K252+M252&gt;=46)))</f>
        <v/>
      </c>
      <c r="Z252">
        <f>OR(N252&lt;10,O252&lt;23)</f>
        <v/>
      </c>
      <c r="AA252">
        <f>OR(P252&lt;10,Q252&lt;23)</f>
        <v/>
      </c>
      <c r="AB252">
        <f>OR((C252+D252)&lt;66,(E252+F252)&lt;66,G252&lt;33,(H252+I252)&lt;66,Y252,Z252,AA252,R252&lt;8.25)</f>
        <v/>
      </c>
      <c r="AC252">
        <f>IF(C252+D252&lt;66,0,IF((C252+D252)/2&gt;=80,5,IF((C252+D252)/2&gt;=70,4,IF((C252+D252)/2&gt;=60,3.5,IF((C252+D252)/2&gt;=50,3,IF((C252+D252)/2&gt;=40,2,IF((C252+D252)/2&gt;=33,1,0)))))))</f>
        <v/>
      </c>
      <c r="AD252">
        <f>IF(E252+F252&lt;66,0,IF((E252+F252)/2&gt;=80,5,IF((E252+F252)/2&gt;=70,4,IF((E252+F252)/2&gt;=60,3.5,IF((E252+F252)/2&gt;=50,3,IF((E252+F252)/2&gt;=40,2,IF((E252+F252)/2&gt;=33,1,0)))))))</f>
        <v/>
      </c>
      <c r="AE252">
        <f>IF(G252&lt;33,0,IF(G252&gt;=80,5,IF(G252&gt;=70,4,IF(G252&gt;=60,3.5,IF(G252&gt;=50,3,IF(G252&gt;=40,2,IF(G252&gt;=33,1,0)))))))</f>
        <v/>
      </c>
      <c r="AF252">
        <f>IF(H252+I252&lt;66,0,IF((H252+I252)/2&gt;=80,5,IF((H252+I252)/2&gt;=70,4,IF((H252+I252)/2&gt;=60,3.5,IF((H252+I252)/2&gt;=50,3,IF((H252+I252)/2&gt;=40,2,IF((H252+I252)/2&gt;=33,1,0)))))))</f>
        <v/>
      </c>
      <c r="AG252">
        <f>IF(Y252,0,IF((J252+K252+L252+M252)/2&gt;=80,5,IF((J252+K252+L252+M252)/2&gt;=70,4,IF((J252+K252+L252+M252)/2&gt;=60,3.5,IF((J252+K252+L252+M252)/2&gt;=50,3,IF((J252+K252+L252+M252)/2&gt;=40,2,IF((J252+K252+L252+M252)/2&gt;=33,1,0)))))))</f>
        <v/>
      </c>
      <c r="AH252">
        <f>IF(Z252,0,IF(N252+O252&gt;=80,5,IF(N252+O252&gt;=70,4,IF(N252+O252&gt;=60,3.5,IF(N252+O252&gt;=50,3,IF(N252+O252&gt;=40,2,IF(N252+O252&gt;=33,1,0)))))))</f>
        <v/>
      </c>
      <c r="AI252">
        <f>IF(AA252,0,IF(P252+Q252&gt;=80,5,IF(P252+Q252&gt;=70,4,IF(P252+Q252&gt;=60,3.5,IF(P252+Q252&gt;=50,3,IF(P252+Q252&gt;=40,2,IF(P252+Q252&gt;=33,1,0)))))))</f>
        <v/>
      </c>
      <c r="AJ252">
        <f>IF(R252&lt;8.25,0,IF(R252*2&gt;=80,5,IF(R252*2&gt;=70,4,IF(R252*2&gt;=60,3.5,IF(R252*2&gt;=50,3,IF(R252*2&gt;=40,2,IF(R252*2&gt;=33,1,0)))))))</f>
        <v/>
      </c>
      <c r="AK252">
        <f>IF(S252&lt;33,0,IF(S252&gt;=80,5,IF(S252&gt;=70,4,IF(S252&gt;=60,3.5,IF(S252&gt;=50,3,IF(S252&gt;=40,2,IF(S252&gt;=33,1,0)))))))</f>
        <v/>
      </c>
      <c r="AL252">
        <f>(AC252+AD252+AE252+AF252+AG252+AH252+AI252+AJ252)/8</f>
        <v/>
      </c>
      <c r="AM252">
        <f>IF(AK252&gt;=2,(AK252-2)/8,0)</f>
        <v/>
      </c>
    </row>
    <row r="253">
      <c r="T253">
        <f>SUM(C253:R253)</f>
        <v/>
      </c>
      <c r="U253" s="6">
        <f>ROUND(T253/11.5,2)</f>
        <v/>
      </c>
      <c r="V253" s="7">
        <f>IF(B253="","",IF(AB253,0,ROUND(AL253,2)))</f>
        <v/>
      </c>
      <c r="W253" s="7">
        <f>IF(B253="","",IF(AB253,0,MIN(5,ROUND(AL253+AM253,2))))</f>
        <v/>
      </c>
      <c r="X253" s="8">
        <f>IF(B253="","",IF(W253&gt;=5,"A+",IF(W253&gt;=4,"A",IF(W253&gt;=3.5,"A-",IF(W253&gt;=3,"B",IF(W253&gt;=2,"C",IF(W253&gt;=1,"D","F")))))))</f>
        <v/>
      </c>
      <c r="Y253">
        <f>NOT(OR(AND(J253&gt;=10,K253&gt;=23,L253&gt;=10,M253&gt;=23),AND(J253+L253&gt;=20,K253+M253&gt;=46)))</f>
        <v/>
      </c>
      <c r="Z253">
        <f>OR(N253&lt;10,O253&lt;23)</f>
        <v/>
      </c>
      <c r="AA253">
        <f>OR(P253&lt;10,Q253&lt;23)</f>
        <v/>
      </c>
      <c r="AB253">
        <f>OR((C253+D253)&lt;66,(E253+F253)&lt;66,G253&lt;33,(H253+I253)&lt;66,Y253,Z253,AA253,R253&lt;8.25)</f>
        <v/>
      </c>
      <c r="AC253">
        <f>IF(C253+D253&lt;66,0,IF((C253+D253)/2&gt;=80,5,IF((C253+D253)/2&gt;=70,4,IF((C253+D253)/2&gt;=60,3.5,IF((C253+D253)/2&gt;=50,3,IF((C253+D253)/2&gt;=40,2,IF((C253+D253)/2&gt;=33,1,0)))))))</f>
        <v/>
      </c>
      <c r="AD253">
        <f>IF(E253+F253&lt;66,0,IF((E253+F253)/2&gt;=80,5,IF((E253+F253)/2&gt;=70,4,IF((E253+F253)/2&gt;=60,3.5,IF((E253+F253)/2&gt;=50,3,IF((E253+F253)/2&gt;=40,2,IF((E253+F253)/2&gt;=33,1,0)))))))</f>
        <v/>
      </c>
      <c r="AE253">
        <f>IF(G253&lt;33,0,IF(G253&gt;=80,5,IF(G253&gt;=70,4,IF(G253&gt;=60,3.5,IF(G253&gt;=50,3,IF(G253&gt;=40,2,IF(G253&gt;=33,1,0)))))))</f>
        <v/>
      </c>
      <c r="AF253">
        <f>IF(H253+I253&lt;66,0,IF((H253+I253)/2&gt;=80,5,IF((H253+I253)/2&gt;=70,4,IF((H253+I253)/2&gt;=60,3.5,IF((H253+I253)/2&gt;=50,3,IF((H253+I253)/2&gt;=40,2,IF((H253+I253)/2&gt;=33,1,0)))))))</f>
        <v/>
      </c>
      <c r="AG253">
        <f>IF(Y253,0,IF((J253+K253+L253+M253)/2&gt;=80,5,IF((J253+K253+L253+M253)/2&gt;=70,4,IF((J253+K253+L253+M253)/2&gt;=60,3.5,IF((J253+K253+L253+M253)/2&gt;=50,3,IF((J253+K253+L253+M253)/2&gt;=40,2,IF((J253+K253+L253+M253)/2&gt;=33,1,0)))))))</f>
        <v/>
      </c>
      <c r="AH253">
        <f>IF(Z253,0,IF(N253+O253&gt;=80,5,IF(N253+O253&gt;=70,4,IF(N253+O253&gt;=60,3.5,IF(N253+O253&gt;=50,3,IF(N253+O253&gt;=40,2,IF(N253+O253&gt;=33,1,0)))))))</f>
        <v/>
      </c>
      <c r="AI253">
        <f>IF(AA253,0,IF(P253+Q253&gt;=80,5,IF(P253+Q253&gt;=70,4,IF(P253+Q253&gt;=60,3.5,IF(P253+Q253&gt;=50,3,IF(P253+Q253&gt;=40,2,IF(P253+Q253&gt;=33,1,0)))))))</f>
        <v/>
      </c>
      <c r="AJ253">
        <f>IF(R253&lt;8.25,0,IF(R253*2&gt;=80,5,IF(R253*2&gt;=70,4,IF(R253*2&gt;=60,3.5,IF(R253*2&gt;=50,3,IF(R253*2&gt;=40,2,IF(R253*2&gt;=33,1,0)))))))</f>
        <v/>
      </c>
      <c r="AK253">
        <f>IF(S253&lt;33,0,IF(S253&gt;=80,5,IF(S253&gt;=70,4,IF(S253&gt;=60,3.5,IF(S253&gt;=50,3,IF(S253&gt;=40,2,IF(S253&gt;=33,1,0)))))))</f>
        <v/>
      </c>
      <c r="AL253">
        <f>(AC253+AD253+AE253+AF253+AG253+AH253+AI253+AJ253)/8</f>
        <v/>
      </c>
      <c r="AM253">
        <f>IF(AK253&gt;=2,(AK253-2)/8,0)</f>
        <v/>
      </c>
    </row>
    <row r="254">
      <c r="T254">
        <f>SUM(C254:R254)</f>
        <v/>
      </c>
      <c r="U254" s="6">
        <f>ROUND(T254/11.5,2)</f>
        <v/>
      </c>
      <c r="V254" s="7">
        <f>IF(B254="","",IF(AB254,0,ROUND(AL254,2)))</f>
        <v/>
      </c>
      <c r="W254" s="7">
        <f>IF(B254="","",IF(AB254,0,MIN(5,ROUND(AL254+AM254,2))))</f>
        <v/>
      </c>
      <c r="X254" s="8">
        <f>IF(B254="","",IF(W254&gt;=5,"A+",IF(W254&gt;=4,"A",IF(W254&gt;=3.5,"A-",IF(W254&gt;=3,"B",IF(W254&gt;=2,"C",IF(W254&gt;=1,"D","F")))))))</f>
        <v/>
      </c>
      <c r="Y254">
        <f>NOT(OR(AND(J254&gt;=10,K254&gt;=23,L254&gt;=10,M254&gt;=23),AND(J254+L254&gt;=20,K254+M254&gt;=46)))</f>
        <v/>
      </c>
      <c r="Z254">
        <f>OR(N254&lt;10,O254&lt;23)</f>
        <v/>
      </c>
      <c r="AA254">
        <f>OR(P254&lt;10,Q254&lt;23)</f>
        <v/>
      </c>
      <c r="AB254">
        <f>OR((C254+D254)&lt;66,(E254+F254)&lt;66,G254&lt;33,(H254+I254)&lt;66,Y254,Z254,AA254,R254&lt;8.25)</f>
        <v/>
      </c>
      <c r="AC254">
        <f>IF(C254+D254&lt;66,0,IF((C254+D254)/2&gt;=80,5,IF((C254+D254)/2&gt;=70,4,IF((C254+D254)/2&gt;=60,3.5,IF((C254+D254)/2&gt;=50,3,IF((C254+D254)/2&gt;=40,2,IF((C254+D254)/2&gt;=33,1,0)))))))</f>
        <v/>
      </c>
      <c r="AD254">
        <f>IF(E254+F254&lt;66,0,IF((E254+F254)/2&gt;=80,5,IF((E254+F254)/2&gt;=70,4,IF((E254+F254)/2&gt;=60,3.5,IF((E254+F254)/2&gt;=50,3,IF((E254+F254)/2&gt;=40,2,IF((E254+F254)/2&gt;=33,1,0)))))))</f>
        <v/>
      </c>
      <c r="AE254">
        <f>IF(G254&lt;33,0,IF(G254&gt;=80,5,IF(G254&gt;=70,4,IF(G254&gt;=60,3.5,IF(G254&gt;=50,3,IF(G254&gt;=40,2,IF(G254&gt;=33,1,0)))))))</f>
        <v/>
      </c>
      <c r="AF254">
        <f>IF(H254+I254&lt;66,0,IF((H254+I254)/2&gt;=80,5,IF((H254+I254)/2&gt;=70,4,IF((H254+I254)/2&gt;=60,3.5,IF((H254+I254)/2&gt;=50,3,IF((H254+I254)/2&gt;=40,2,IF((H254+I254)/2&gt;=33,1,0)))))))</f>
        <v/>
      </c>
      <c r="AG254">
        <f>IF(Y254,0,IF((J254+K254+L254+M254)/2&gt;=80,5,IF((J254+K254+L254+M254)/2&gt;=70,4,IF((J254+K254+L254+M254)/2&gt;=60,3.5,IF((J254+K254+L254+M254)/2&gt;=50,3,IF((J254+K254+L254+M254)/2&gt;=40,2,IF((J254+K254+L254+M254)/2&gt;=33,1,0)))))))</f>
        <v/>
      </c>
      <c r="AH254">
        <f>IF(Z254,0,IF(N254+O254&gt;=80,5,IF(N254+O254&gt;=70,4,IF(N254+O254&gt;=60,3.5,IF(N254+O254&gt;=50,3,IF(N254+O254&gt;=40,2,IF(N254+O254&gt;=33,1,0)))))))</f>
        <v/>
      </c>
      <c r="AI254">
        <f>IF(AA254,0,IF(P254+Q254&gt;=80,5,IF(P254+Q254&gt;=70,4,IF(P254+Q254&gt;=60,3.5,IF(P254+Q254&gt;=50,3,IF(P254+Q254&gt;=40,2,IF(P254+Q254&gt;=33,1,0)))))))</f>
        <v/>
      </c>
      <c r="AJ254">
        <f>IF(R254&lt;8.25,0,IF(R254*2&gt;=80,5,IF(R254*2&gt;=70,4,IF(R254*2&gt;=60,3.5,IF(R254*2&gt;=50,3,IF(R254*2&gt;=40,2,IF(R254*2&gt;=33,1,0)))))))</f>
        <v/>
      </c>
      <c r="AK254">
        <f>IF(S254&lt;33,0,IF(S254&gt;=80,5,IF(S254&gt;=70,4,IF(S254&gt;=60,3.5,IF(S254&gt;=50,3,IF(S254&gt;=40,2,IF(S254&gt;=33,1,0)))))))</f>
        <v/>
      </c>
      <c r="AL254">
        <f>(AC254+AD254+AE254+AF254+AG254+AH254+AI254+AJ254)/8</f>
        <v/>
      </c>
      <c r="AM254">
        <f>IF(AK254&gt;=2,(AK254-2)/8,0)</f>
        <v/>
      </c>
    </row>
    <row r="255">
      <c r="T255">
        <f>SUM(C255:R255)</f>
        <v/>
      </c>
      <c r="U255" s="6">
        <f>ROUND(T255/11.5,2)</f>
        <v/>
      </c>
      <c r="V255" s="7">
        <f>IF(B255="","",IF(AB255,0,ROUND(AL255,2)))</f>
        <v/>
      </c>
      <c r="W255" s="7">
        <f>IF(B255="","",IF(AB255,0,MIN(5,ROUND(AL255+AM255,2))))</f>
        <v/>
      </c>
      <c r="X255" s="8">
        <f>IF(B255="","",IF(W255&gt;=5,"A+",IF(W255&gt;=4,"A",IF(W255&gt;=3.5,"A-",IF(W255&gt;=3,"B",IF(W255&gt;=2,"C",IF(W255&gt;=1,"D","F")))))))</f>
        <v/>
      </c>
      <c r="Y255">
        <f>NOT(OR(AND(J255&gt;=10,K255&gt;=23,L255&gt;=10,M255&gt;=23),AND(J255+L255&gt;=20,K255+M255&gt;=46)))</f>
        <v/>
      </c>
      <c r="Z255">
        <f>OR(N255&lt;10,O255&lt;23)</f>
        <v/>
      </c>
      <c r="AA255">
        <f>OR(P255&lt;10,Q255&lt;23)</f>
        <v/>
      </c>
      <c r="AB255">
        <f>OR((C255+D255)&lt;66,(E255+F255)&lt;66,G255&lt;33,(H255+I255)&lt;66,Y255,Z255,AA255,R255&lt;8.25)</f>
        <v/>
      </c>
      <c r="AC255">
        <f>IF(C255+D255&lt;66,0,IF((C255+D255)/2&gt;=80,5,IF((C255+D255)/2&gt;=70,4,IF((C255+D255)/2&gt;=60,3.5,IF((C255+D255)/2&gt;=50,3,IF((C255+D255)/2&gt;=40,2,IF((C255+D255)/2&gt;=33,1,0)))))))</f>
        <v/>
      </c>
      <c r="AD255">
        <f>IF(E255+F255&lt;66,0,IF((E255+F255)/2&gt;=80,5,IF((E255+F255)/2&gt;=70,4,IF((E255+F255)/2&gt;=60,3.5,IF((E255+F255)/2&gt;=50,3,IF((E255+F255)/2&gt;=40,2,IF((E255+F255)/2&gt;=33,1,0)))))))</f>
        <v/>
      </c>
      <c r="AE255">
        <f>IF(G255&lt;33,0,IF(G255&gt;=80,5,IF(G255&gt;=70,4,IF(G255&gt;=60,3.5,IF(G255&gt;=50,3,IF(G255&gt;=40,2,IF(G255&gt;=33,1,0)))))))</f>
        <v/>
      </c>
      <c r="AF255">
        <f>IF(H255+I255&lt;66,0,IF((H255+I255)/2&gt;=80,5,IF((H255+I255)/2&gt;=70,4,IF((H255+I255)/2&gt;=60,3.5,IF((H255+I255)/2&gt;=50,3,IF((H255+I255)/2&gt;=40,2,IF((H255+I255)/2&gt;=33,1,0)))))))</f>
        <v/>
      </c>
      <c r="AG255">
        <f>IF(Y255,0,IF((J255+K255+L255+M255)/2&gt;=80,5,IF((J255+K255+L255+M255)/2&gt;=70,4,IF((J255+K255+L255+M255)/2&gt;=60,3.5,IF((J255+K255+L255+M255)/2&gt;=50,3,IF((J255+K255+L255+M255)/2&gt;=40,2,IF((J255+K255+L255+M255)/2&gt;=33,1,0)))))))</f>
        <v/>
      </c>
      <c r="AH255">
        <f>IF(Z255,0,IF(N255+O255&gt;=80,5,IF(N255+O255&gt;=70,4,IF(N255+O255&gt;=60,3.5,IF(N255+O255&gt;=50,3,IF(N255+O255&gt;=40,2,IF(N255+O255&gt;=33,1,0)))))))</f>
        <v/>
      </c>
      <c r="AI255">
        <f>IF(AA255,0,IF(P255+Q255&gt;=80,5,IF(P255+Q255&gt;=70,4,IF(P255+Q255&gt;=60,3.5,IF(P255+Q255&gt;=50,3,IF(P255+Q255&gt;=40,2,IF(P255+Q255&gt;=33,1,0)))))))</f>
        <v/>
      </c>
      <c r="AJ255">
        <f>IF(R255&lt;8.25,0,IF(R255*2&gt;=80,5,IF(R255*2&gt;=70,4,IF(R255*2&gt;=60,3.5,IF(R255*2&gt;=50,3,IF(R255*2&gt;=40,2,IF(R255*2&gt;=33,1,0)))))))</f>
        <v/>
      </c>
      <c r="AK255">
        <f>IF(S255&lt;33,0,IF(S255&gt;=80,5,IF(S255&gt;=70,4,IF(S255&gt;=60,3.5,IF(S255&gt;=50,3,IF(S255&gt;=40,2,IF(S255&gt;=33,1,0)))))))</f>
        <v/>
      </c>
      <c r="AL255">
        <f>(AC255+AD255+AE255+AF255+AG255+AH255+AI255+AJ255)/8</f>
        <v/>
      </c>
      <c r="AM255">
        <f>IF(AK255&gt;=2,(AK255-2)/8,0)</f>
        <v/>
      </c>
    </row>
    <row r="256">
      <c r="T256">
        <f>SUM(C256:R256)</f>
        <v/>
      </c>
      <c r="U256" s="6">
        <f>ROUND(T256/11.5,2)</f>
        <v/>
      </c>
      <c r="V256" s="7">
        <f>IF(B256="","",IF(AB256,0,ROUND(AL256,2)))</f>
        <v/>
      </c>
      <c r="W256" s="7">
        <f>IF(B256="","",IF(AB256,0,MIN(5,ROUND(AL256+AM256,2))))</f>
        <v/>
      </c>
      <c r="X256" s="8">
        <f>IF(B256="","",IF(W256&gt;=5,"A+",IF(W256&gt;=4,"A",IF(W256&gt;=3.5,"A-",IF(W256&gt;=3,"B",IF(W256&gt;=2,"C",IF(W256&gt;=1,"D","F")))))))</f>
        <v/>
      </c>
      <c r="Y256">
        <f>NOT(OR(AND(J256&gt;=10,K256&gt;=23,L256&gt;=10,M256&gt;=23),AND(J256+L256&gt;=20,K256+M256&gt;=46)))</f>
        <v/>
      </c>
      <c r="Z256">
        <f>OR(N256&lt;10,O256&lt;23)</f>
        <v/>
      </c>
      <c r="AA256">
        <f>OR(P256&lt;10,Q256&lt;23)</f>
        <v/>
      </c>
      <c r="AB256">
        <f>OR((C256+D256)&lt;66,(E256+F256)&lt;66,G256&lt;33,(H256+I256)&lt;66,Y256,Z256,AA256,R256&lt;8.25)</f>
        <v/>
      </c>
      <c r="AC256">
        <f>IF(C256+D256&lt;66,0,IF((C256+D256)/2&gt;=80,5,IF((C256+D256)/2&gt;=70,4,IF((C256+D256)/2&gt;=60,3.5,IF((C256+D256)/2&gt;=50,3,IF((C256+D256)/2&gt;=40,2,IF((C256+D256)/2&gt;=33,1,0)))))))</f>
        <v/>
      </c>
      <c r="AD256">
        <f>IF(E256+F256&lt;66,0,IF((E256+F256)/2&gt;=80,5,IF((E256+F256)/2&gt;=70,4,IF((E256+F256)/2&gt;=60,3.5,IF((E256+F256)/2&gt;=50,3,IF((E256+F256)/2&gt;=40,2,IF((E256+F256)/2&gt;=33,1,0)))))))</f>
        <v/>
      </c>
      <c r="AE256">
        <f>IF(G256&lt;33,0,IF(G256&gt;=80,5,IF(G256&gt;=70,4,IF(G256&gt;=60,3.5,IF(G256&gt;=50,3,IF(G256&gt;=40,2,IF(G256&gt;=33,1,0)))))))</f>
        <v/>
      </c>
      <c r="AF256">
        <f>IF(H256+I256&lt;66,0,IF((H256+I256)/2&gt;=80,5,IF((H256+I256)/2&gt;=70,4,IF((H256+I256)/2&gt;=60,3.5,IF((H256+I256)/2&gt;=50,3,IF((H256+I256)/2&gt;=40,2,IF((H256+I256)/2&gt;=33,1,0)))))))</f>
        <v/>
      </c>
      <c r="AG256">
        <f>IF(Y256,0,IF((J256+K256+L256+M256)/2&gt;=80,5,IF((J256+K256+L256+M256)/2&gt;=70,4,IF((J256+K256+L256+M256)/2&gt;=60,3.5,IF((J256+K256+L256+M256)/2&gt;=50,3,IF((J256+K256+L256+M256)/2&gt;=40,2,IF((J256+K256+L256+M256)/2&gt;=33,1,0)))))))</f>
        <v/>
      </c>
      <c r="AH256">
        <f>IF(Z256,0,IF(N256+O256&gt;=80,5,IF(N256+O256&gt;=70,4,IF(N256+O256&gt;=60,3.5,IF(N256+O256&gt;=50,3,IF(N256+O256&gt;=40,2,IF(N256+O256&gt;=33,1,0)))))))</f>
        <v/>
      </c>
      <c r="AI256">
        <f>IF(AA256,0,IF(P256+Q256&gt;=80,5,IF(P256+Q256&gt;=70,4,IF(P256+Q256&gt;=60,3.5,IF(P256+Q256&gt;=50,3,IF(P256+Q256&gt;=40,2,IF(P256+Q256&gt;=33,1,0)))))))</f>
        <v/>
      </c>
      <c r="AJ256">
        <f>IF(R256&lt;8.25,0,IF(R256*2&gt;=80,5,IF(R256*2&gt;=70,4,IF(R256*2&gt;=60,3.5,IF(R256*2&gt;=50,3,IF(R256*2&gt;=40,2,IF(R256*2&gt;=33,1,0)))))))</f>
        <v/>
      </c>
      <c r="AK256">
        <f>IF(S256&lt;33,0,IF(S256&gt;=80,5,IF(S256&gt;=70,4,IF(S256&gt;=60,3.5,IF(S256&gt;=50,3,IF(S256&gt;=40,2,IF(S256&gt;=33,1,0)))))))</f>
        <v/>
      </c>
      <c r="AL256">
        <f>(AC256+AD256+AE256+AF256+AG256+AH256+AI256+AJ256)/8</f>
        <v/>
      </c>
      <c r="AM256">
        <f>IF(AK256&gt;=2,(AK256-2)/8,0)</f>
        <v/>
      </c>
    </row>
    <row r="257">
      <c r="T257">
        <f>SUM(C257:R257)</f>
        <v/>
      </c>
      <c r="U257" s="6">
        <f>ROUND(T257/11.5,2)</f>
        <v/>
      </c>
      <c r="V257" s="7">
        <f>IF(B257="","",IF(AB257,0,ROUND(AL257,2)))</f>
        <v/>
      </c>
      <c r="W257" s="7">
        <f>IF(B257="","",IF(AB257,0,MIN(5,ROUND(AL257+AM257,2))))</f>
        <v/>
      </c>
      <c r="X257" s="8">
        <f>IF(B257="","",IF(W257&gt;=5,"A+",IF(W257&gt;=4,"A",IF(W257&gt;=3.5,"A-",IF(W257&gt;=3,"B",IF(W257&gt;=2,"C",IF(W257&gt;=1,"D","F")))))))</f>
        <v/>
      </c>
      <c r="Y257">
        <f>NOT(OR(AND(J257&gt;=10,K257&gt;=23,L257&gt;=10,M257&gt;=23),AND(J257+L257&gt;=20,K257+M257&gt;=46)))</f>
        <v/>
      </c>
      <c r="Z257">
        <f>OR(N257&lt;10,O257&lt;23)</f>
        <v/>
      </c>
      <c r="AA257">
        <f>OR(P257&lt;10,Q257&lt;23)</f>
        <v/>
      </c>
      <c r="AB257">
        <f>OR((C257+D257)&lt;66,(E257+F257)&lt;66,G257&lt;33,(H257+I257)&lt;66,Y257,Z257,AA257,R257&lt;8.25)</f>
        <v/>
      </c>
      <c r="AC257">
        <f>IF(C257+D257&lt;66,0,IF((C257+D257)/2&gt;=80,5,IF((C257+D257)/2&gt;=70,4,IF((C257+D257)/2&gt;=60,3.5,IF((C257+D257)/2&gt;=50,3,IF((C257+D257)/2&gt;=40,2,IF((C257+D257)/2&gt;=33,1,0)))))))</f>
        <v/>
      </c>
      <c r="AD257">
        <f>IF(E257+F257&lt;66,0,IF((E257+F257)/2&gt;=80,5,IF((E257+F257)/2&gt;=70,4,IF((E257+F257)/2&gt;=60,3.5,IF((E257+F257)/2&gt;=50,3,IF((E257+F257)/2&gt;=40,2,IF((E257+F257)/2&gt;=33,1,0)))))))</f>
        <v/>
      </c>
      <c r="AE257">
        <f>IF(G257&lt;33,0,IF(G257&gt;=80,5,IF(G257&gt;=70,4,IF(G257&gt;=60,3.5,IF(G257&gt;=50,3,IF(G257&gt;=40,2,IF(G257&gt;=33,1,0)))))))</f>
        <v/>
      </c>
      <c r="AF257">
        <f>IF(H257+I257&lt;66,0,IF((H257+I257)/2&gt;=80,5,IF((H257+I257)/2&gt;=70,4,IF((H257+I257)/2&gt;=60,3.5,IF((H257+I257)/2&gt;=50,3,IF((H257+I257)/2&gt;=40,2,IF((H257+I257)/2&gt;=33,1,0)))))))</f>
        <v/>
      </c>
      <c r="AG257">
        <f>IF(Y257,0,IF((J257+K257+L257+M257)/2&gt;=80,5,IF((J257+K257+L257+M257)/2&gt;=70,4,IF((J257+K257+L257+M257)/2&gt;=60,3.5,IF((J257+K257+L257+M257)/2&gt;=50,3,IF((J257+K257+L257+M257)/2&gt;=40,2,IF((J257+K257+L257+M257)/2&gt;=33,1,0)))))))</f>
        <v/>
      </c>
      <c r="AH257">
        <f>IF(Z257,0,IF(N257+O257&gt;=80,5,IF(N257+O257&gt;=70,4,IF(N257+O257&gt;=60,3.5,IF(N257+O257&gt;=50,3,IF(N257+O257&gt;=40,2,IF(N257+O257&gt;=33,1,0)))))))</f>
        <v/>
      </c>
      <c r="AI257">
        <f>IF(AA257,0,IF(P257+Q257&gt;=80,5,IF(P257+Q257&gt;=70,4,IF(P257+Q257&gt;=60,3.5,IF(P257+Q257&gt;=50,3,IF(P257+Q257&gt;=40,2,IF(P257+Q257&gt;=33,1,0)))))))</f>
        <v/>
      </c>
      <c r="AJ257">
        <f>IF(R257&lt;8.25,0,IF(R257*2&gt;=80,5,IF(R257*2&gt;=70,4,IF(R257*2&gt;=60,3.5,IF(R257*2&gt;=50,3,IF(R257*2&gt;=40,2,IF(R257*2&gt;=33,1,0)))))))</f>
        <v/>
      </c>
      <c r="AK257">
        <f>IF(S257&lt;33,0,IF(S257&gt;=80,5,IF(S257&gt;=70,4,IF(S257&gt;=60,3.5,IF(S257&gt;=50,3,IF(S257&gt;=40,2,IF(S257&gt;=33,1,0)))))))</f>
        <v/>
      </c>
      <c r="AL257">
        <f>(AC257+AD257+AE257+AF257+AG257+AH257+AI257+AJ257)/8</f>
        <v/>
      </c>
      <c r="AM257">
        <f>IF(AK257&gt;=2,(AK257-2)/8,0)</f>
        <v/>
      </c>
    </row>
    <row r="258">
      <c r="T258">
        <f>SUM(C258:R258)</f>
        <v/>
      </c>
      <c r="U258" s="6">
        <f>ROUND(T258/11.5,2)</f>
        <v/>
      </c>
      <c r="V258" s="7">
        <f>IF(B258="","",IF(AB258,0,ROUND(AL258,2)))</f>
        <v/>
      </c>
      <c r="W258" s="7">
        <f>IF(B258="","",IF(AB258,0,MIN(5,ROUND(AL258+AM258,2))))</f>
        <v/>
      </c>
      <c r="X258" s="8">
        <f>IF(B258="","",IF(W258&gt;=5,"A+",IF(W258&gt;=4,"A",IF(W258&gt;=3.5,"A-",IF(W258&gt;=3,"B",IF(W258&gt;=2,"C",IF(W258&gt;=1,"D","F")))))))</f>
        <v/>
      </c>
      <c r="Y258">
        <f>NOT(OR(AND(J258&gt;=10,K258&gt;=23,L258&gt;=10,M258&gt;=23),AND(J258+L258&gt;=20,K258+M258&gt;=46)))</f>
        <v/>
      </c>
      <c r="Z258">
        <f>OR(N258&lt;10,O258&lt;23)</f>
        <v/>
      </c>
      <c r="AA258">
        <f>OR(P258&lt;10,Q258&lt;23)</f>
        <v/>
      </c>
      <c r="AB258">
        <f>OR((C258+D258)&lt;66,(E258+F258)&lt;66,G258&lt;33,(H258+I258)&lt;66,Y258,Z258,AA258,R258&lt;8.25)</f>
        <v/>
      </c>
      <c r="AC258">
        <f>IF(C258+D258&lt;66,0,IF((C258+D258)/2&gt;=80,5,IF((C258+D258)/2&gt;=70,4,IF((C258+D258)/2&gt;=60,3.5,IF((C258+D258)/2&gt;=50,3,IF((C258+D258)/2&gt;=40,2,IF((C258+D258)/2&gt;=33,1,0)))))))</f>
        <v/>
      </c>
      <c r="AD258">
        <f>IF(E258+F258&lt;66,0,IF((E258+F258)/2&gt;=80,5,IF((E258+F258)/2&gt;=70,4,IF((E258+F258)/2&gt;=60,3.5,IF((E258+F258)/2&gt;=50,3,IF((E258+F258)/2&gt;=40,2,IF((E258+F258)/2&gt;=33,1,0)))))))</f>
        <v/>
      </c>
      <c r="AE258">
        <f>IF(G258&lt;33,0,IF(G258&gt;=80,5,IF(G258&gt;=70,4,IF(G258&gt;=60,3.5,IF(G258&gt;=50,3,IF(G258&gt;=40,2,IF(G258&gt;=33,1,0)))))))</f>
        <v/>
      </c>
      <c r="AF258">
        <f>IF(H258+I258&lt;66,0,IF((H258+I258)/2&gt;=80,5,IF((H258+I258)/2&gt;=70,4,IF((H258+I258)/2&gt;=60,3.5,IF((H258+I258)/2&gt;=50,3,IF((H258+I258)/2&gt;=40,2,IF((H258+I258)/2&gt;=33,1,0)))))))</f>
        <v/>
      </c>
      <c r="AG258">
        <f>IF(Y258,0,IF((J258+K258+L258+M258)/2&gt;=80,5,IF((J258+K258+L258+M258)/2&gt;=70,4,IF((J258+K258+L258+M258)/2&gt;=60,3.5,IF((J258+K258+L258+M258)/2&gt;=50,3,IF((J258+K258+L258+M258)/2&gt;=40,2,IF((J258+K258+L258+M258)/2&gt;=33,1,0)))))))</f>
        <v/>
      </c>
      <c r="AH258">
        <f>IF(Z258,0,IF(N258+O258&gt;=80,5,IF(N258+O258&gt;=70,4,IF(N258+O258&gt;=60,3.5,IF(N258+O258&gt;=50,3,IF(N258+O258&gt;=40,2,IF(N258+O258&gt;=33,1,0)))))))</f>
        <v/>
      </c>
      <c r="AI258">
        <f>IF(AA258,0,IF(P258+Q258&gt;=80,5,IF(P258+Q258&gt;=70,4,IF(P258+Q258&gt;=60,3.5,IF(P258+Q258&gt;=50,3,IF(P258+Q258&gt;=40,2,IF(P258+Q258&gt;=33,1,0)))))))</f>
        <v/>
      </c>
      <c r="AJ258">
        <f>IF(R258&lt;8.25,0,IF(R258*2&gt;=80,5,IF(R258*2&gt;=70,4,IF(R258*2&gt;=60,3.5,IF(R258*2&gt;=50,3,IF(R258*2&gt;=40,2,IF(R258*2&gt;=33,1,0)))))))</f>
        <v/>
      </c>
      <c r="AK258">
        <f>IF(S258&lt;33,0,IF(S258&gt;=80,5,IF(S258&gt;=70,4,IF(S258&gt;=60,3.5,IF(S258&gt;=50,3,IF(S258&gt;=40,2,IF(S258&gt;=33,1,0)))))))</f>
        <v/>
      </c>
      <c r="AL258">
        <f>(AC258+AD258+AE258+AF258+AG258+AH258+AI258+AJ258)/8</f>
        <v/>
      </c>
      <c r="AM258">
        <f>IF(AK258&gt;=2,(AK258-2)/8,0)</f>
        <v/>
      </c>
    </row>
    <row r="259">
      <c r="T259">
        <f>SUM(C259:R259)</f>
        <v/>
      </c>
      <c r="U259" s="6">
        <f>ROUND(T259/11.5,2)</f>
        <v/>
      </c>
      <c r="V259" s="7">
        <f>IF(B259="","",IF(AB259,0,ROUND(AL259,2)))</f>
        <v/>
      </c>
      <c r="W259" s="7">
        <f>IF(B259="","",IF(AB259,0,MIN(5,ROUND(AL259+AM259,2))))</f>
        <v/>
      </c>
      <c r="X259" s="8">
        <f>IF(B259="","",IF(W259&gt;=5,"A+",IF(W259&gt;=4,"A",IF(W259&gt;=3.5,"A-",IF(W259&gt;=3,"B",IF(W259&gt;=2,"C",IF(W259&gt;=1,"D","F")))))))</f>
        <v/>
      </c>
      <c r="Y259">
        <f>NOT(OR(AND(J259&gt;=10,K259&gt;=23,L259&gt;=10,M259&gt;=23),AND(J259+L259&gt;=20,K259+M259&gt;=46)))</f>
        <v/>
      </c>
      <c r="Z259">
        <f>OR(N259&lt;10,O259&lt;23)</f>
        <v/>
      </c>
      <c r="AA259">
        <f>OR(P259&lt;10,Q259&lt;23)</f>
        <v/>
      </c>
      <c r="AB259">
        <f>OR((C259+D259)&lt;66,(E259+F259)&lt;66,G259&lt;33,(H259+I259)&lt;66,Y259,Z259,AA259,R259&lt;8.25)</f>
        <v/>
      </c>
      <c r="AC259">
        <f>IF(C259+D259&lt;66,0,IF((C259+D259)/2&gt;=80,5,IF((C259+D259)/2&gt;=70,4,IF((C259+D259)/2&gt;=60,3.5,IF((C259+D259)/2&gt;=50,3,IF((C259+D259)/2&gt;=40,2,IF((C259+D259)/2&gt;=33,1,0)))))))</f>
        <v/>
      </c>
      <c r="AD259">
        <f>IF(E259+F259&lt;66,0,IF((E259+F259)/2&gt;=80,5,IF((E259+F259)/2&gt;=70,4,IF((E259+F259)/2&gt;=60,3.5,IF((E259+F259)/2&gt;=50,3,IF((E259+F259)/2&gt;=40,2,IF((E259+F259)/2&gt;=33,1,0)))))))</f>
        <v/>
      </c>
      <c r="AE259">
        <f>IF(G259&lt;33,0,IF(G259&gt;=80,5,IF(G259&gt;=70,4,IF(G259&gt;=60,3.5,IF(G259&gt;=50,3,IF(G259&gt;=40,2,IF(G259&gt;=33,1,0)))))))</f>
        <v/>
      </c>
      <c r="AF259">
        <f>IF(H259+I259&lt;66,0,IF((H259+I259)/2&gt;=80,5,IF((H259+I259)/2&gt;=70,4,IF((H259+I259)/2&gt;=60,3.5,IF((H259+I259)/2&gt;=50,3,IF((H259+I259)/2&gt;=40,2,IF((H259+I259)/2&gt;=33,1,0)))))))</f>
        <v/>
      </c>
      <c r="AG259">
        <f>IF(Y259,0,IF((J259+K259+L259+M259)/2&gt;=80,5,IF((J259+K259+L259+M259)/2&gt;=70,4,IF((J259+K259+L259+M259)/2&gt;=60,3.5,IF((J259+K259+L259+M259)/2&gt;=50,3,IF((J259+K259+L259+M259)/2&gt;=40,2,IF((J259+K259+L259+M259)/2&gt;=33,1,0)))))))</f>
        <v/>
      </c>
      <c r="AH259">
        <f>IF(Z259,0,IF(N259+O259&gt;=80,5,IF(N259+O259&gt;=70,4,IF(N259+O259&gt;=60,3.5,IF(N259+O259&gt;=50,3,IF(N259+O259&gt;=40,2,IF(N259+O259&gt;=33,1,0)))))))</f>
        <v/>
      </c>
      <c r="AI259">
        <f>IF(AA259,0,IF(P259+Q259&gt;=80,5,IF(P259+Q259&gt;=70,4,IF(P259+Q259&gt;=60,3.5,IF(P259+Q259&gt;=50,3,IF(P259+Q259&gt;=40,2,IF(P259+Q259&gt;=33,1,0)))))))</f>
        <v/>
      </c>
      <c r="AJ259">
        <f>IF(R259&lt;8.25,0,IF(R259*2&gt;=80,5,IF(R259*2&gt;=70,4,IF(R259*2&gt;=60,3.5,IF(R259*2&gt;=50,3,IF(R259*2&gt;=40,2,IF(R259*2&gt;=33,1,0)))))))</f>
        <v/>
      </c>
      <c r="AK259">
        <f>IF(S259&lt;33,0,IF(S259&gt;=80,5,IF(S259&gt;=70,4,IF(S259&gt;=60,3.5,IF(S259&gt;=50,3,IF(S259&gt;=40,2,IF(S259&gt;=33,1,0)))))))</f>
        <v/>
      </c>
      <c r="AL259">
        <f>(AC259+AD259+AE259+AF259+AG259+AH259+AI259+AJ259)/8</f>
        <v/>
      </c>
      <c r="AM259">
        <f>IF(AK259&gt;=2,(AK259-2)/8,0)</f>
        <v/>
      </c>
    </row>
    <row r="260">
      <c r="T260">
        <f>SUM(C260:R260)</f>
        <v/>
      </c>
      <c r="U260" s="6">
        <f>ROUND(T260/11.5,2)</f>
        <v/>
      </c>
      <c r="V260" s="7">
        <f>IF(B260="","",IF(AB260,0,ROUND(AL260,2)))</f>
        <v/>
      </c>
      <c r="W260" s="7">
        <f>IF(B260="","",IF(AB260,0,MIN(5,ROUND(AL260+AM260,2))))</f>
        <v/>
      </c>
      <c r="X260" s="8">
        <f>IF(B260="","",IF(W260&gt;=5,"A+",IF(W260&gt;=4,"A",IF(W260&gt;=3.5,"A-",IF(W260&gt;=3,"B",IF(W260&gt;=2,"C",IF(W260&gt;=1,"D","F")))))))</f>
        <v/>
      </c>
      <c r="Y260">
        <f>NOT(OR(AND(J260&gt;=10,K260&gt;=23,L260&gt;=10,M260&gt;=23),AND(J260+L260&gt;=20,K260+M260&gt;=46)))</f>
        <v/>
      </c>
      <c r="Z260">
        <f>OR(N260&lt;10,O260&lt;23)</f>
        <v/>
      </c>
      <c r="AA260">
        <f>OR(P260&lt;10,Q260&lt;23)</f>
        <v/>
      </c>
      <c r="AB260">
        <f>OR((C260+D260)&lt;66,(E260+F260)&lt;66,G260&lt;33,(H260+I260)&lt;66,Y260,Z260,AA260,R260&lt;8.25)</f>
        <v/>
      </c>
      <c r="AC260">
        <f>IF(C260+D260&lt;66,0,IF((C260+D260)/2&gt;=80,5,IF((C260+D260)/2&gt;=70,4,IF((C260+D260)/2&gt;=60,3.5,IF((C260+D260)/2&gt;=50,3,IF((C260+D260)/2&gt;=40,2,IF((C260+D260)/2&gt;=33,1,0)))))))</f>
        <v/>
      </c>
      <c r="AD260">
        <f>IF(E260+F260&lt;66,0,IF((E260+F260)/2&gt;=80,5,IF((E260+F260)/2&gt;=70,4,IF((E260+F260)/2&gt;=60,3.5,IF((E260+F260)/2&gt;=50,3,IF((E260+F260)/2&gt;=40,2,IF((E260+F260)/2&gt;=33,1,0)))))))</f>
        <v/>
      </c>
      <c r="AE260">
        <f>IF(G260&lt;33,0,IF(G260&gt;=80,5,IF(G260&gt;=70,4,IF(G260&gt;=60,3.5,IF(G260&gt;=50,3,IF(G260&gt;=40,2,IF(G260&gt;=33,1,0)))))))</f>
        <v/>
      </c>
      <c r="AF260">
        <f>IF(H260+I260&lt;66,0,IF((H260+I260)/2&gt;=80,5,IF((H260+I260)/2&gt;=70,4,IF((H260+I260)/2&gt;=60,3.5,IF((H260+I260)/2&gt;=50,3,IF((H260+I260)/2&gt;=40,2,IF((H260+I260)/2&gt;=33,1,0)))))))</f>
        <v/>
      </c>
      <c r="AG260">
        <f>IF(Y260,0,IF((J260+K260+L260+M260)/2&gt;=80,5,IF((J260+K260+L260+M260)/2&gt;=70,4,IF((J260+K260+L260+M260)/2&gt;=60,3.5,IF((J260+K260+L260+M260)/2&gt;=50,3,IF((J260+K260+L260+M260)/2&gt;=40,2,IF((J260+K260+L260+M260)/2&gt;=33,1,0)))))))</f>
        <v/>
      </c>
      <c r="AH260">
        <f>IF(Z260,0,IF(N260+O260&gt;=80,5,IF(N260+O260&gt;=70,4,IF(N260+O260&gt;=60,3.5,IF(N260+O260&gt;=50,3,IF(N260+O260&gt;=40,2,IF(N260+O260&gt;=33,1,0)))))))</f>
        <v/>
      </c>
      <c r="AI260">
        <f>IF(AA260,0,IF(P260+Q260&gt;=80,5,IF(P260+Q260&gt;=70,4,IF(P260+Q260&gt;=60,3.5,IF(P260+Q260&gt;=50,3,IF(P260+Q260&gt;=40,2,IF(P260+Q260&gt;=33,1,0)))))))</f>
        <v/>
      </c>
      <c r="AJ260">
        <f>IF(R260&lt;8.25,0,IF(R260*2&gt;=80,5,IF(R260*2&gt;=70,4,IF(R260*2&gt;=60,3.5,IF(R260*2&gt;=50,3,IF(R260*2&gt;=40,2,IF(R260*2&gt;=33,1,0)))))))</f>
        <v/>
      </c>
      <c r="AK260">
        <f>IF(S260&lt;33,0,IF(S260&gt;=80,5,IF(S260&gt;=70,4,IF(S260&gt;=60,3.5,IF(S260&gt;=50,3,IF(S260&gt;=40,2,IF(S260&gt;=33,1,0)))))))</f>
        <v/>
      </c>
      <c r="AL260">
        <f>(AC260+AD260+AE260+AF260+AG260+AH260+AI260+AJ260)/8</f>
        <v/>
      </c>
      <c r="AM260">
        <f>IF(AK260&gt;=2,(AK260-2)/8,0)</f>
        <v/>
      </c>
    </row>
    <row r="261">
      <c r="T261">
        <f>SUM(C261:R261)</f>
        <v/>
      </c>
      <c r="U261" s="6">
        <f>ROUND(T261/11.5,2)</f>
        <v/>
      </c>
      <c r="V261" s="7">
        <f>IF(B261="","",IF(AB261,0,ROUND(AL261,2)))</f>
        <v/>
      </c>
      <c r="W261" s="7">
        <f>IF(B261="","",IF(AB261,0,MIN(5,ROUND(AL261+AM261,2))))</f>
        <v/>
      </c>
      <c r="X261" s="8">
        <f>IF(B261="","",IF(W261&gt;=5,"A+",IF(W261&gt;=4,"A",IF(W261&gt;=3.5,"A-",IF(W261&gt;=3,"B",IF(W261&gt;=2,"C",IF(W261&gt;=1,"D","F")))))))</f>
        <v/>
      </c>
      <c r="Y261">
        <f>NOT(OR(AND(J261&gt;=10,K261&gt;=23,L261&gt;=10,M261&gt;=23),AND(J261+L261&gt;=20,K261+M261&gt;=46)))</f>
        <v/>
      </c>
      <c r="Z261">
        <f>OR(N261&lt;10,O261&lt;23)</f>
        <v/>
      </c>
      <c r="AA261">
        <f>OR(P261&lt;10,Q261&lt;23)</f>
        <v/>
      </c>
      <c r="AB261">
        <f>OR((C261+D261)&lt;66,(E261+F261)&lt;66,G261&lt;33,(H261+I261)&lt;66,Y261,Z261,AA261,R261&lt;8.25)</f>
        <v/>
      </c>
      <c r="AC261">
        <f>IF(C261+D261&lt;66,0,IF((C261+D261)/2&gt;=80,5,IF((C261+D261)/2&gt;=70,4,IF((C261+D261)/2&gt;=60,3.5,IF((C261+D261)/2&gt;=50,3,IF((C261+D261)/2&gt;=40,2,IF((C261+D261)/2&gt;=33,1,0)))))))</f>
        <v/>
      </c>
      <c r="AD261">
        <f>IF(E261+F261&lt;66,0,IF((E261+F261)/2&gt;=80,5,IF((E261+F261)/2&gt;=70,4,IF((E261+F261)/2&gt;=60,3.5,IF((E261+F261)/2&gt;=50,3,IF((E261+F261)/2&gt;=40,2,IF((E261+F261)/2&gt;=33,1,0)))))))</f>
        <v/>
      </c>
      <c r="AE261">
        <f>IF(G261&lt;33,0,IF(G261&gt;=80,5,IF(G261&gt;=70,4,IF(G261&gt;=60,3.5,IF(G261&gt;=50,3,IF(G261&gt;=40,2,IF(G261&gt;=33,1,0)))))))</f>
        <v/>
      </c>
      <c r="AF261">
        <f>IF(H261+I261&lt;66,0,IF((H261+I261)/2&gt;=80,5,IF((H261+I261)/2&gt;=70,4,IF((H261+I261)/2&gt;=60,3.5,IF((H261+I261)/2&gt;=50,3,IF((H261+I261)/2&gt;=40,2,IF((H261+I261)/2&gt;=33,1,0)))))))</f>
        <v/>
      </c>
      <c r="AG261">
        <f>IF(Y261,0,IF((J261+K261+L261+M261)/2&gt;=80,5,IF((J261+K261+L261+M261)/2&gt;=70,4,IF((J261+K261+L261+M261)/2&gt;=60,3.5,IF((J261+K261+L261+M261)/2&gt;=50,3,IF((J261+K261+L261+M261)/2&gt;=40,2,IF((J261+K261+L261+M261)/2&gt;=33,1,0)))))))</f>
        <v/>
      </c>
      <c r="AH261">
        <f>IF(Z261,0,IF(N261+O261&gt;=80,5,IF(N261+O261&gt;=70,4,IF(N261+O261&gt;=60,3.5,IF(N261+O261&gt;=50,3,IF(N261+O261&gt;=40,2,IF(N261+O261&gt;=33,1,0)))))))</f>
        <v/>
      </c>
      <c r="AI261">
        <f>IF(AA261,0,IF(P261+Q261&gt;=80,5,IF(P261+Q261&gt;=70,4,IF(P261+Q261&gt;=60,3.5,IF(P261+Q261&gt;=50,3,IF(P261+Q261&gt;=40,2,IF(P261+Q261&gt;=33,1,0)))))))</f>
        <v/>
      </c>
      <c r="AJ261">
        <f>IF(R261&lt;8.25,0,IF(R261*2&gt;=80,5,IF(R261*2&gt;=70,4,IF(R261*2&gt;=60,3.5,IF(R261*2&gt;=50,3,IF(R261*2&gt;=40,2,IF(R261*2&gt;=33,1,0)))))))</f>
        <v/>
      </c>
      <c r="AK261">
        <f>IF(S261&lt;33,0,IF(S261&gt;=80,5,IF(S261&gt;=70,4,IF(S261&gt;=60,3.5,IF(S261&gt;=50,3,IF(S261&gt;=40,2,IF(S261&gt;=33,1,0)))))))</f>
        <v/>
      </c>
      <c r="AL261">
        <f>(AC261+AD261+AE261+AF261+AG261+AH261+AI261+AJ261)/8</f>
        <v/>
      </c>
      <c r="AM261">
        <f>IF(AK261&gt;=2,(AK261-2)/8,0)</f>
        <v/>
      </c>
    </row>
    <row r="262">
      <c r="T262">
        <f>SUM(C262:R262)</f>
        <v/>
      </c>
      <c r="U262" s="6">
        <f>ROUND(T262/11.5,2)</f>
        <v/>
      </c>
      <c r="V262" s="7">
        <f>IF(B262="","",IF(AB262,0,ROUND(AL262,2)))</f>
        <v/>
      </c>
      <c r="W262" s="7">
        <f>IF(B262="","",IF(AB262,0,MIN(5,ROUND(AL262+AM262,2))))</f>
        <v/>
      </c>
      <c r="X262" s="8">
        <f>IF(B262="","",IF(W262&gt;=5,"A+",IF(W262&gt;=4,"A",IF(W262&gt;=3.5,"A-",IF(W262&gt;=3,"B",IF(W262&gt;=2,"C",IF(W262&gt;=1,"D","F")))))))</f>
        <v/>
      </c>
      <c r="Y262">
        <f>NOT(OR(AND(J262&gt;=10,K262&gt;=23,L262&gt;=10,M262&gt;=23),AND(J262+L262&gt;=20,K262+M262&gt;=46)))</f>
        <v/>
      </c>
      <c r="Z262">
        <f>OR(N262&lt;10,O262&lt;23)</f>
        <v/>
      </c>
      <c r="AA262">
        <f>OR(P262&lt;10,Q262&lt;23)</f>
        <v/>
      </c>
      <c r="AB262">
        <f>OR((C262+D262)&lt;66,(E262+F262)&lt;66,G262&lt;33,(H262+I262)&lt;66,Y262,Z262,AA262,R262&lt;8.25)</f>
        <v/>
      </c>
      <c r="AC262">
        <f>IF(C262+D262&lt;66,0,IF((C262+D262)/2&gt;=80,5,IF((C262+D262)/2&gt;=70,4,IF((C262+D262)/2&gt;=60,3.5,IF((C262+D262)/2&gt;=50,3,IF((C262+D262)/2&gt;=40,2,IF((C262+D262)/2&gt;=33,1,0)))))))</f>
        <v/>
      </c>
      <c r="AD262">
        <f>IF(E262+F262&lt;66,0,IF((E262+F262)/2&gt;=80,5,IF((E262+F262)/2&gt;=70,4,IF((E262+F262)/2&gt;=60,3.5,IF((E262+F262)/2&gt;=50,3,IF((E262+F262)/2&gt;=40,2,IF((E262+F262)/2&gt;=33,1,0)))))))</f>
        <v/>
      </c>
      <c r="AE262">
        <f>IF(G262&lt;33,0,IF(G262&gt;=80,5,IF(G262&gt;=70,4,IF(G262&gt;=60,3.5,IF(G262&gt;=50,3,IF(G262&gt;=40,2,IF(G262&gt;=33,1,0)))))))</f>
        <v/>
      </c>
      <c r="AF262">
        <f>IF(H262+I262&lt;66,0,IF((H262+I262)/2&gt;=80,5,IF((H262+I262)/2&gt;=70,4,IF((H262+I262)/2&gt;=60,3.5,IF((H262+I262)/2&gt;=50,3,IF((H262+I262)/2&gt;=40,2,IF((H262+I262)/2&gt;=33,1,0)))))))</f>
        <v/>
      </c>
      <c r="AG262">
        <f>IF(Y262,0,IF((J262+K262+L262+M262)/2&gt;=80,5,IF((J262+K262+L262+M262)/2&gt;=70,4,IF((J262+K262+L262+M262)/2&gt;=60,3.5,IF((J262+K262+L262+M262)/2&gt;=50,3,IF((J262+K262+L262+M262)/2&gt;=40,2,IF((J262+K262+L262+M262)/2&gt;=33,1,0)))))))</f>
        <v/>
      </c>
      <c r="AH262">
        <f>IF(Z262,0,IF(N262+O262&gt;=80,5,IF(N262+O262&gt;=70,4,IF(N262+O262&gt;=60,3.5,IF(N262+O262&gt;=50,3,IF(N262+O262&gt;=40,2,IF(N262+O262&gt;=33,1,0)))))))</f>
        <v/>
      </c>
      <c r="AI262">
        <f>IF(AA262,0,IF(P262+Q262&gt;=80,5,IF(P262+Q262&gt;=70,4,IF(P262+Q262&gt;=60,3.5,IF(P262+Q262&gt;=50,3,IF(P262+Q262&gt;=40,2,IF(P262+Q262&gt;=33,1,0)))))))</f>
        <v/>
      </c>
      <c r="AJ262">
        <f>IF(R262&lt;8.25,0,IF(R262*2&gt;=80,5,IF(R262*2&gt;=70,4,IF(R262*2&gt;=60,3.5,IF(R262*2&gt;=50,3,IF(R262*2&gt;=40,2,IF(R262*2&gt;=33,1,0)))))))</f>
        <v/>
      </c>
      <c r="AK262">
        <f>IF(S262&lt;33,0,IF(S262&gt;=80,5,IF(S262&gt;=70,4,IF(S262&gt;=60,3.5,IF(S262&gt;=50,3,IF(S262&gt;=40,2,IF(S262&gt;=33,1,0)))))))</f>
        <v/>
      </c>
      <c r="AL262">
        <f>(AC262+AD262+AE262+AF262+AG262+AH262+AI262+AJ262)/8</f>
        <v/>
      </c>
      <c r="AM262">
        <f>IF(AK262&gt;=2,(AK262-2)/8,0)</f>
        <v/>
      </c>
    </row>
    <row r="263">
      <c r="T263">
        <f>SUM(C263:R263)</f>
        <v/>
      </c>
      <c r="U263" s="6">
        <f>ROUND(T263/11.5,2)</f>
        <v/>
      </c>
      <c r="V263" s="7">
        <f>IF(B263="","",IF(AB263,0,ROUND(AL263,2)))</f>
        <v/>
      </c>
      <c r="W263" s="7">
        <f>IF(B263="","",IF(AB263,0,MIN(5,ROUND(AL263+AM263,2))))</f>
        <v/>
      </c>
      <c r="X263" s="8">
        <f>IF(B263="","",IF(W263&gt;=5,"A+",IF(W263&gt;=4,"A",IF(W263&gt;=3.5,"A-",IF(W263&gt;=3,"B",IF(W263&gt;=2,"C",IF(W263&gt;=1,"D","F")))))))</f>
        <v/>
      </c>
      <c r="Y263">
        <f>NOT(OR(AND(J263&gt;=10,K263&gt;=23,L263&gt;=10,M263&gt;=23),AND(J263+L263&gt;=20,K263+M263&gt;=46)))</f>
        <v/>
      </c>
      <c r="Z263">
        <f>OR(N263&lt;10,O263&lt;23)</f>
        <v/>
      </c>
      <c r="AA263">
        <f>OR(P263&lt;10,Q263&lt;23)</f>
        <v/>
      </c>
      <c r="AB263">
        <f>OR((C263+D263)&lt;66,(E263+F263)&lt;66,G263&lt;33,(H263+I263)&lt;66,Y263,Z263,AA263,R263&lt;8.25)</f>
        <v/>
      </c>
      <c r="AC263">
        <f>IF(C263+D263&lt;66,0,IF((C263+D263)/2&gt;=80,5,IF((C263+D263)/2&gt;=70,4,IF((C263+D263)/2&gt;=60,3.5,IF((C263+D263)/2&gt;=50,3,IF((C263+D263)/2&gt;=40,2,IF((C263+D263)/2&gt;=33,1,0)))))))</f>
        <v/>
      </c>
      <c r="AD263">
        <f>IF(E263+F263&lt;66,0,IF((E263+F263)/2&gt;=80,5,IF((E263+F263)/2&gt;=70,4,IF((E263+F263)/2&gt;=60,3.5,IF((E263+F263)/2&gt;=50,3,IF((E263+F263)/2&gt;=40,2,IF((E263+F263)/2&gt;=33,1,0)))))))</f>
        <v/>
      </c>
      <c r="AE263">
        <f>IF(G263&lt;33,0,IF(G263&gt;=80,5,IF(G263&gt;=70,4,IF(G263&gt;=60,3.5,IF(G263&gt;=50,3,IF(G263&gt;=40,2,IF(G263&gt;=33,1,0)))))))</f>
        <v/>
      </c>
      <c r="AF263">
        <f>IF(H263+I263&lt;66,0,IF((H263+I263)/2&gt;=80,5,IF((H263+I263)/2&gt;=70,4,IF((H263+I263)/2&gt;=60,3.5,IF((H263+I263)/2&gt;=50,3,IF((H263+I263)/2&gt;=40,2,IF((H263+I263)/2&gt;=33,1,0)))))))</f>
        <v/>
      </c>
      <c r="AG263">
        <f>IF(Y263,0,IF((J263+K263+L263+M263)/2&gt;=80,5,IF((J263+K263+L263+M263)/2&gt;=70,4,IF((J263+K263+L263+M263)/2&gt;=60,3.5,IF((J263+K263+L263+M263)/2&gt;=50,3,IF((J263+K263+L263+M263)/2&gt;=40,2,IF((J263+K263+L263+M263)/2&gt;=33,1,0)))))))</f>
        <v/>
      </c>
      <c r="AH263">
        <f>IF(Z263,0,IF(N263+O263&gt;=80,5,IF(N263+O263&gt;=70,4,IF(N263+O263&gt;=60,3.5,IF(N263+O263&gt;=50,3,IF(N263+O263&gt;=40,2,IF(N263+O263&gt;=33,1,0)))))))</f>
        <v/>
      </c>
      <c r="AI263">
        <f>IF(AA263,0,IF(P263+Q263&gt;=80,5,IF(P263+Q263&gt;=70,4,IF(P263+Q263&gt;=60,3.5,IF(P263+Q263&gt;=50,3,IF(P263+Q263&gt;=40,2,IF(P263+Q263&gt;=33,1,0)))))))</f>
        <v/>
      </c>
      <c r="AJ263">
        <f>IF(R263&lt;8.25,0,IF(R263*2&gt;=80,5,IF(R263*2&gt;=70,4,IF(R263*2&gt;=60,3.5,IF(R263*2&gt;=50,3,IF(R263*2&gt;=40,2,IF(R263*2&gt;=33,1,0)))))))</f>
        <v/>
      </c>
      <c r="AK263">
        <f>IF(S263&lt;33,0,IF(S263&gt;=80,5,IF(S263&gt;=70,4,IF(S263&gt;=60,3.5,IF(S263&gt;=50,3,IF(S263&gt;=40,2,IF(S263&gt;=33,1,0)))))))</f>
        <v/>
      </c>
      <c r="AL263">
        <f>(AC263+AD263+AE263+AF263+AG263+AH263+AI263+AJ263)/8</f>
        <v/>
      </c>
      <c r="AM263">
        <f>IF(AK263&gt;=2,(AK263-2)/8,0)</f>
        <v/>
      </c>
    </row>
    <row r="264">
      <c r="T264">
        <f>SUM(C264:R264)</f>
        <v/>
      </c>
      <c r="U264" s="6">
        <f>ROUND(T264/11.5,2)</f>
        <v/>
      </c>
      <c r="V264" s="7">
        <f>IF(B264="","",IF(AB264,0,ROUND(AL264,2)))</f>
        <v/>
      </c>
      <c r="W264" s="7">
        <f>IF(B264="","",IF(AB264,0,MIN(5,ROUND(AL264+AM264,2))))</f>
        <v/>
      </c>
      <c r="X264" s="8">
        <f>IF(B264="","",IF(W264&gt;=5,"A+",IF(W264&gt;=4,"A",IF(W264&gt;=3.5,"A-",IF(W264&gt;=3,"B",IF(W264&gt;=2,"C",IF(W264&gt;=1,"D","F")))))))</f>
        <v/>
      </c>
      <c r="Y264">
        <f>NOT(OR(AND(J264&gt;=10,K264&gt;=23,L264&gt;=10,M264&gt;=23),AND(J264+L264&gt;=20,K264+M264&gt;=46)))</f>
        <v/>
      </c>
      <c r="Z264">
        <f>OR(N264&lt;10,O264&lt;23)</f>
        <v/>
      </c>
      <c r="AA264">
        <f>OR(P264&lt;10,Q264&lt;23)</f>
        <v/>
      </c>
      <c r="AB264">
        <f>OR((C264+D264)&lt;66,(E264+F264)&lt;66,G264&lt;33,(H264+I264)&lt;66,Y264,Z264,AA264,R264&lt;8.25)</f>
        <v/>
      </c>
      <c r="AC264">
        <f>IF(C264+D264&lt;66,0,IF((C264+D264)/2&gt;=80,5,IF((C264+D264)/2&gt;=70,4,IF((C264+D264)/2&gt;=60,3.5,IF((C264+D264)/2&gt;=50,3,IF((C264+D264)/2&gt;=40,2,IF((C264+D264)/2&gt;=33,1,0)))))))</f>
        <v/>
      </c>
      <c r="AD264">
        <f>IF(E264+F264&lt;66,0,IF((E264+F264)/2&gt;=80,5,IF((E264+F264)/2&gt;=70,4,IF((E264+F264)/2&gt;=60,3.5,IF((E264+F264)/2&gt;=50,3,IF((E264+F264)/2&gt;=40,2,IF((E264+F264)/2&gt;=33,1,0)))))))</f>
        <v/>
      </c>
      <c r="AE264">
        <f>IF(G264&lt;33,0,IF(G264&gt;=80,5,IF(G264&gt;=70,4,IF(G264&gt;=60,3.5,IF(G264&gt;=50,3,IF(G264&gt;=40,2,IF(G264&gt;=33,1,0)))))))</f>
        <v/>
      </c>
      <c r="AF264">
        <f>IF(H264+I264&lt;66,0,IF((H264+I264)/2&gt;=80,5,IF((H264+I264)/2&gt;=70,4,IF((H264+I264)/2&gt;=60,3.5,IF((H264+I264)/2&gt;=50,3,IF((H264+I264)/2&gt;=40,2,IF((H264+I264)/2&gt;=33,1,0)))))))</f>
        <v/>
      </c>
      <c r="AG264">
        <f>IF(Y264,0,IF((J264+K264+L264+M264)/2&gt;=80,5,IF((J264+K264+L264+M264)/2&gt;=70,4,IF((J264+K264+L264+M264)/2&gt;=60,3.5,IF((J264+K264+L264+M264)/2&gt;=50,3,IF((J264+K264+L264+M264)/2&gt;=40,2,IF((J264+K264+L264+M264)/2&gt;=33,1,0)))))))</f>
        <v/>
      </c>
      <c r="AH264">
        <f>IF(Z264,0,IF(N264+O264&gt;=80,5,IF(N264+O264&gt;=70,4,IF(N264+O264&gt;=60,3.5,IF(N264+O264&gt;=50,3,IF(N264+O264&gt;=40,2,IF(N264+O264&gt;=33,1,0)))))))</f>
        <v/>
      </c>
      <c r="AI264">
        <f>IF(AA264,0,IF(P264+Q264&gt;=80,5,IF(P264+Q264&gt;=70,4,IF(P264+Q264&gt;=60,3.5,IF(P264+Q264&gt;=50,3,IF(P264+Q264&gt;=40,2,IF(P264+Q264&gt;=33,1,0)))))))</f>
        <v/>
      </c>
      <c r="AJ264">
        <f>IF(R264&lt;8.25,0,IF(R264*2&gt;=80,5,IF(R264*2&gt;=70,4,IF(R264*2&gt;=60,3.5,IF(R264*2&gt;=50,3,IF(R264*2&gt;=40,2,IF(R264*2&gt;=33,1,0)))))))</f>
        <v/>
      </c>
      <c r="AK264">
        <f>IF(S264&lt;33,0,IF(S264&gt;=80,5,IF(S264&gt;=70,4,IF(S264&gt;=60,3.5,IF(S264&gt;=50,3,IF(S264&gt;=40,2,IF(S264&gt;=33,1,0)))))))</f>
        <v/>
      </c>
      <c r="AL264">
        <f>(AC264+AD264+AE264+AF264+AG264+AH264+AI264+AJ264)/8</f>
        <v/>
      </c>
      <c r="AM264">
        <f>IF(AK264&gt;=2,(AK264-2)/8,0)</f>
        <v/>
      </c>
    </row>
    <row r="265">
      <c r="T265">
        <f>SUM(C265:R265)</f>
        <v/>
      </c>
      <c r="U265" s="6">
        <f>ROUND(T265/11.5,2)</f>
        <v/>
      </c>
      <c r="V265" s="7">
        <f>IF(B265="","",IF(AB265,0,ROUND(AL265,2)))</f>
        <v/>
      </c>
      <c r="W265" s="7">
        <f>IF(B265="","",IF(AB265,0,MIN(5,ROUND(AL265+AM265,2))))</f>
        <v/>
      </c>
      <c r="X265" s="8">
        <f>IF(B265="","",IF(W265&gt;=5,"A+",IF(W265&gt;=4,"A",IF(W265&gt;=3.5,"A-",IF(W265&gt;=3,"B",IF(W265&gt;=2,"C",IF(W265&gt;=1,"D","F")))))))</f>
        <v/>
      </c>
      <c r="Y265">
        <f>NOT(OR(AND(J265&gt;=10,K265&gt;=23,L265&gt;=10,M265&gt;=23),AND(J265+L265&gt;=20,K265+M265&gt;=46)))</f>
        <v/>
      </c>
      <c r="Z265">
        <f>OR(N265&lt;10,O265&lt;23)</f>
        <v/>
      </c>
      <c r="AA265">
        <f>OR(P265&lt;10,Q265&lt;23)</f>
        <v/>
      </c>
      <c r="AB265">
        <f>OR((C265+D265)&lt;66,(E265+F265)&lt;66,G265&lt;33,(H265+I265)&lt;66,Y265,Z265,AA265,R265&lt;8.25)</f>
        <v/>
      </c>
      <c r="AC265">
        <f>IF(C265+D265&lt;66,0,IF((C265+D265)/2&gt;=80,5,IF((C265+D265)/2&gt;=70,4,IF((C265+D265)/2&gt;=60,3.5,IF((C265+D265)/2&gt;=50,3,IF((C265+D265)/2&gt;=40,2,IF((C265+D265)/2&gt;=33,1,0)))))))</f>
        <v/>
      </c>
      <c r="AD265">
        <f>IF(E265+F265&lt;66,0,IF((E265+F265)/2&gt;=80,5,IF((E265+F265)/2&gt;=70,4,IF((E265+F265)/2&gt;=60,3.5,IF((E265+F265)/2&gt;=50,3,IF((E265+F265)/2&gt;=40,2,IF((E265+F265)/2&gt;=33,1,0)))))))</f>
        <v/>
      </c>
      <c r="AE265">
        <f>IF(G265&lt;33,0,IF(G265&gt;=80,5,IF(G265&gt;=70,4,IF(G265&gt;=60,3.5,IF(G265&gt;=50,3,IF(G265&gt;=40,2,IF(G265&gt;=33,1,0)))))))</f>
        <v/>
      </c>
      <c r="AF265">
        <f>IF(H265+I265&lt;66,0,IF((H265+I265)/2&gt;=80,5,IF((H265+I265)/2&gt;=70,4,IF((H265+I265)/2&gt;=60,3.5,IF((H265+I265)/2&gt;=50,3,IF((H265+I265)/2&gt;=40,2,IF((H265+I265)/2&gt;=33,1,0)))))))</f>
        <v/>
      </c>
      <c r="AG265">
        <f>IF(Y265,0,IF((J265+K265+L265+M265)/2&gt;=80,5,IF((J265+K265+L265+M265)/2&gt;=70,4,IF((J265+K265+L265+M265)/2&gt;=60,3.5,IF((J265+K265+L265+M265)/2&gt;=50,3,IF((J265+K265+L265+M265)/2&gt;=40,2,IF((J265+K265+L265+M265)/2&gt;=33,1,0)))))))</f>
        <v/>
      </c>
      <c r="AH265">
        <f>IF(Z265,0,IF(N265+O265&gt;=80,5,IF(N265+O265&gt;=70,4,IF(N265+O265&gt;=60,3.5,IF(N265+O265&gt;=50,3,IF(N265+O265&gt;=40,2,IF(N265+O265&gt;=33,1,0)))))))</f>
        <v/>
      </c>
      <c r="AI265">
        <f>IF(AA265,0,IF(P265+Q265&gt;=80,5,IF(P265+Q265&gt;=70,4,IF(P265+Q265&gt;=60,3.5,IF(P265+Q265&gt;=50,3,IF(P265+Q265&gt;=40,2,IF(P265+Q265&gt;=33,1,0)))))))</f>
        <v/>
      </c>
      <c r="AJ265">
        <f>IF(R265&lt;8.25,0,IF(R265*2&gt;=80,5,IF(R265*2&gt;=70,4,IF(R265*2&gt;=60,3.5,IF(R265*2&gt;=50,3,IF(R265*2&gt;=40,2,IF(R265*2&gt;=33,1,0)))))))</f>
        <v/>
      </c>
      <c r="AK265">
        <f>IF(S265&lt;33,0,IF(S265&gt;=80,5,IF(S265&gt;=70,4,IF(S265&gt;=60,3.5,IF(S265&gt;=50,3,IF(S265&gt;=40,2,IF(S265&gt;=33,1,0)))))))</f>
        <v/>
      </c>
      <c r="AL265">
        <f>(AC265+AD265+AE265+AF265+AG265+AH265+AI265+AJ265)/8</f>
        <v/>
      </c>
      <c r="AM265">
        <f>IF(AK265&gt;=2,(AK265-2)/8,0)</f>
        <v/>
      </c>
    </row>
    <row r="266">
      <c r="T266">
        <f>SUM(C266:R266)</f>
        <v/>
      </c>
      <c r="U266" s="6">
        <f>ROUND(T266/11.5,2)</f>
        <v/>
      </c>
      <c r="V266" s="7">
        <f>IF(B266="","",IF(AB266,0,ROUND(AL266,2)))</f>
        <v/>
      </c>
      <c r="W266" s="7">
        <f>IF(B266="","",IF(AB266,0,MIN(5,ROUND(AL266+AM266,2))))</f>
        <v/>
      </c>
      <c r="X266" s="8">
        <f>IF(B266="","",IF(W266&gt;=5,"A+",IF(W266&gt;=4,"A",IF(W266&gt;=3.5,"A-",IF(W266&gt;=3,"B",IF(W266&gt;=2,"C",IF(W266&gt;=1,"D","F")))))))</f>
        <v/>
      </c>
      <c r="Y266">
        <f>NOT(OR(AND(J266&gt;=10,K266&gt;=23,L266&gt;=10,M266&gt;=23),AND(J266+L266&gt;=20,K266+M266&gt;=46)))</f>
        <v/>
      </c>
      <c r="Z266">
        <f>OR(N266&lt;10,O266&lt;23)</f>
        <v/>
      </c>
      <c r="AA266">
        <f>OR(P266&lt;10,Q266&lt;23)</f>
        <v/>
      </c>
      <c r="AB266">
        <f>OR((C266+D266)&lt;66,(E266+F266)&lt;66,G266&lt;33,(H266+I266)&lt;66,Y266,Z266,AA266,R266&lt;8.25)</f>
        <v/>
      </c>
      <c r="AC266">
        <f>IF(C266+D266&lt;66,0,IF((C266+D266)/2&gt;=80,5,IF((C266+D266)/2&gt;=70,4,IF((C266+D266)/2&gt;=60,3.5,IF((C266+D266)/2&gt;=50,3,IF((C266+D266)/2&gt;=40,2,IF((C266+D266)/2&gt;=33,1,0)))))))</f>
        <v/>
      </c>
      <c r="AD266">
        <f>IF(E266+F266&lt;66,0,IF((E266+F266)/2&gt;=80,5,IF((E266+F266)/2&gt;=70,4,IF((E266+F266)/2&gt;=60,3.5,IF((E266+F266)/2&gt;=50,3,IF((E266+F266)/2&gt;=40,2,IF((E266+F266)/2&gt;=33,1,0)))))))</f>
        <v/>
      </c>
      <c r="AE266">
        <f>IF(G266&lt;33,0,IF(G266&gt;=80,5,IF(G266&gt;=70,4,IF(G266&gt;=60,3.5,IF(G266&gt;=50,3,IF(G266&gt;=40,2,IF(G266&gt;=33,1,0)))))))</f>
        <v/>
      </c>
      <c r="AF266">
        <f>IF(H266+I266&lt;66,0,IF((H266+I266)/2&gt;=80,5,IF((H266+I266)/2&gt;=70,4,IF((H266+I266)/2&gt;=60,3.5,IF((H266+I266)/2&gt;=50,3,IF((H266+I266)/2&gt;=40,2,IF((H266+I266)/2&gt;=33,1,0)))))))</f>
        <v/>
      </c>
      <c r="AG266">
        <f>IF(Y266,0,IF((J266+K266+L266+M266)/2&gt;=80,5,IF((J266+K266+L266+M266)/2&gt;=70,4,IF((J266+K266+L266+M266)/2&gt;=60,3.5,IF((J266+K266+L266+M266)/2&gt;=50,3,IF((J266+K266+L266+M266)/2&gt;=40,2,IF((J266+K266+L266+M266)/2&gt;=33,1,0)))))))</f>
        <v/>
      </c>
      <c r="AH266">
        <f>IF(Z266,0,IF(N266+O266&gt;=80,5,IF(N266+O266&gt;=70,4,IF(N266+O266&gt;=60,3.5,IF(N266+O266&gt;=50,3,IF(N266+O266&gt;=40,2,IF(N266+O266&gt;=33,1,0)))))))</f>
        <v/>
      </c>
      <c r="AI266">
        <f>IF(AA266,0,IF(P266+Q266&gt;=80,5,IF(P266+Q266&gt;=70,4,IF(P266+Q266&gt;=60,3.5,IF(P266+Q266&gt;=50,3,IF(P266+Q266&gt;=40,2,IF(P266+Q266&gt;=33,1,0)))))))</f>
        <v/>
      </c>
      <c r="AJ266">
        <f>IF(R266&lt;8.25,0,IF(R266*2&gt;=80,5,IF(R266*2&gt;=70,4,IF(R266*2&gt;=60,3.5,IF(R266*2&gt;=50,3,IF(R266*2&gt;=40,2,IF(R266*2&gt;=33,1,0)))))))</f>
        <v/>
      </c>
      <c r="AK266">
        <f>IF(S266&lt;33,0,IF(S266&gt;=80,5,IF(S266&gt;=70,4,IF(S266&gt;=60,3.5,IF(S266&gt;=50,3,IF(S266&gt;=40,2,IF(S266&gt;=33,1,0)))))))</f>
        <v/>
      </c>
      <c r="AL266">
        <f>(AC266+AD266+AE266+AF266+AG266+AH266+AI266+AJ266)/8</f>
        <v/>
      </c>
      <c r="AM266">
        <f>IF(AK266&gt;=2,(AK266-2)/8,0)</f>
        <v/>
      </c>
    </row>
    <row r="267">
      <c r="T267">
        <f>SUM(C267:R267)</f>
        <v/>
      </c>
      <c r="U267" s="6">
        <f>ROUND(T267/11.5,2)</f>
        <v/>
      </c>
      <c r="V267" s="7">
        <f>IF(B267="","",IF(AB267,0,ROUND(AL267,2)))</f>
        <v/>
      </c>
      <c r="W267" s="7">
        <f>IF(B267="","",IF(AB267,0,MIN(5,ROUND(AL267+AM267,2))))</f>
        <v/>
      </c>
      <c r="X267" s="8">
        <f>IF(B267="","",IF(W267&gt;=5,"A+",IF(W267&gt;=4,"A",IF(W267&gt;=3.5,"A-",IF(W267&gt;=3,"B",IF(W267&gt;=2,"C",IF(W267&gt;=1,"D","F")))))))</f>
        <v/>
      </c>
      <c r="Y267">
        <f>NOT(OR(AND(J267&gt;=10,K267&gt;=23,L267&gt;=10,M267&gt;=23),AND(J267+L267&gt;=20,K267+M267&gt;=46)))</f>
        <v/>
      </c>
      <c r="Z267">
        <f>OR(N267&lt;10,O267&lt;23)</f>
        <v/>
      </c>
      <c r="AA267">
        <f>OR(P267&lt;10,Q267&lt;23)</f>
        <v/>
      </c>
      <c r="AB267">
        <f>OR((C267+D267)&lt;66,(E267+F267)&lt;66,G267&lt;33,(H267+I267)&lt;66,Y267,Z267,AA267,R267&lt;8.25)</f>
        <v/>
      </c>
      <c r="AC267">
        <f>IF(C267+D267&lt;66,0,IF((C267+D267)/2&gt;=80,5,IF((C267+D267)/2&gt;=70,4,IF((C267+D267)/2&gt;=60,3.5,IF((C267+D267)/2&gt;=50,3,IF((C267+D267)/2&gt;=40,2,IF((C267+D267)/2&gt;=33,1,0)))))))</f>
        <v/>
      </c>
      <c r="AD267">
        <f>IF(E267+F267&lt;66,0,IF((E267+F267)/2&gt;=80,5,IF((E267+F267)/2&gt;=70,4,IF((E267+F267)/2&gt;=60,3.5,IF((E267+F267)/2&gt;=50,3,IF((E267+F267)/2&gt;=40,2,IF((E267+F267)/2&gt;=33,1,0)))))))</f>
        <v/>
      </c>
      <c r="AE267">
        <f>IF(G267&lt;33,0,IF(G267&gt;=80,5,IF(G267&gt;=70,4,IF(G267&gt;=60,3.5,IF(G267&gt;=50,3,IF(G267&gt;=40,2,IF(G267&gt;=33,1,0)))))))</f>
        <v/>
      </c>
      <c r="AF267">
        <f>IF(H267+I267&lt;66,0,IF((H267+I267)/2&gt;=80,5,IF((H267+I267)/2&gt;=70,4,IF((H267+I267)/2&gt;=60,3.5,IF((H267+I267)/2&gt;=50,3,IF((H267+I267)/2&gt;=40,2,IF((H267+I267)/2&gt;=33,1,0)))))))</f>
        <v/>
      </c>
      <c r="AG267">
        <f>IF(Y267,0,IF((J267+K267+L267+M267)/2&gt;=80,5,IF((J267+K267+L267+M267)/2&gt;=70,4,IF((J267+K267+L267+M267)/2&gt;=60,3.5,IF((J267+K267+L267+M267)/2&gt;=50,3,IF((J267+K267+L267+M267)/2&gt;=40,2,IF((J267+K267+L267+M267)/2&gt;=33,1,0)))))))</f>
        <v/>
      </c>
      <c r="AH267">
        <f>IF(Z267,0,IF(N267+O267&gt;=80,5,IF(N267+O267&gt;=70,4,IF(N267+O267&gt;=60,3.5,IF(N267+O267&gt;=50,3,IF(N267+O267&gt;=40,2,IF(N267+O267&gt;=33,1,0)))))))</f>
        <v/>
      </c>
      <c r="AI267">
        <f>IF(AA267,0,IF(P267+Q267&gt;=80,5,IF(P267+Q267&gt;=70,4,IF(P267+Q267&gt;=60,3.5,IF(P267+Q267&gt;=50,3,IF(P267+Q267&gt;=40,2,IF(P267+Q267&gt;=33,1,0)))))))</f>
        <v/>
      </c>
      <c r="AJ267">
        <f>IF(R267&lt;8.25,0,IF(R267*2&gt;=80,5,IF(R267*2&gt;=70,4,IF(R267*2&gt;=60,3.5,IF(R267*2&gt;=50,3,IF(R267*2&gt;=40,2,IF(R267*2&gt;=33,1,0)))))))</f>
        <v/>
      </c>
      <c r="AK267">
        <f>IF(S267&lt;33,0,IF(S267&gt;=80,5,IF(S267&gt;=70,4,IF(S267&gt;=60,3.5,IF(S267&gt;=50,3,IF(S267&gt;=40,2,IF(S267&gt;=33,1,0)))))))</f>
        <v/>
      </c>
      <c r="AL267">
        <f>(AC267+AD267+AE267+AF267+AG267+AH267+AI267+AJ267)/8</f>
        <v/>
      </c>
      <c r="AM267">
        <f>IF(AK267&gt;=2,(AK267-2)/8,0)</f>
        <v/>
      </c>
    </row>
    <row r="268">
      <c r="T268">
        <f>SUM(C268:R268)</f>
        <v/>
      </c>
      <c r="U268" s="6">
        <f>ROUND(T268/11.5,2)</f>
        <v/>
      </c>
      <c r="V268" s="7">
        <f>IF(B268="","",IF(AB268,0,ROUND(AL268,2)))</f>
        <v/>
      </c>
      <c r="W268" s="7">
        <f>IF(B268="","",IF(AB268,0,MIN(5,ROUND(AL268+AM268,2))))</f>
        <v/>
      </c>
      <c r="X268" s="8">
        <f>IF(B268="","",IF(W268&gt;=5,"A+",IF(W268&gt;=4,"A",IF(W268&gt;=3.5,"A-",IF(W268&gt;=3,"B",IF(W268&gt;=2,"C",IF(W268&gt;=1,"D","F")))))))</f>
        <v/>
      </c>
      <c r="Y268">
        <f>NOT(OR(AND(J268&gt;=10,K268&gt;=23,L268&gt;=10,M268&gt;=23),AND(J268+L268&gt;=20,K268+M268&gt;=46)))</f>
        <v/>
      </c>
      <c r="Z268">
        <f>OR(N268&lt;10,O268&lt;23)</f>
        <v/>
      </c>
      <c r="AA268">
        <f>OR(P268&lt;10,Q268&lt;23)</f>
        <v/>
      </c>
      <c r="AB268">
        <f>OR((C268+D268)&lt;66,(E268+F268)&lt;66,G268&lt;33,(H268+I268)&lt;66,Y268,Z268,AA268,R268&lt;8.25)</f>
        <v/>
      </c>
      <c r="AC268">
        <f>IF(C268+D268&lt;66,0,IF((C268+D268)/2&gt;=80,5,IF((C268+D268)/2&gt;=70,4,IF((C268+D268)/2&gt;=60,3.5,IF((C268+D268)/2&gt;=50,3,IF((C268+D268)/2&gt;=40,2,IF((C268+D268)/2&gt;=33,1,0)))))))</f>
        <v/>
      </c>
      <c r="AD268">
        <f>IF(E268+F268&lt;66,0,IF((E268+F268)/2&gt;=80,5,IF((E268+F268)/2&gt;=70,4,IF((E268+F268)/2&gt;=60,3.5,IF((E268+F268)/2&gt;=50,3,IF((E268+F268)/2&gt;=40,2,IF((E268+F268)/2&gt;=33,1,0)))))))</f>
        <v/>
      </c>
      <c r="AE268">
        <f>IF(G268&lt;33,0,IF(G268&gt;=80,5,IF(G268&gt;=70,4,IF(G268&gt;=60,3.5,IF(G268&gt;=50,3,IF(G268&gt;=40,2,IF(G268&gt;=33,1,0)))))))</f>
        <v/>
      </c>
      <c r="AF268">
        <f>IF(H268+I268&lt;66,0,IF((H268+I268)/2&gt;=80,5,IF((H268+I268)/2&gt;=70,4,IF((H268+I268)/2&gt;=60,3.5,IF((H268+I268)/2&gt;=50,3,IF((H268+I268)/2&gt;=40,2,IF((H268+I268)/2&gt;=33,1,0)))))))</f>
        <v/>
      </c>
      <c r="AG268">
        <f>IF(Y268,0,IF((J268+K268+L268+M268)/2&gt;=80,5,IF((J268+K268+L268+M268)/2&gt;=70,4,IF((J268+K268+L268+M268)/2&gt;=60,3.5,IF((J268+K268+L268+M268)/2&gt;=50,3,IF((J268+K268+L268+M268)/2&gt;=40,2,IF((J268+K268+L268+M268)/2&gt;=33,1,0)))))))</f>
        <v/>
      </c>
      <c r="AH268">
        <f>IF(Z268,0,IF(N268+O268&gt;=80,5,IF(N268+O268&gt;=70,4,IF(N268+O268&gt;=60,3.5,IF(N268+O268&gt;=50,3,IF(N268+O268&gt;=40,2,IF(N268+O268&gt;=33,1,0)))))))</f>
        <v/>
      </c>
      <c r="AI268">
        <f>IF(AA268,0,IF(P268+Q268&gt;=80,5,IF(P268+Q268&gt;=70,4,IF(P268+Q268&gt;=60,3.5,IF(P268+Q268&gt;=50,3,IF(P268+Q268&gt;=40,2,IF(P268+Q268&gt;=33,1,0)))))))</f>
        <v/>
      </c>
      <c r="AJ268">
        <f>IF(R268&lt;8.25,0,IF(R268*2&gt;=80,5,IF(R268*2&gt;=70,4,IF(R268*2&gt;=60,3.5,IF(R268*2&gt;=50,3,IF(R268*2&gt;=40,2,IF(R268*2&gt;=33,1,0)))))))</f>
        <v/>
      </c>
      <c r="AK268">
        <f>IF(S268&lt;33,0,IF(S268&gt;=80,5,IF(S268&gt;=70,4,IF(S268&gt;=60,3.5,IF(S268&gt;=50,3,IF(S268&gt;=40,2,IF(S268&gt;=33,1,0)))))))</f>
        <v/>
      </c>
      <c r="AL268">
        <f>(AC268+AD268+AE268+AF268+AG268+AH268+AI268+AJ268)/8</f>
        <v/>
      </c>
      <c r="AM268">
        <f>IF(AK268&gt;=2,(AK268-2)/8,0)</f>
        <v/>
      </c>
    </row>
    <row r="269">
      <c r="T269">
        <f>SUM(C269:R269)</f>
        <v/>
      </c>
      <c r="U269" s="6">
        <f>ROUND(T269/11.5,2)</f>
        <v/>
      </c>
      <c r="V269" s="7">
        <f>IF(B269="","",IF(AB269,0,ROUND(AL269,2)))</f>
        <v/>
      </c>
      <c r="W269" s="7">
        <f>IF(B269="","",IF(AB269,0,MIN(5,ROUND(AL269+AM269,2))))</f>
        <v/>
      </c>
      <c r="X269" s="8">
        <f>IF(B269="","",IF(W269&gt;=5,"A+",IF(W269&gt;=4,"A",IF(W269&gt;=3.5,"A-",IF(W269&gt;=3,"B",IF(W269&gt;=2,"C",IF(W269&gt;=1,"D","F")))))))</f>
        <v/>
      </c>
      <c r="Y269">
        <f>NOT(OR(AND(J269&gt;=10,K269&gt;=23,L269&gt;=10,M269&gt;=23),AND(J269+L269&gt;=20,K269+M269&gt;=46)))</f>
        <v/>
      </c>
      <c r="Z269">
        <f>OR(N269&lt;10,O269&lt;23)</f>
        <v/>
      </c>
      <c r="AA269">
        <f>OR(P269&lt;10,Q269&lt;23)</f>
        <v/>
      </c>
      <c r="AB269">
        <f>OR((C269+D269)&lt;66,(E269+F269)&lt;66,G269&lt;33,(H269+I269)&lt;66,Y269,Z269,AA269,R269&lt;8.25)</f>
        <v/>
      </c>
      <c r="AC269">
        <f>IF(C269+D269&lt;66,0,IF((C269+D269)/2&gt;=80,5,IF((C269+D269)/2&gt;=70,4,IF((C269+D269)/2&gt;=60,3.5,IF((C269+D269)/2&gt;=50,3,IF((C269+D269)/2&gt;=40,2,IF((C269+D269)/2&gt;=33,1,0)))))))</f>
        <v/>
      </c>
      <c r="AD269">
        <f>IF(E269+F269&lt;66,0,IF((E269+F269)/2&gt;=80,5,IF((E269+F269)/2&gt;=70,4,IF((E269+F269)/2&gt;=60,3.5,IF((E269+F269)/2&gt;=50,3,IF((E269+F269)/2&gt;=40,2,IF((E269+F269)/2&gt;=33,1,0)))))))</f>
        <v/>
      </c>
      <c r="AE269">
        <f>IF(G269&lt;33,0,IF(G269&gt;=80,5,IF(G269&gt;=70,4,IF(G269&gt;=60,3.5,IF(G269&gt;=50,3,IF(G269&gt;=40,2,IF(G269&gt;=33,1,0)))))))</f>
        <v/>
      </c>
      <c r="AF269">
        <f>IF(H269+I269&lt;66,0,IF((H269+I269)/2&gt;=80,5,IF((H269+I269)/2&gt;=70,4,IF((H269+I269)/2&gt;=60,3.5,IF((H269+I269)/2&gt;=50,3,IF((H269+I269)/2&gt;=40,2,IF((H269+I269)/2&gt;=33,1,0)))))))</f>
        <v/>
      </c>
      <c r="AG269">
        <f>IF(Y269,0,IF((J269+K269+L269+M269)/2&gt;=80,5,IF((J269+K269+L269+M269)/2&gt;=70,4,IF((J269+K269+L269+M269)/2&gt;=60,3.5,IF((J269+K269+L269+M269)/2&gt;=50,3,IF((J269+K269+L269+M269)/2&gt;=40,2,IF((J269+K269+L269+M269)/2&gt;=33,1,0)))))))</f>
        <v/>
      </c>
      <c r="AH269">
        <f>IF(Z269,0,IF(N269+O269&gt;=80,5,IF(N269+O269&gt;=70,4,IF(N269+O269&gt;=60,3.5,IF(N269+O269&gt;=50,3,IF(N269+O269&gt;=40,2,IF(N269+O269&gt;=33,1,0)))))))</f>
        <v/>
      </c>
      <c r="AI269">
        <f>IF(AA269,0,IF(P269+Q269&gt;=80,5,IF(P269+Q269&gt;=70,4,IF(P269+Q269&gt;=60,3.5,IF(P269+Q269&gt;=50,3,IF(P269+Q269&gt;=40,2,IF(P269+Q269&gt;=33,1,0)))))))</f>
        <v/>
      </c>
      <c r="AJ269">
        <f>IF(R269&lt;8.25,0,IF(R269*2&gt;=80,5,IF(R269*2&gt;=70,4,IF(R269*2&gt;=60,3.5,IF(R269*2&gt;=50,3,IF(R269*2&gt;=40,2,IF(R269*2&gt;=33,1,0)))))))</f>
        <v/>
      </c>
      <c r="AK269">
        <f>IF(S269&lt;33,0,IF(S269&gt;=80,5,IF(S269&gt;=70,4,IF(S269&gt;=60,3.5,IF(S269&gt;=50,3,IF(S269&gt;=40,2,IF(S269&gt;=33,1,0)))))))</f>
        <v/>
      </c>
      <c r="AL269">
        <f>(AC269+AD269+AE269+AF269+AG269+AH269+AI269+AJ269)/8</f>
        <v/>
      </c>
      <c r="AM269">
        <f>IF(AK269&gt;=2,(AK269-2)/8,0)</f>
        <v/>
      </c>
    </row>
    <row r="270">
      <c r="T270">
        <f>SUM(C270:R270)</f>
        <v/>
      </c>
      <c r="U270" s="6">
        <f>ROUND(T270/11.5,2)</f>
        <v/>
      </c>
      <c r="V270" s="7">
        <f>IF(B270="","",IF(AB270,0,ROUND(AL270,2)))</f>
        <v/>
      </c>
      <c r="W270" s="7">
        <f>IF(B270="","",IF(AB270,0,MIN(5,ROUND(AL270+AM270,2))))</f>
        <v/>
      </c>
      <c r="X270" s="8">
        <f>IF(B270="","",IF(W270&gt;=5,"A+",IF(W270&gt;=4,"A",IF(W270&gt;=3.5,"A-",IF(W270&gt;=3,"B",IF(W270&gt;=2,"C",IF(W270&gt;=1,"D","F")))))))</f>
        <v/>
      </c>
      <c r="Y270">
        <f>NOT(OR(AND(J270&gt;=10,K270&gt;=23,L270&gt;=10,M270&gt;=23),AND(J270+L270&gt;=20,K270+M270&gt;=46)))</f>
        <v/>
      </c>
      <c r="Z270">
        <f>OR(N270&lt;10,O270&lt;23)</f>
        <v/>
      </c>
      <c r="AA270">
        <f>OR(P270&lt;10,Q270&lt;23)</f>
        <v/>
      </c>
      <c r="AB270">
        <f>OR((C270+D270)&lt;66,(E270+F270)&lt;66,G270&lt;33,(H270+I270)&lt;66,Y270,Z270,AA270,R270&lt;8.25)</f>
        <v/>
      </c>
      <c r="AC270">
        <f>IF(C270+D270&lt;66,0,IF((C270+D270)/2&gt;=80,5,IF((C270+D270)/2&gt;=70,4,IF((C270+D270)/2&gt;=60,3.5,IF((C270+D270)/2&gt;=50,3,IF((C270+D270)/2&gt;=40,2,IF((C270+D270)/2&gt;=33,1,0)))))))</f>
        <v/>
      </c>
      <c r="AD270">
        <f>IF(E270+F270&lt;66,0,IF((E270+F270)/2&gt;=80,5,IF((E270+F270)/2&gt;=70,4,IF((E270+F270)/2&gt;=60,3.5,IF((E270+F270)/2&gt;=50,3,IF((E270+F270)/2&gt;=40,2,IF((E270+F270)/2&gt;=33,1,0)))))))</f>
        <v/>
      </c>
      <c r="AE270">
        <f>IF(G270&lt;33,0,IF(G270&gt;=80,5,IF(G270&gt;=70,4,IF(G270&gt;=60,3.5,IF(G270&gt;=50,3,IF(G270&gt;=40,2,IF(G270&gt;=33,1,0)))))))</f>
        <v/>
      </c>
      <c r="AF270">
        <f>IF(H270+I270&lt;66,0,IF((H270+I270)/2&gt;=80,5,IF((H270+I270)/2&gt;=70,4,IF((H270+I270)/2&gt;=60,3.5,IF((H270+I270)/2&gt;=50,3,IF((H270+I270)/2&gt;=40,2,IF((H270+I270)/2&gt;=33,1,0)))))))</f>
        <v/>
      </c>
      <c r="AG270">
        <f>IF(Y270,0,IF((J270+K270+L270+M270)/2&gt;=80,5,IF((J270+K270+L270+M270)/2&gt;=70,4,IF((J270+K270+L270+M270)/2&gt;=60,3.5,IF((J270+K270+L270+M270)/2&gt;=50,3,IF((J270+K270+L270+M270)/2&gt;=40,2,IF((J270+K270+L270+M270)/2&gt;=33,1,0)))))))</f>
        <v/>
      </c>
      <c r="AH270">
        <f>IF(Z270,0,IF(N270+O270&gt;=80,5,IF(N270+O270&gt;=70,4,IF(N270+O270&gt;=60,3.5,IF(N270+O270&gt;=50,3,IF(N270+O270&gt;=40,2,IF(N270+O270&gt;=33,1,0)))))))</f>
        <v/>
      </c>
      <c r="AI270">
        <f>IF(AA270,0,IF(P270+Q270&gt;=80,5,IF(P270+Q270&gt;=70,4,IF(P270+Q270&gt;=60,3.5,IF(P270+Q270&gt;=50,3,IF(P270+Q270&gt;=40,2,IF(P270+Q270&gt;=33,1,0)))))))</f>
        <v/>
      </c>
      <c r="AJ270">
        <f>IF(R270&lt;8.25,0,IF(R270*2&gt;=80,5,IF(R270*2&gt;=70,4,IF(R270*2&gt;=60,3.5,IF(R270*2&gt;=50,3,IF(R270*2&gt;=40,2,IF(R270*2&gt;=33,1,0)))))))</f>
        <v/>
      </c>
      <c r="AK270">
        <f>IF(S270&lt;33,0,IF(S270&gt;=80,5,IF(S270&gt;=70,4,IF(S270&gt;=60,3.5,IF(S270&gt;=50,3,IF(S270&gt;=40,2,IF(S270&gt;=33,1,0)))))))</f>
        <v/>
      </c>
      <c r="AL270">
        <f>(AC270+AD270+AE270+AF270+AG270+AH270+AI270+AJ270)/8</f>
        <v/>
      </c>
      <c r="AM270">
        <f>IF(AK270&gt;=2,(AK270-2)/8,0)</f>
        <v/>
      </c>
    </row>
    <row r="271">
      <c r="T271">
        <f>SUM(C271:R271)</f>
        <v/>
      </c>
      <c r="U271" s="6">
        <f>ROUND(T271/11.5,2)</f>
        <v/>
      </c>
      <c r="V271" s="7">
        <f>IF(B271="","",IF(AB271,0,ROUND(AL271,2)))</f>
        <v/>
      </c>
      <c r="W271" s="7">
        <f>IF(B271="","",IF(AB271,0,MIN(5,ROUND(AL271+AM271,2))))</f>
        <v/>
      </c>
      <c r="X271" s="8">
        <f>IF(B271="","",IF(W271&gt;=5,"A+",IF(W271&gt;=4,"A",IF(W271&gt;=3.5,"A-",IF(W271&gt;=3,"B",IF(W271&gt;=2,"C",IF(W271&gt;=1,"D","F")))))))</f>
        <v/>
      </c>
      <c r="Y271">
        <f>NOT(OR(AND(J271&gt;=10,K271&gt;=23,L271&gt;=10,M271&gt;=23),AND(J271+L271&gt;=20,K271+M271&gt;=46)))</f>
        <v/>
      </c>
      <c r="Z271">
        <f>OR(N271&lt;10,O271&lt;23)</f>
        <v/>
      </c>
      <c r="AA271">
        <f>OR(P271&lt;10,Q271&lt;23)</f>
        <v/>
      </c>
      <c r="AB271">
        <f>OR((C271+D271)&lt;66,(E271+F271)&lt;66,G271&lt;33,(H271+I271)&lt;66,Y271,Z271,AA271,R271&lt;8.25)</f>
        <v/>
      </c>
      <c r="AC271">
        <f>IF(C271+D271&lt;66,0,IF((C271+D271)/2&gt;=80,5,IF((C271+D271)/2&gt;=70,4,IF((C271+D271)/2&gt;=60,3.5,IF((C271+D271)/2&gt;=50,3,IF((C271+D271)/2&gt;=40,2,IF((C271+D271)/2&gt;=33,1,0)))))))</f>
        <v/>
      </c>
      <c r="AD271">
        <f>IF(E271+F271&lt;66,0,IF((E271+F271)/2&gt;=80,5,IF((E271+F271)/2&gt;=70,4,IF((E271+F271)/2&gt;=60,3.5,IF((E271+F271)/2&gt;=50,3,IF((E271+F271)/2&gt;=40,2,IF((E271+F271)/2&gt;=33,1,0)))))))</f>
        <v/>
      </c>
      <c r="AE271">
        <f>IF(G271&lt;33,0,IF(G271&gt;=80,5,IF(G271&gt;=70,4,IF(G271&gt;=60,3.5,IF(G271&gt;=50,3,IF(G271&gt;=40,2,IF(G271&gt;=33,1,0)))))))</f>
        <v/>
      </c>
      <c r="AF271">
        <f>IF(H271+I271&lt;66,0,IF((H271+I271)/2&gt;=80,5,IF((H271+I271)/2&gt;=70,4,IF((H271+I271)/2&gt;=60,3.5,IF((H271+I271)/2&gt;=50,3,IF((H271+I271)/2&gt;=40,2,IF((H271+I271)/2&gt;=33,1,0)))))))</f>
        <v/>
      </c>
      <c r="AG271">
        <f>IF(Y271,0,IF((J271+K271+L271+M271)/2&gt;=80,5,IF((J271+K271+L271+M271)/2&gt;=70,4,IF((J271+K271+L271+M271)/2&gt;=60,3.5,IF((J271+K271+L271+M271)/2&gt;=50,3,IF((J271+K271+L271+M271)/2&gt;=40,2,IF((J271+K271+L271+M271)/2&gt;=33,1,0)))))))</f>
        <v/>
      </c>
      <c r="AH271">
        <f>IF(Z271,0,IF(N271+O271&gt;=80,5,IF(N271+O271&gt;=70,4,IF(N271+O271&gt;=60,3.5,IF(N271+O271&gt;=50,3,IF(N271+O271&gt;=40,2,IF(N271+O271&gt;=33,1,0)))))))</f>
        <v/>
      </c>
      <c r="AI271">
        <f>IF(AA271,0,IF(P271+Q271&gt;=80,5,IF(P271+Q271&gt;=70,4,IF(P271+Q271&gt;=60,3.5,IF(P271+Q271&gt;=50,3,IF(P271+Q271&gt;=40,2,IF(P271+Q271&gt;=33,1,0)))))))</f>
        <v/>
      </c>
      <c r="AJ271">
        <f>IF(R271&lt;8.25,0,IF(R271*2&gt;=80,5,IF(R271*2&gt;=70,4,IF(R271*2&gt;=60,3.5,IF(R271*2&gt;=50,3,IF(R271*2&gt;=40,2,IF(R271*2&gt;=33,1,0)))))))</f>
        <v/>
      </c>
      <c r="AK271">
        <f>IF(S271&lt;33,0,IF(S271&gt;=80,5,IF(S271&gt;=70,4,IF(S271&gt;=60,3.5,IF(S271&gt;=50,3,IF(S271&gt;=40,2,IF(S271&gt;=33,1,0)))))))</f>
        <v/>
      </c>
      <c r="AL271">
        <f>(AC271+AD271+AE271+AF271+AG271+AH271+AI271+AJ271)/8</f>
        <v/>
      </c>
      <c r="AM271">
        <f>IF(AK271&gt;=2,(AK271-2)/8,0)</f>
        <v/>
      </c>
    </row>
    <row r="272">
      <c r="T272">
        <f>SUM(C272:R272)</f>
        <v/>
      </c>
      <c r="U272" s="6">
        <f>ROUND(T272/11.5,2)</f>
        <v/>
      </c>
      <c r="V272" s="7">
        <f>IF(B272="","",IF(AB272,0,ROUND(AL272,2)))</f>
        <v/>
      </c>
      <c r="W272" s="7">
        <f>IF(B272="","",IF(AB272,0,MIN(5,ROUND(AL272+AM272,2))))</f>
        <v/>
      </c>
      <c r="X272" s="8">
        <f>IF(B272="","",IF(W272&gt;=5,"A+",IF(W272&gt;=4,"A",IF(W272&gt;=3.5,"A-",IF(W272&gt;=3,"B",IF(W272&gt;=2,"C",IF(W272&gt;=1,"D","F")))))))</f>
        <v/>
      </c>
      <c r="Y272">
        <f>NOT(OR(AND(J272&gt;=10,K272&gt;=23,L272&gt;=10,M272&gt;=23),AND(J272+L272&gt;=20,K272+M272&gt;=46)))</f>
        <v/>
      </c>
      <c r="Z272">
        <f>OR(N272&lt;10,O272&lt;23)</f>
        <v/>
      </c>
      <c r="AA272">
        <f>OR(P272&lt;10,Q272&lt;23)</f>
        <v/>
      </c>
      <c r="AB272">
        <f>OR((C272+D272)&lt;66,(E272+F272)&lt;66,G272&lt;33,(H272+I272)&lt;66,Y272,Z272,AA272,R272&lt;8.25)</f>
        <v/>
      </c>
      <c r="AC272">
        <f>IF(C272+D272&lt;66,0,IF((C272+D272)/2&gt;=80,5,IF((C272+D272)/2&gt;=70,4,IF((C272+D272)/2&gt;=60,3.5,IF((C272+D272)/2&gt;=50,3,IF((C272+D272)/2&gt;=40,2,IF((C272+D272)/2&gt;=33,1,0)))))))</f>
        <v/>
      </c>
      <c r="AD272">
        <f>IF(E272+F272&lt;66,0,IF((E272+F272)/2&gt;=80,5,IF((E272+F272)/2&gt;=70,4,IF((E272+F272)/2&gt;=60,3.5,IF((E272+F272)/2&gt;=50,3,IF((E272+F272)/2&gt;=40,2,IF((E272+F272)/2&gt;=33,1,0)))))))</f>
        <v/>
      </c>
      <c r="AE272">
        <f>IF(G272&lt;33,0,IF(G272&gt;=80,5,IF(G272&gt;=70,4,IF(G272&gt;=60,3.5,IF(G272&gt;=50,3,IF(G272&gt;=40,2,IF(G272&gt;=33,1,0)))))))</f>
        <v/>
      </c>
      <c r="AF272">
        <f>IF(H272+I272&lt;66,0,IF((H272+I272)/2&gt;=80,5,IF((H272+I272)/2&gt;=70,4,IF((H272+I272)/2&gt;=60,3.5,IF((H272+I272)/2&gt;=50,3,IF((H272+I272)/2&gt;=40,2,IF((H272+I272)/2&gt;=33,1,0)))))))</f>
        <v/>
      </c>
      <c r="AG272">
        <f>IF(Y272,0,IF((J272+K272+L272+M272)/2&gt;=80,5,IF((J272+K272+L272+M272)/2&gt;=70,4,IF((J272+K272+L272+M272)/2&gt;=60,3.5,IF((J272+K272+L272+M272)/2&gt;=50,3,IF((J272+K272+L272+M272)/2&gt;=40,2,IF((J272+K272+L272+M272)/2&gt;=33,1,0)))))))</f>
        <v/>
      </c>
      <c r="AH272">
        <f>IF(Z272,0,IF(N272+O272&gt;=80,5,IF(N272+O272&gt;=70,4,IF(N272+O272&gt;=60,3.5,IF(N272+O272&gt;=50,3,IF(N272+O272&gt;=40,2,IF(N272+O272&gt;=33,1,0)))))))</f>
        <v/>
      </c>
      <c r="AI272">
        <f>IF(AA272,0,IF(P272+Q272&gt;=80,5,IF(P272+Q272&gt;=70,4,IF(P272+Q272&gt;=60,3.5,IF(P272+Q272&gt;=50,3,IF(P272+Q272&gt;=40,2,IF(P272+Q272&gt;=33,1,0)))))))</f>
        <v/>
      </c>
      <c r="AJ272">
        <f>IF(R272&lt;8.25,0,IF(R272*2&gt;=80,5,IF(R272*2&gt;=70,4,IF(R272*2&gt;=60,3.5,IF(R272*2&gt;=50,3,IF(R272*2&gt;=40,2,IF(R272*2&gt;=33,1,0)))))))</f>
        <v/>
      </c>
      <c r="AK272">
        <f>IF(S272&lt;33,0,IF(S272&gt;=80,5,IF(S272&gt;=70,4,IF(S272&gt;=60,3.5,IF(S272&gt;=50,3,IF(S272&gt;=40,2,IF(S272&gt;=33,1,0)))))))</f>
        <v/>
      </c>
      <c r="AL272">
        <f>(AC272+AD272+AE272+AF272+AG272+AH272+AI272+AJ272)/8</f>
        <v/>
      </c>
      <c r="AM272">
        <f>IF(AK272&gt;=2,(AK272-2)/8,0)</f>
        <v/>
      </c>
    </row>
    <row r="273">
      <c r="T273">
        <f>SUM(C273:R273)</f>
        <v/>
      </c>
      <c r="U273" s="6">
        <f>ROUND(T273/11.5,2)</f>
        <v/>
      </c>
      <c r="V273" s="7">
        <f>IF(B273="","",IF(AB273,0,ROUND(AL273,2)))</f>
        <v/>
      </c>
      <c r="W273" s="7">
        <f>IF(B273="","",IF(AB273,0,MIN(5,ROUND(AL273+AM273,2))))</f>
        <v/>
      </c>
      <c r="X273" s="8">
        <f>IF(B273="","",IF(W273&gt;=5,"A+",IF(W273&gt;=4,"A",IF(W273&gt;=3.5,"A-",IF(W273&gt;=3,"B",IF(W273&gt;=2,"C",IF(W273&gt;=1,"D","F")))))))</f>
        <v/>
      </c>
      <c r="Y273">
        <f>NOT(OR(AND(J273&gt;=10,K273&gt;=23,L273&gt;=10,M273&gt;=23),AND(J273+L273&gt;=20,K273+M273&gt;=46)))</f>
        <v/>
      </c>
      <c r="Z273">
        <f>OR(N273&lt;10,O273&lt;23)</f>
        <v/>
      </c>
      <c r="AA273">
        <f>OR(P273&lt;10,Q273&lt;23)</f>
        <v/>
      </c>
      <c r="AB273">
        <f>OR((C273+D273)&lt;66,(E273+F273)&lt;66,G273&lt;33,(H273+I273)&lt;66,Y273,Z273,AA273,R273&lt;8.25)</f>
        <v/>
      </c>
      <c r="AC273">
        <f>IF(C273+D273&lt;66,0,IF((C273+D273)/2&gt;=80,5,IF((C273+D273)/2&gt;=70,4,IF((C273+D273)/2&gt;=60,3.5,IF((C273+D273)/2&gt;=50,3,IF((C273+D273)/2&gt;=40,2,IF((C273+D273)/2&gt;=33,1,0)))))))</f>
        <v/>
      </c>
      <c r="AD273">
        <f>IF(E273+F273&lt;66,0,IF((E273+F273)/2&gt;=80,5,IF((E273+F273)/2&gt;=70,4,IF((E273+F273)/2&gt;=60,3.5,IF((E273+F273)/2&gt;=50,3,IF((E273+F273)/2&gt;=40,2,IF((E273+F273)/2&gt;=33,1,0)))))))</f>
        <v/>
      </c>
      <c r="AE273">
        <f>IF(G273&lt;33,0,IF(G273&gt;=80,5,IF(G273&gt;=70,4,IF(G273&gt;=60,3.5,IF(G273&gt;=50,3,IF(G273&gt;=40,2,IF(G273&gt;=33,1,0)))))))</f>
        <v/>
      </c>
      <c r="AF273">
        <f>IF(H273+I273&lt;66,0,IF((H273+I273)/2&gt;=80,5,IF((H273+I273)/2&gt;=70,4,IF((H273+I273)/2&gt;=60,3.5,IF((H273+I273)/2&gt;=50,3,IF((H273+I273)/2&gt;=40,2,IF((H273+I273)/2&gt;=33,1,0)))))))</f>
        <v/>
      </c>
      <c r="AG273">
        <f>IF(Y273,0,IF((J273+K273+L273+M273)/2&gt;=80,5,IF((J273+K273+L273+M273)/2&gt;=70,4,IF((J273+K273+L273+M273)/2&gt;=60,3.5,IF((J273+K273+L273+M273)/2&gt;=50,3,IF((J273+K273+L273+M273)/2&gt;=40,2,IF((J273+K273+L273+M273)/2&gt;=33,1,0)))))))</f>
        <v/>
      </c>
      <c r="AH273">
        <f>IF(Z273,0,IF(N273+O273&gt;=80,5,IF(N273+O273&gt;=70,4,IF(N273+O273&gt;=60,3.5,IF(N273+O273&gt;=50,3,IF(N273+O273&gt;=40,2,IF(N273+O273&gt;=33,1,0)))))))</f>
        <v/>
      </c>
      <c r="AI273">
        <f>IF(AA273,0,IF(P273+Q273&gt;=80,5,IF(P273+Q273&gt;=70,4,IF(P273+Q273&gt;=60,3.5,IF(P273+Q273&gt;=50,3,IF(P273+Q273&gt;=40,2,IF(P273+Q273&gt;=33,1,0)))))))</f>
        <v/>
      </c>
      <c r="AJ273">
        <f>IF(R273&lt;8.25,0,IF(R273*2&gt;=80,5,IF(R273*2&gt;=70,4,IF(R273*2&gt;=60,3.5,IF(R273*2&gt;=50,3,IF(R273*2&gt;=40,2,IF(R273*2&gt;=33,1,0)))))))</f>
        <v/>
      </c>
      <c r="AK273">
        <f>IF(S273&lt;33,0,IF(S273&gt;=80,5,IF(S273&gt;=70,4,IF(S273&gt;=60,3.5,IF(S273&gt;=50,3,IF(S273&gt;=40,2,IF(S273&gt;=33,1,0)))))))</f>
        <v/>
      </c>
      <c r="AL273">
        <f>(AC273+AD273+AE273+AF273+AG273+AH273+AI273+AJ273)/8</f>
        <v/>
      </c>
      <c r="AM273">
        <f>IF(AK273&gt;=2,(AK273-2)/8,0)</f>
        <v/>
      </c>
    </row>
    <row r="274">
      <c r="T274">
        <f>SUM(C274:R274)</f>
        <v/>
      </c>
      <c r="U274" s="6">
        <f>ROUND(T274/11.5,2)</f>
        <v/>
      </c>
      <c r="V274" s="7">
        <f>IF(B274="","",IF(AB274,0,ROUND(AL274,2)))</f>
        <v/>
      </c>
      <c r="W274" s="7">
        <f>IF(B274="","",IF(AB274,0,MIN(5,ROUND(AL274+AM274,2))))</f>
        <v/>
      </c>
      <c r="X274" s="8">
        <f>IF(B274="","",IF(W274&gt;=5,"A+",IF(W274&gt;=4,"A",IF(W274&gt;=3.5,"A-",IF(W274&gt;=3,"B",IF(W274&gt;=2,"C",IF(W274&gt;=1,"D","F")))))))</f>
        <v/>
      </c>
      <c r="Y274">
        <f>NOT(OR(AND(J274&gt;=10,K274&gt;=23,L274&gt;=10,M274&gt;=23),AND(J274+L274&gt;=20,K274+M274&gt;=46)))</f>
        <v/>
      </c>
      <c r="Z274">
        <f>OR(N274&lt;10,O274&lt;23)</f>
        <v/>
      </c>
      <c r="AA274">
        <f>OR(P274&lt;10,Q274&lt;23)</f>
        <v/>
      </c>
      <c r="AB274">
        <f>OR((C274+D274)&lt;66,(E274+F274)&lt;66,G274&lt;33,(H274+I274)&lt;66,Y274,Z274,AA274,R274&lt;8.25)</f>
        <v/>
      </c>
      <c r="AC274">
        <f>IF(C274+D274&lt;66,0,IF((C274+D274)/2&gt;=80,5,IF((C274+D274)/2&gt;=70,4,IF((C274+D274)/2&gt;=60,3.5,IF((C274+D274)/2&gt;=50,3,IF((C274+D274)/2&gt;=40,2,IF((C274+D274)/2&gt;=33,1,0)))))))</f>
        <v/>
      </c>
      <c r="AD274">
        <f>IF(E274+F274&lt;66,0,IF((E274+F274)/2&gt;=80,5,IF((E274+F274)/2&gt;=70,4,IF((E274+F274)/2&gt;=60,3.5,IF((E274+F274)/2&gt;=50,3,IF((E274+F274)/2&gt;=40,2,IF((E274+F274)/2&gt;=33,1,0)))))))</f>
        <v/>
      </c>
      <c r="AE274">
        <f>IF(G274&lt;33,0,IF(G274&gt;=80,5,IF(G274&gt;=70,4,IF(G274&gt;=60,3.5,IF(G274&gt;=50,3,IF(G274&gt;=40,2,IF(G274&gt;=33,1,0)))))))</f>
        <v/>
      </c>
      <c r="AF274">
        <f>IF(H274+I274&lt;66,0,IF((H274+I274)/2&gt;=80,5,IF((H274+I274)/2&gt;=70,4,IF((H274+I274)/2&gt;=60,3.5,IF((H274+I274)/2&gt;=50,3,IF((H274+I274)/2&gt;=40,2,IF((H274+I274)/2&gt;=33,1,0)))))))</f>
        <v/>
      </c>
      <c r="AG274">
        <f>IF(Y274,0,IF((J274+K274+L274+M274)/2&gt;=80,5,IF((J274+K274+L274+M274)/2&gt;=70,4,IF((J274+K274+L274+M274)/2&gt;=60,3.5,IF((J274+K274+L274+M274)/2&gt;=50,3,IF((J274+K274+L274+M274)/2&gt;=40,2,IF((J274+K274+L274+M274)/2&gt;=33,1,0)))))))</f>
        <v/>
      </c>
      <c r="AH274">
        <f>IF(Z274,0,IF(N274+O274&gt;=80,5,IF(N274+O274&gt;=70,4,IF(N274+O274&gt;=60,3.5,IF(N274+O274&gt;=50,3,IF(N274+O274&gt;=40,2,IF(N274+O274&gt;=33,1,0)))))))</f>
        <v/>
      </c>
      <c r="AI274">
        <f>IF(AA274,0,IF(P274+Q274&gt;=80,5,IF(P274+Q274&gt;=70,4,IF(P274+Q274&gt;=60,3.5,IF(P274+Q274&gt;=50,3,IF(P274+Q274&gt;=40,2,IF(P274+Q274&gt;=33,1,0)))))))</f>
        <v/>
      </c>
      <c r="AJ274">
        <f>IF(R274&lt;8.25,0,IF(R274*2&gt;=80,5,IF(R274*2&gt;=70,4,IF(R274*2&gt;=60,3.5,IF(R274*2&gt;=50,3,IF(R274*2&gt;=40,2,IF(R274*2&gt;=33,1,0)))))))</f>
        <v/>
      </c>
      <c r="AK274">
        <f>IF(S274&lt;33,0,IF(S274&gt;=80,5,IF(S274&gt;=70,4,IF(S274&gt;=60,3.5,IF(S274&gt;=50,3,IF(S274&gt;=40,2,IF(S274&gt;=33,1,0)))))))</f>
        <v/>
      </c>
      <c r="AL274">
        <f>(AC274+AD274+AE274+AF274+AG274+AH274+AI274+AJ274)/8</f>
        <v/>
      </c>
      <c r="AM274">
        <f>IF(AK274&gt;=2,(AK274-2)/8,0)</f>
        <v/>
      </c>
    </row>
    <row r="275">
      <c r="T275">
        <f>SUM(C275:R275)</f>
        <v/>
      </c>
      <c r="U275" s="6">
        <f>ROUND(T275/11.5,2)</f>
        <v/>
      </c>
      <c r="V275" s="7">
        <f>IF(B275="","",IF(AB275,0,ROUND(AL275,2)))</f>
        <v/>
      </c>
      <c r="W275" s="7">
        <f>IF(B275="","",IF(AB275,0,MIN(5,ROUND(AL275+AM275,2))))</f>
        <v/>
      </c>
      <c r="X275" s="8">
        <f>IF(B275="","",IF(W275&gt;=5,"A+",IF(W275&gt;=4,"A",IF(W275&gt;=3.5,"A-",IF(W275&gt;=3,"B",IF(W275&gt;=2,"C",IF(W275&gt;=1,"D","F")))))))</f>
        <v/>
      </c>
      <c r="Y275">
        <f>NOT(OR(AND(J275&gt;=10,K275&gt;=23,L275&gt;=10,M275&gt;=23),AND(J275+L275&gt;=20,K275+M275&gt;=46)))</f>
        <v/>
      </c>
      <c r="Z275">
        <f>OR(N275&lt;10,O275&lt;23)</f>
        <v/>
      </c>
      <c r="AA275">
        <f>OR(P275&lt;10,Q275&lt;23)</f>
        <v/>
      </c>
      <c r="AB275">
        <f>OR((C275+D275)&lt;66,(E275+F275)&lt;66,G275&lt;33,(H275+I275)&lt;66,Y275,Z275,AA275,R275&lt;8.25)</f>
        <v/>
      </c>
      <c r="AC275">
        <f>IF(C275+D275&lt;66,0,IF((C275+D275)/2&gt;=80,5,IF((C275+D275)/2&gt;=70,4,IF((C275+D275)/2&gt;=60,3.5,IF((C275+D275)/2&gt;=50,3,IF((C275+D275)/2&gt;=40,2,IF((C275+D275)/2&gt;=33,1,0)))))))</f>
        <v/>
      </c>
      <c r="AD275">
        <f>IF(E275+F275&lt;66,0,IF((E275+F275)/2&gt;=80,5,IF((E275+F275)/2&gt;=70,4,IF((E275+F275)/2&gt;=60,3.5,IF((E275+F275)/2&gt;=50,3,IF((E275+F275)/2&gt;=40,2,IF((E275+F275)/2&gt;=33,1,0)))))))</f>
        <v/>
      </c>
      <c r="AE275">
        <f>IF(G275&lt;33,0,IF(G275&gt;=80,5,IF(G275&gt;=70,4,IF(G275&gt;=60,3.5,IF(G275&gt;=50,3,IF(G275&gt;=40,2,IF(G275&gt;=33,1,0)))))))</f>
        <v/>
      </c>
      <c r="AF275">
        <f>IF(H275+I275&lt;66,0,IF((H275+I275)/2&gt;=80,5,IF((H275+I275)/2&gt;=70,4,IF((H275+I275)/2&gt;=60,3.5,IF((H275+I275)/2&gt;=50,3,IF((H275+I275)/2&gt;=40,2,IF((H275+I275)/2&gt;=33,1,0)))))))</f>
        <v/>
      </c>
      <c r="AG275">
        <f>IF(Y275,0,IF((J275+K275+L275+M275)/2&gt;=80,5,IF((J275+K275+L275+M275)/2&gt;=70,4,IF((J275+K275+L275+M275)/2&gt;=60,3.5,IF((J275+K275+L275+M275)/2&gt;=50,3,IF((J275+K275+L275+M275)/2&gt;=40,2,IF((J275+K275+L275+M275)/2&gt;=33,1,0)))))))</f>
        <v/>
      </c>
      <c r="AH275">
        <f>IF(Z275,0,IF(N275+O275&gt;=80,5,IF(N275+O275&gt;=70,4,IF(N275+O275&gt;=60,3.5,IF(N275+O275&gt;=50,3,IF(N275+O275&gt;=40,2,IF(N275+O275&gt;=33,1,0)))))))</f>
        <v/>
      </c>
      <c r="AI275">
        <f>IF(AA275,0,IF(P275+Q275&gt;=80,5,IF(P275+Q275&gt;=70,4,IF(P275+Q275&gt;=60,3.5,IF(P275+Q275&gt;=50,3,IF(P275+Q275&gt;=40,2,IF(P275+Q275&gt;=33,1,0)))))))</f>
        <v/>
      </c>
      <c r="AJ275">
        <f>IF(R275&lt;8.25,0,IF(R275*2&gt;=80,5,IF(R275*2&gt;=70,4,IF(R275*2&gt;=60,3.5,IF(R275*2&gt;=50,3,IF(R275*2&gt;=40,2,IF(R275*2&gt;=33,1,0)))))))</f>
        <v/>
      </c>
      <c r="AK275">
        <f>IF(S275&lt;33,0,IF(S275&gt;=80,5,IF(S275&gt;=70,4,IF(S275&gt;=60,3.5,IF(S275&gt;=50,3,IF(S275&gt;=40,2,IF(S275&gt;=33,1,0)))))))</f>
        <v/>
      </c>
      <c r="AL275">
        <f>(AC275+AD275+AE275+AF275+AG275+AH275+AI275+AJ275)/8</f>
        <v/>
      </c>
      <c r="AM275">
        <f>IF(AK275&gt;=2,(AK275-2)/8,0)</f>
        <v/>
      </c>
    </row>
    <row r="276">
      <c r="T276">
        <f>SUM(C276:R276)</f>
        <v/>
      </c>
      <c r="U276" s="6">
        <f>ROUND(T276/11.5,2)</f>
        <v/>
      </c>
      <c r="V276" s="7">
        <f>IF(B276="","",IF(AB276,0,ROUND(AL276,2)))</f>
        <v/>
      </c>
      <c r="W276" s="7">
        <f>IF(B276="","",IF(AB276,0,MIN(5,ROUND(AL276+AM276,2))))</f>
        <v/>
      </c>
      <c r="X276" s="8">
        <f>IF(B276="","",IF(W276&gt;=5,"A+",IF(W276&gt;=4,"A",IF(W276&gt;=3.5,"A-",IF(W276&gt;=3,"B",IF(W276&gt;=2,"C",IF(W276&gt;=1,"D","F")))))))</f>
        <v/>
      </c>
      <c r="Y276">
        <f>NOT(OR(AND(J276&gt;=10,K276&gt;=23,L276&gt;=10,M276&gt;=23),AND(J276+L276&gt;=20,K276+M276&gt;=46)))</f>
        <v/>
      </c>
      <c r="Z276">
        <f>OR(N276&lt;10,O276&lt;23)</f>
        <v/>
      </c>
      <c r="AA276">
        <f>OR(P276&lt;10,Q276&lt;23)</f>
        <v/>
      </c>
      <c r="AB276">
        <f>OR((C276+D276)&lt;66,(E276+F276)&lt;66,G276&lt;33,(H276+I276)&lt;66,Y276,Z276,AA276,R276&lt;8.25)</f>
        <v/>
      </c>
      <c r="AC276">
        <f>IF(C276+D276&lt;66,0,IF((C276+D276)/2&gt;=80,5,IF((C276+D276)/2&gt;=70,4,IF((C276+D276)/2&gt;=60,3.5,IF((C276+D276)/2&gt;=50,3,IF((C276+D276)/2&gt;=40,2,IF((C276+D276)/2&gt;=33,1,0)))))))</f>
        <v/>
      </c>
      <c r="AD276">
        <f>IF(E276+F276&lt;66,0,IF((E276+F276)/2&gt;=80,5,IF((E276+F276)/2&gt;=70,4,IF((E276+F276)/2&gt;=60,3.5,IF((E276+F276)/2&gt;=50,3,IF((E276+F276)/2&gt;=40,2,IF((E276+F276)/2&gt;=33,1,0)))))))</f>
        <v/>
      </c>
      <c r="AE276">
        <f>IF(G276&lt;33,0,IF(G276&gt;=80,5,IF(G276&gt;=70,4,IF(G276&gt;=60,3.5,IF(G276&gt;=50,3,IF(G276&gt;=40,2,IF(G276&gt;=33,1,0)))))))</f>
        <v/>
      </c>
      <c r="AF276">
        <f>IF(H276+I276&lt;66,0,IF((H276+I276)/2&gt;=80,5,IF((H276+I276)/2&gt;=70,4,IF((H276+I276)/2&gt;=60,3.5,IF((H276+I276)/2&gt;=50,3,IF((H276+I276)/2&gt;=40,2,IF((H276+I276)/2&gt;=33,1,0)))))))</f>
        <v/>
      </c>
      <c r="AG276">
        <f>IF(Y276,0,IF((J276+K276+L276+M276)/2&gt;=80,5,IF((J276+K276+L276+M276)/2&gt;=70,4,IF((J276+K276+L276+M276)/2&gt;=60,3.5,IF((J276+K276+L276+M276)/2&gt;=50,3,IF((J276+K276+L276+M276)/2&gt;=40,2,IF((J276+K276+L276+M276)/2&gt;=33,1,0)))))))</f>
        <v/>
      </c>
      <c r="AH276">
        <f>IF(Z276,0,IF(N276+O276&gt;=80,5,IF(N276+O276&gt;=70,4,IF(N276+O276&gt;=60,3.5,IF(N276+O276&gt;=50,3,IF(N276+O276&gt;=40,2,IF(N276+O276&gt;=33,1,0)))))))</f>
        <v/>
      </c>
      <c r="AI276">
        <f>IF(AA276,0,IF(P276+Q276&gt;=80,5,IF(P276+Q276&gt;=70,4,IF(P276+Q276&gt;=60,3.5,IF(P276+Q276&gt;=50,3,IF(P276+Q276&gt;=40,2,IF(P276+Q276&gt;=33,1,0)))))))</f>
        <v/>
      </c>
      <c r="AJ276">
        <f>IF(R276&lt;8.25,0,IF(R276*2&gt;=80,5,IF(R276*2&gt;=70,4,IF(R276*2&gt;=60,3.5,IF(R276*2&gt;=50,3,IF(R276*2&gt;=40,2,IF(R276*2&gt;=33,1,0)))))))</f>
        <v/>
      </c>
      <c r="AK276">
        <f>IF(S276&lt;33,0,IF(S276&gt;=80,5,IF(S276&gt;=70,4,IF(S276&gt;=60,3.5,IF(S276&gt;=50,3,IF(S276&gt;=40,2,IF(S276&gt;=33,1,0)))))))</f>
        <v/>
      </c>
      <c r="AL276">
        <f>(AC276+AD276+AE276+AF276+AG276+AH276+AI276+AJ276)/8</f>
        <v/>
      </c>
      <c r="AM276">
        <f>IF(AK276&gt;=2,(AK276-2)/8,0)</f>
        <v/>
      </c>
    </row>
    <row r="277">
      <c r="T277">
        <f>SUM(C277:R277)</f>
        <v/>
      </c>
      <c r="U277" s="6">
        <f>ROUND(T277/11.5,2)</f>
        <v/>
      </c>
      <c r="V277" s="7">
        <f>IF(B277="","",IF(AB277,0,ROUND(AL277,2)))</f>
        <v/>
      </c>
      <c r="W277" s="7">
        <f>IF(B277="","",IF(AB277,0,MIN(5,ROUND(AL277+AM277,2))))</f>
        <v/>
      </c>
      <c r="X277" s="8">
        <f>IF(B277="","",IF(W277&gt;=5,"A+",IF(W277&gt;=4,"A",IF(W277&gt;=3.5,"A-",IF(W277&gt;=3,"B",IF(W277&gt;=2,"C",IF(W277&gt;=1,"D","F")))))))</f>
        <v/>
      </c>
      <c r="Y277">
        <f>NOT(OR(AND(J277&gt;=10,K277&gt;=23,L277&gt;=10,M277&gt;=23),AND(J277+L277&gt;=20,K277+M277&gt;=46)))</f>
        <v/>
      </c>
      <c r="Z277">
        <f>OR(N277&lt;10,O277&lt;23)</f>
        <v/>
      </c>
      <c r="AA277">
        <f>OR(P277&lt;10,Q277&lt;23)</f>
        <v/>
      </c>
      <c r="AB277">
        <f>OR((C277+D277)&lt;66,(E277+F277)&lt;66,G277&lt;33,(H277+I277)&lt;66,Y277,Z277,AA277,R277&lt;8.25)</f>
        <v/>
      </c>
      <c r="AC277">
        <f>IF(C277+D277&lt;66,0,IF((C277+D277)/2&gt;=80,5,IF((C277+D277)/2&gt;=70,4,IF((C277+D277)/2&gt;=60,3.5,IF((C277+D277)/2&gt;=50,3,IF((C277+D277)/2&gt;=40,2,IF((C277+D277)/2&gt;=33,1,0)))))))</f>
        <v/>
      </c>
      <c r="AD277">
        <f>IF(E277+F277&lt;66,0,IF((E277+F277)/2&gt;=80,5,IF((E277+F277)/2&gt;=70,4,IF((E277+F277)/2&gt;=60,3.5,IF((E277+F277)/2&gt;=50,3,IF((E277+F277)/2&gt;=40,2,IF((E277+F277)/2&gt;=33,1,0)))))))</f>
        <v/>
      </c>
      <c r="AE277">
        <f>IF(G277&lt;33,0,IF(G277&gt;=80,5,IF(G277&gt;=70,4,IF(G277&gt;=60,3.5,IF(G277&gt;=50,3,IF(G277&gt;=40,2,IF(G277&gt;=33,1,0)))))))</f>
        <v/>
      </c>
      <c r="AF277">
        <f>IF(H277+I277&lt;66,0,IF((H277+I277)/2&gt;=80,5,IF((H277+I277)/2&gt;=70,4,IF((H277+I277)/2&gt;=60,3.5,IF((H277+I277)/2&gt;=50,3,IF((H277+I277)/2&gt;=40,2,IF((H277+I277)/2&gt;=33,1,0)))))))</f>
        <v/>
      </c>
      <c r="AG277">
        <f>IF(Y277,0,IF((J277+K277+L277+M277)/2&gt;=80,5,IF((J277+K277+L277+M277)/2&gt;=70,4,IF((J277+K277+L277+M277)/2&gt;=60,3.5,IF((J277+K277+L277+M277)/2&gt;=50,3,IF((J277+K277+L277+M277)/2&gt;=40,2,IF((J277+K277+L277+M277)/2&gt;=33,1,0)))))))</f>
        <v/>
      </c>
      <c r="AH277">
        <f>IF(Z277,0,IF(N277+O277&gt;=80,5,IF(N277+O277&gt;=70,4,IF(N277+O277&gt;=60,3.5,IF(N277+O277&gt;=50,3,IF(N277+O277&gt;=40,2,IF(N277+O277&gt;=33,1,0)))))))</f>
        <v/>
      </c>
      <c r="AI277">
        <f>IF(AA277,0,IF(P277+Q277&gt;=80,5,IF(P277+Q277&gt;=70,4,IF(P277+Q277&gt;=60,3.5,IF(P277+Q277&gt;=50,3,IF(P277+Q277&gt;=40,2,IF(P277+Q277&gt;=33,1,0)))))))</f>
        <v/>
      </c>
      <c r="AJ277">
        <f>IF(R277&lt;8.25,0,IF(R277*2&gt;=80,5,IF(R277*2&gt;=70,4,IF(R277*2&gt;=60,3.5,IF(R277*2&gt;=50,3,IF(R277*2&gt;=40,2,IF(R277*2&gt;=33,1,0)))))))</f>
        <v/>
      </c>
      <c r="AK277">
        <f>IF(S277&lt;33,0,IF(S277&gt;=80,5,IF(S277&gt;=70,4,IF(S277&gt;=60,3.5,IF(S277&gt;=50,3,IF(S277&gt;=40,2,IF(S277&gt;=33,1,0)))))))</f>
        <v/>
      </c>
      <c r="AL277">
        <f>(AC277+AD277+AE277+AF277+AG277+AH277+AI277+AJ277)/8</f>
        <v/>
      </c>
      <c r="AM277">
        <f>IF(AK277&gt;=2,(AK277-2)/8,0)</f>
        <v/>
      </c>
    </row>
    <row r="278">
      <c r="T278">
        <f>SUM(C278:R278)</f>
        <v/>
      </c>
      <c r="U278" s="6">
        <f>ROUND(T278/11.5,2)</f>
        <v/>
      </c>
      <c r="V278" s="7">
        <f>IF(B278="","",IF(AB278,0,ROUND(AL278,2)))</f>
        <v/>
      </c>
      <c r="W278" s="7">
        <f>IF(B278="","",IF(AB278,0,MIN(5,ROUND(AL278+AM278,2))))</f>
        <v/>
      </c>
      <c r="X278" s="8">
        <f>IF(B278="","",IF(W278&gt;=5,"A+",IF(W278&gt;=4,"A",IF(W278&gt;=3.5,"A-",IF(W278&gt;=3,"B",IF(W278&gt;=2,"C",IF(W278&gt;=1,"D","F")))))))</f>
        <v/>
      </c>
      <c r="Y278">
        <f>NOT(OR(AND(J278&gt;=10,K278&gt;=23,L278&gt;=10,M278&gt;=23),AND(J278+L278&gt;=20,K278+M278&gt;=46)))</f>
        <v/>
      </c>
      <c r="Z278">
        <f>OR(N278&lt;10,O278&lt;23)</f>
        <v/>
      </c>
      <c r="AA278">
        <f>OR(P278&lt;10,Q278&lt;23)</f>
        <v/>
      </c>
      <c r="AB278">
        <f>OR((C278+D278)&lt;66,(E278+F278)&lt;66,G278&lt;33,(H278+I278)&lt;66,Y278,Z278,AA278,R278&lt;8.25)</f>
        <v/>
      </c>
      <c r="AC278">
        <f>IF(C278+D278&lt;66,0,IF((C278+D278)/2&gt;=80,5,IF((C278+D278)/2&gt;=70,4,IF((C278+D278)/2&gt;=60,3.5,IF((C278+D278)/2&gt;=50,3,IF((C278+D278)/2&gt;=40,2,IF((C278+D278)/2&gt;=33,1,0)))))))</f>
        <v/>
      </c>
      <c r="AD278">
        <f>IF(E278+F278&lt;66,0,IF((E278+F278)/2&gt;=80,5,IF((E278+F278)/2&gt;=70,4,IF((E278+F278)/2&gt;=60,3.5,IF((E278+F278)/2&gt;=50,3,IF((E278+F278)/2&gt;=40,2,IF((E278+F278)/2&gt;=33,1,0)))))))</f>
        <v/>
      </c>
      <c r="AE278">
        <f>IF(G278&lt;33,0,IF(G278&gt;=80,5,IF(G278&gt;=70,4,IF(G278&gt;=60,3.5,IF(G278&gt;=50,3,IF(G278&gt;=40,2,IF(G278&gt;=33,1,0)))))))</f>
        <v/>
      </c>
      <c r="AF278">
        <f>IF(H278+I278&lt;66,0,IF((H278+I278)/2&gt;=80,5,IF((H278+I278)/2&gt;=70,4,IF((H278+I278)/2&gt;=60,3.5,IF((H278+I278)/2&gt;=50,3,IF((H278+I278)/2&gt;=40,2,IF((H278+I278)/2&gt;=33,1,0)))))))</f>
        <v/>
      </c>
      <c r="AG278">
        <f>IF(Y278,0,IF((J278+K278+L278+M278)/2&gt;=80,5,IF((J278+K278+L278+M278)/2&gt;=70,4,IF((J278+K278+L278+M278)/2&gt;=60,3.5,IF((J278+K278+L278+M278)/2&gt;=50,3,IF((J278+K278+L278+M278)/2&gt;=40,2,IF((J278+K278+L278+M278)/2&gt;=33,1,0)))))))</f>
        <v/>
      </c>
      <c r="AH278">
        <f>IF(Z278,0,IF(N278+O278&gt;=80,5,IF(N278+O278&gt;=70,4,IF(N278+O278&gt;=60,3.5,IF(N278+O278&gt;=50,3,IF(N278+O278&gt;=40,2,IF(N278+O278&gt;=33,1,0)))))))</f>
        <v/>
      </c>
      <c r="AI278">
        <f>IF(AA278,0,IF(P278+Q278&gt;=80,5,IF(P278+Q278&gt;=70,4,IF(P278+Q278&gt;=60,3.5,IF(P278+Q278&gt;=50,3,IF(P278+Q278&gt;=40,2,IF(P278+Q278&gt;=33,1,0)))))))</f>
        <v/>
      </c>
      <c r="AJ278">
        <f>IF(R278&lt;8.25,0,IF(R278*2&gt;=80,5,IF(R278*2&gt;=70,4,IF(R278*2&gt;=60,3.5,IF(R278*2&gt;=50,3,IF(R278*2&gt;=40,2,IF(R278*2&gt;=33,1,0)))))))</f>
        <v/>
      </c>
      <c r="AK278">
        <f>IF(S278&lt;33,0,IF(S278&gt;=80,5,IF(S278&gt;=70,4,IF(S278&gt;=60,3.5,IF(S278&gt;=50,3,IF(S278&gt;=40,2,IF(S278&gt;=33,1,0)))))))</f>
        <v/>
      </c>
      <c r="AL278">
        <f>(AC278+AD278+AE278+AF278+AG278+AH278+AI278+AJ278)/8</f>
        <v/>
      </c>
      <c r="AM278">
        <f>IF(AK278&gt;=2,(AK278-2)/8,0)</f>
        <v/>
      </c>
    </row>
    <row r="279">
      <c r="T279">
        <f>SUM(C279:R279)</f>
        <v/>
      </c>
      <c r="U279" s="6">
        <f>ROUND(T279/11.5,2)</f>
        <v/>
      </c>
      <c r="V279" s="7">
        <f>IF(B279="","",IF(AB279,0,ROUND(AL279,2)))</f>
        <v/>
      </c>
      <c r="W279" s="7">
        <f>IF(B279="","",IF(AB279,0,MIN(5,ROUND(AL279+AM279,2))))</f>
        <v/>
      </c>
      <c r="X279" s="8">
        <f>IF(B279="","",IF(W279&gt;=5,"A+",IF(W279&gt;=4,"A",IF(W279&gt;=3.5,"A-",IF(W279&gt;=3,"B",IF(W279&gt;=2,"C",IF(W279&gt;=1,"D","F")))))))</f>
        <v/>
      </c>
      <c r="Y279">
        <f>NOT(OR(AND(J279&gt;=10,K279&gt;=23,L279&gt;=10,M279&gt;=23),AND(J279+L279&gt;=20,K279+M279&gt;=46)))</f>
        <v/>
      </c>
      <c r="Z279">
        <f>OR(N279&lt;10,O279&lt;23)</f>
        <v/>
      </c>
      <c r="AA279">
        <f>OR(P279&lt;10,Q279&lt;23)</f>
        <v/>
      </c>
      <c r="AB279">
        <f>OR((C279+D279)&lt;66,(E279+F279)&lt;66,G279&lt;33,(H279+I279)&lt;66,Y279,Z279,AA279,R279&lt;8.25)</f>
        <v/>
      </c>
      <c r="AC279">
        <f>IF(C279+D279&lt;66,0,IF((C279+D279)/2&gt;=80,5,IF((C279+D279)/2&gt;=70,4,IF((C279+D279)/2&gt;=60,3.5,IF((C279+D279)/2&gt;=50,3,IF((C279+D279)/2&gt;=40,2,IF((C279+D279)/2&gt;=33,1,0)))))))</f>
        <v/>
      </c>
      <c r="AD279">
        <f>IF(E279+F279&lt;66,0,IF((E279+F279)/2&gt;=80,5,IF((E279+F279)/2&gt;=70,4,IF((E279+F279)/2&gt;=60,3.5,IF((E279+F279)/2&gt;=50,3,IF((E279+F279)/2&gt;=40,2,IF((E279+F279)/2&gt;=33,1,0)))))))</f>
        <v/>
      </c>
      <c r="AE279">
        <f>IF(G279&lt;33,0,IF(G279&gt;=80,5,IF(G279&gt;=70,4,IF(G279&gt;=60,3.5,IF(G279&gt;=50,3,IF(G279&gt;=40,2,IF(G279&gt;=33,1,0)))))))</f>
        <v/>
      </c>
      <c r="AF279">
        <f>IF(H279+I279&lt;66,0,IF((H279+I279)/2&gt;=80,5,IF((H279+I279)/2&gt;=70,4,IF((H279+I279)/2&gt;=60,3.5,IF((H279+I279)/2&gt;=50,3,IF((H279+I279)/2&gt;=40,2,IF((H279+I279)/2&gt;=33,1,0)))))))</f>
        <v/>
      </c>
      <c r="AG279">
        <f>IF(Y279,0,IF((J279+K279+L279+M279)/2&gt;=80,5,IF((J279+K279+L279+M279)/2&gt;=70,4,IF((J279+K279+L279+M279)/2&gt;=60,3.5,IF((J279+K279+L279+M279)/2&gt;=50,3,IF((J279+K279+L279+M279)/2&gt;=40,2,IF((J279+K279+L279+M279)/2&gt;=33,1,0)))))))</f>
        <v/>
      </c>
      <c r="AH279">
        <f>IF(Z279,0,IF(N279+O279&gt;=80,5,IF(N279+O279&gt;=70,4,IF(N279+O279&gt;=60,3.5,IF(N279+O279&gt;=50,3,IF(N279+O279&gt;=40,2,IF(N279+O279&gt;=33,1,0)))))))</f>
        <v/>
      </c>
      <c r="AI279">
        <f>IF(AA279,0,IF(P279+Q279&gt;=80,5,IF(P279+Q279&gt;=70,4,IF(P279+Q279&gt;=60,3.5,IF(P279+Q279&gt;=50,3,IF(P279+Q279&gt;=40,2,IF(P279+Q279&gt;=33,1,0)))))))</f>
        <v/>
      </c>
      <c r="AJ279">
        <f>IF(R279&lt;8.25,0,IF(R279*2&gt;=80,5,IF(R279*2&gt;=70,4,IF(R279*2&gt;=60,3.5,IF(R279*2&gt;=50,3,IF(R279*2&gt;=40,2,IF(R279*2&gt;=33,1,0)))))))</f>
        <v/>
      </c>
      <c r="AK279">
        <f>IF(S279&lt;33,0,IF(S279&gt;=80,5,IF(S279&gt;=70,4,IF(S279&gt;=60,3.5,IF(S279&gt;=50,3,IF(S279&gt;=40,2,IF(S279&gt;=33,1,0)))))))</f>
        <v/>
      </c>
      <c r="AL279">
        <f>(AC279+AD279+AE279+AF279+AG279+AH279+AI279+AJ279)/8</f>
        <v/>
      </c>
      <c r="AM279">
        <f>IF(AK279&gt;=2,(AK279-2)/8,0)</f>
        <v/>
      </c>
    </row>
    <row r="280">
      <c r="T280">
        <f>SUM(C280:R280)</f>
        <v/>
      </c>
      <c r="U280" s="6">
        <f>ROUND(T280/11.5,2)</f>
        <v/>
      </c>
      <c r="V280" s="7">
        <f>IF(B280="","",IF(AB280,0,ROUND(AL280,2)))</f>
        <v/>
      </c>
      <c r="W280" s="7">
        <f>IF(B280="","",IF(AB280,0,MIN(5,ROUND(AL280+AM280,2))))</f>
        <v/>
      </c>
      <c r="X280" s="8">
        <f>IF(B280="","",IF(W280&gt;=5,"A+",IF(W280&gt;=4,"A",IF(W280&gt;=3.5,"A-",IF(W280&gt;=3,"B",IF(W280&gt;=2,"C",IF(W280&gt;=1,"D","F")))))))</f>
        <v/>
      </c>
      <c r="Y280">
        <f>NOT(OR(AND(J280&gt;=10,K280&gt;=23,L280&gt;=10,M280&gt;=23),AND(J280+L280&gt;=20,K280+M280&gt;=46)))</f>
        <v/>
      </c>
      <c r="Z280">
        <f>OR(N280&lt;10,O280&lt;23)</f>
        <v/>
      </c>
      <c r="AA280">
        <f>OR(P280&lt;10,Q280&lt;23)</f>
        <v/>
      </c>
      <c r="AB280">
        <f>OR((C280+D280)&lt;66,(E280+F280)&lt;66,G280&lt;33,(H280+I280)&lt;66,Y280,Z280,AA280,R280&lt;8.25)</f>
        <v/>
      </c>
      <c r="AC280">
        <f>IF(C280+D280&lt;66,0,IF((C280+D280)/2&gt;=80,5,IF((C280+D280)/2&gt;=70,4,IF((C280+D280)/2&gt;=60,3.5,IF((C280+D280)/2&gt;=50,3,IF((C280+D280)/2&gt;=40,2,IF((C280+D280)/2&gt;=33,1,0)))))))</f>
        <v/>
      </c>
      <c r="AD280">
        <f>IF(E280+F280&lt;66,0,IF((E280+F280)/2&gt;=80,5,IF((E280+F280)/2&gt;=70,4,IF((E280+F280)/2&gt;=60,3.5,IF((E280+F280)/2&gt;=50,3,IF((E280+F280)/2&gt;=40,2,IF((E280+F280)/2&gt;=33,1,0)))))))</f>
        <v/>
      </c>
      <c r="AE280">
        <f>IF(G280&lt;33,0,IF(G280&gt;=80,5,IF(G280&gt;=70,4,IF(G280&gt;=60,3.5,IF(G280&gt;=50,3,IF(G280&gt;=40,2,IF(G280&gt;=33,1,0)))))))</f>
        <v/>
      </c>
      <c r="AF280">
        <f>IF(H280+I280&lt;66,0,IF((H280+I280)/2&gt;=80,5,IF((H280+I280)/2&gt;=70,4,IF((H280+I280)/2&gt;=60,3.5,IF((H280+I280)/2&gt;=50,3,IF((H280+I280)/2&gt;=40,2,IF((H280+I280)/2&gt;=33,1,0)))))))</f>
        <v/>
      </c>
      <c r="AG280">
        <f>IF(Y280,0,IF((J280+K280+L280+M280)/2&gt;=80,5,IF((J280+K280+L280+M280)/2&gt;=70,4,IF((J280+K280+L280+M280)/2&gt;=60,3.5,IF((J280+K280+L280+M280)/2&gt;=50,3,IF((J280+K280+L280+M280)/2&gt;=40,2,IF((J280+K280+L280+M280)/2&gt;=33,1,0)))))))</f>
        <v/>
      </c>
      <c r="AH280">
        <f>IF(Z280,0,IF(N280+O280&gt;=80,5,IF(N280+O280&gt;=70,4,IF(N280+O280&gt;=60,3.5,IF(N280+O280&gt;=50,3,IF(N280+O280&gt;=40,2,IF(N280+O280&gt;=33,1,0)))))))</f>
        <v/>
      </c>
      <c r="AI280">
        <f>IF(AA280,0,IF(P280+Q280&gt;=80,5,IF(P280+Q280&gt;=70,4,IF(P280+Q280&gt;=60,3.5,IF(P280+Q280&gt;=50,3,IF(P280+Q280&gt;=40,2,IF(P280+Q280&gt;=33,1,0)))))))</f>
        <v/>
      </c>
      <c r="AJ280">
        <f>IF(R280&lt;8.25,0,IF(R280*2&gt;=80,5,IF(R280*2&gt;=70,4,IF(R280*2&gt;=60,3.5,IF(R280*2&gt;=50,3,IF(R280*2&gt;=40,2,IF(R280*2&gt;=33,1,0)))))))</f>
        <v/>
      </c>
      <c r="AK280">
        <f>IF(S280&lt;33,0,IF(S280&gt;=80,5,IF(S280&gt;=70,4,IF(S280&gt;=60,3.5,IF(S280&gt;=50,3,IF(S280&gt;=40,2,IF(S280&gt;=33,1,0)))))))</f>
        <v/>
      </c>
      <c r="AL280">
        <f>(AC280+AD280+AE280+AF280+AG280+AH280+AI280+AJ280)/8</f>
        <v/>
      </c>
      <c r="AM280">
        <f>IF(AK280&gt;=2,(AK280-2)/8,0)</f>
        <v/>
      </c>
    </row>
    <row r="281">
      <c r="T281">
        <f>SUM(C281:R281)</f>
        <v/>
      </c>
      <c r="U281" s="6">
        <f>ROUND(T281/11.5,2)</f>
        <v/>
      </c>
      <c r="V281" s="7">
        <f>IF(B281="","",IF(AB281,0,ROUND(AL281,2)))</f>
        <v/>
      </c>
      <c r="W281" s="7">
        <f>IF(B281="","",IF(AB281,0,MIN(5,ROUND(AL281+AM281,2))))</f>
        <v/>
      </c>
      <c r="X281" s="8">
        <f>IF(B281="","",IF(W281&gt;=5,"A+",IF(W281&gt;=4,"A",IF(W281&gt;=3.5,"A-",IF(W281&gt;=3,"B",IF(W281&gt;=2,"C",IF(W281&gt;=1,"D","F")))))))</f>
        <v/>
      </c>
      <c r="Y281">
        <f>NOT(OR(AND(J281&gt;=10,K281&gt;=23,L281&gt;=10,M281&gt;=23),AND(J281+L281&gt;=20,K281+M281&gt;=46)))</f>
        <v/>
      </c>
      <c r="Z281">
        <f>OR(N281&lt;10,O281&lt;23)</f>
        <v/>
      </c>
      <c r="AA281">
        <f>OR(P281&lt;10,Q281&lt;23)</f>
        <v/>
      </c>
      <c r="AB281">
        <f>OR((C281+D281)&lt;66,(E281+F281)&lt;66,G281&lt;33,(H281+I281)&lt;66,Y281,Z281,AA281,R281&lt;8.25)</f>
        <v/>
      </c>
      <c r="AC281">
        <f>IF(C281+D281&lt;66,0,IF((C281+D281)/2&gt;=80,5,IF((C281+D281)/2&gt;=70,4,IF((C281+D281)/2&gt;=60,3.5,IF((C281+D281)/2&gt;=50,3,IF((C281+D281)/2&gt;=40,2,IF((C281+D281)/2&gt;=33,1,0)))))))</f>
        <v/>
      </c>
      <c r="AD281">
        <f>IF(E281+F281&lt;66,0,IF((E281+F281)/2&gt;=80,5,IF((E281+F281)/2&gt;=70,4,IF((E281+F281)/2&gt;=60,3.5,IF((E281+F281)/2&gt;=50,3,IF((E281+F281)/2&gt;=40,2,IF((E281+F281)/2&gt;=33,1,0)))))))</f>
        <v/>
      </c>
      <c r="AE281">
        <f>IF(G281&lt;33,0,IF(G281&gt;=80,5,IF(G281&gt;=70,4,IF(G281&gt;=60,3.5,IF(G281&gt;=50,3,IF(G281&gt;=40,2,IF(G281&gt;=33,1,0)))))))</f>
        <v/>
      </c>
      <c r="AF281">
        <f>IF(H281+I281&lt;66,0,IF((H281+I281)/2&gt;=80,5,IF((H281+I281)/2&gt;=70,4,IF((H281+I281)/2&gt;=60,3.5,IF((H281+I281)/2&gt;=50,3,IF((H281+I281)/2&gt;=40,2,IF((H281+I281)/2&gt;=33,1,0)))))))</f>
        <v/>
      </c>
      <c r="AG281">
        <f>IF(Y281,0,IF((J281+K281+L281+M281)/2&gt;=80,5,IF((J281+K281+L281+M281)/2&gt;=70,4,IF((J281+K281+L281+M281)/2&gt;=60,3.5,IF((J281+K281+L281+M281)/2&gt;=50,3,IF((J281+K281+L281+M281)/2&gt;=40,2,IF((J281+K281+L281+M281)/2&gt;=33,1,0)))))))</f>
        <v/>
      </c>
      <c r="AH281">
        <f>IF(Z281,0,IF(N281+O281&gt;=80,5,IF(N281+O281&gt;=70,4,IF(N281+O281&gt;=60,3.5,IF(N281+O281&gt;=50,3,IF(N281+O281&gt;=40,2,IF(N281+O281&gt;=33,1,0)))))))</f>
        <v/>
      </c>
      <c r="AI281">
        <f>IF(AA281,0,IF(P281+Q281&gt;=80,5,IF(P281+Q281&gt;=70,4,IF(P281+Q281&gt;=60,3.5,IF(P281+Q281&gt;=50,3,IF(P281+Q281&gt;=40,2,IF(P281+Q281&gt;=33,1,0)))))))</f>
        <v/>
      </c>
      <c r="AJ281">
        <f>IF(R281&lt;8.25,0,IF(R281*2&gt;=80,5,IF(R281*2&gt;=70,4,IF(R281*2&gt;=60,3.5,IF(R281*2&gt;=50,3,IF(R281*2&gt;=40,2,IF(R281*2&gt;=33,1,0)))))))</f>
        <v/>
      </c>
      <c r="AK281">
        <f>IF(S281&lt;33,0,IF(S281&gt;=80,5,IF(S281&gt;=70,4,IF(S281&gt;=60,3.5,IF(S281&gt;=50,3,IF(S281&gt;=40,2,IF(S281&gt;=33,1,0)))))))</f>
        <v/>
      </c>
      <c r="AL281">
        <f>(AC281+AD281+AE281+AF281+AG281+AH281+AI281+AJ281)/8</f>
        <v/>
      </c>
      <c r="AM281">
        <f>IF(AK281&gt;=2,(AK281-2)/8,0)</f>
        <v/>
      </c>
    </row>
    <row r="282">
      <c r="T282">
        <f>SUM(C282:R282)</f>
        <v/>
      </c>
      <c r="U282" s="6">
        <f>ROUND(T282/11.5,2)</f>
        <v/>
      </c>
      <c r="V282" s="7">
        <f>IF(B282="","",IF(AB282,0,ROUND(AL282,2)))</f>
        <v/>
      </c>
      <c r="W282" s="7">
        <f>IF(B282="","",IF(AB282,0,MIN(5,ROUND(AL282+AM282,2))))</f>
        <v/>
      </c>
      <c r="X282" s="8">
        <f>IF(B282="","",IF(W282&gt;=5,"A+",IF(W282&gt;=4,"A",IF(W282&gt;=3.5,"A-",IF(W282&gt;=3,"B",IF(W282&gt;=2,"C",IF(W282&gt;=1,"D","F")))))))</f>
        <v/>
      </c>
      <c r="Y282">
        <f>NOT(OR(AND(J282&gt;=10,K282&gt;=23,L282&gt;=10,M282&gt;=23),AND(J282+L282&gt;=20,K282+M282&gt;=46)))</f>
        <v/>
      </c>
      <c r="Z282">
        <f>OR(N282&lt;10,O282&lt;23)</f>
        <v/>
      </c>
      <c r="AA282">
        <f>OR(P282&lt;10,Q282&lt;23)</f>
        <v/>
      </c>
      <c r="AB282">
        <f>OR((C282+D282)&lt;66,(E282+F282)&lt;66,G282&lt;33,(H282+I282)&lt;66,Y282,Z282,AA282,R282&lt;8.25)</f>
        <v/>
      </c>
      <c r="AC282">
        <f>IF(C282+D282&lt;66,0,IF((C282+D282)/2&gt;=80,5,IF((C282+D282)/2&gt;=70,4,IF((C282+D282)/2&gt;=60,3.5,IF((C282+D282)/2&gt;=50,3,IF((C282+D282)/2&gt;=40,2,IF((C282+D282)/2&gt;=33,1,0)))))))</f>
        <v/>
      </c>
      <c r="AD282">
        <f>IF(E282+F282&lt;66,0,IF((E282+F282)/2&gt;=80,5,IF((E282+F282)/2&gt;=70,4,IF((E282+F282)/2&gt;=60,3.5,IF((E282+F282)/2&gt;=50,3,IF((E282+F282)/2&gt;=40,2,IF((E282+F282)/2&gt;=33,1,0)))))))</f>
        <v/>
      </c>
      <c r="AE282">
        <f>IF(G282&lt;33,0,IF(G282&gt;=80,5,IF(G282&gt;=70,4,IF(G282&gt;=60,3.5,IF(G282&gt;=50,3,IF(G282&gt;=40,2,IF(G282&gt;=33,1,0)))))))</f>
        <v/>
      </c>
      <c r="AF282">
        <f>IF(H282+I282&lt;66,0,IF((H282+I282)/2&gt;=80,5,IF((H282+I282)/2&gt;=70,4,IF((H282+I282)/2&gt;=60,3.5,IF((H282+I282)/2&gt;=50,3,IF((H282+I282)/2&gt;=40,2,IF((H282+I282)/2&gt;=33,1,0)))))))</f>
        <v/>
      </c>
      <c r="AG282">
        <f>IF(Y282,0,IF((J282+K282+L282+M282)/2&gt;=80,5,IF((J282+K282+L282+M282)/2&gt;=70,4,IF((J282+K282+L282+M282)/2&gt;=60,3.5,IF((J282+K282+L282+M282)/2&gt;=50,3,IF((J282+K282+L282+M282)/2&gt;=40,2,IF((J282+K282+L282+M282)/2&gt;=33,1,0)))))))</f>
        <v/>
      </c>
      <c r="AH282">
        <f>IF(Z282,0,IF(N282+O282&gt;=80,5,IF(N282+O282&gt;=70,4,IF(N282+O282&gt;=60,3.5,IF(N282+O282&gt;=50,3,IF(N282+O282&gt;=40,2,IF(N282+O282&gt;=33,1,0)))))))</f>
        <v/>
      </c>
      <c r="AI282">
        <f>IF(AA282,0,IF(P282+Q282&gt;=80,5,IF(P282+Q282&gt;=70,4,IF(P282+Q282&gt;=60,3.5,IF(P282+Q282&gt;=50,3,IF(P282+Q282&gt;=40,2,IF(P282+Q282&gt;=33,1,0)))))))</f>
        <v/>
      </c>
      <c r="AJ282">
        <f>IF(R282&lt;8.25,0,IF(R282*2&gt;=80,5,IF(R282*2&gt;=70,4,IF(R282*2&gt;=60,3.5,IF(R282*2&gt;=50,3,IF(R282*2&gt;=40,2,IF(R282*2&gt;=33,1,0)))))))</f>
        <v/>
      </c>
      <c r="AK282">
        <f>IF(S282&lt;33,0,IF(S282&gt;=80,5,IF(S282&gt;=70,4,IF(S282&gt;=60,3.5,IF(S282&gt;=50,3,IF(S282&gt;=40,2,IF(S282&gt;=33,1,0)))))))</f>
        <v/>
      </c>
      <c r="AL282">
        <f>(AC282+AD282+AE282+AF282+AG282+AH282+AI282+AJ282)/8</f>
        <v/>
      </c>
      <c r="AM282">
        <f>IF(AK282&gt;=2,(AK282-2)/8,0)</f>
        <v/>
      </c>
    </row>
    <row r="283">
      <c r="T283">
        <f>SUM(C283:R283)</f>
        <v/>
      </c>
      <c r="U283" s="6">
        <f>ROUND(T283/11.5,2)</f>
        <v/>
      </c>
      <c r="V283" s="7">
        <f>IF(B283="","",IF(AB283,0,ROUND(AL283,2)))</f>
        <v/>
      </c>
      <c r="W283" s="7">
        <f>IF(B283="","",IF(AB283,0,MIN(5,ROUND(AL283+AM283,2))))</f>
        <v/>
      </c>
      <c r="X283" s="8">
        <f>IF(B283="","",IF(W283&gt;=5,"A+",IF(W283&gt;=4,"A",IF(W283&gt;=3.5,"A-",IF(W283&gt;=3,"B",IF(W283&gt;=2,"C",IF(W283&gt;=1,"D","F")))))))</f>
        <v/>
      </c>
      <c r="Y283">
        <f>NOT(OR(AND(J283&gt;=10,K283&gt;=23,L283&gt;=10,M283&gt;=23),AND(J283+L283&gt;=20,K283+M283&gt;=46)))</f>
        <v/>
      </c>
      <c r="Z283">
        <f>OR(N283&lt;10,O283&lt;23)</f>
        <v/>
      </c>
      <c r="AA283">
        <f>OR(P283&lt;10,Q283&lt;23)</f>
        <v/>
      </c>
      <c r="AB283">
        <f>OR((C283+D283)&lt;66,(E283+F283)&lt;66,G283&lt;33,(H283+I283)&lt;66,Y283,Z283,AA283,R283&lt;8.25)</f>
        <v/>
      </c>
      <c r="AC283">
        <f>IF(C283+D283&lt;66,0,IF((C283+D283)/2&gt;=80,5,IF((C283+D283)/2&gt;=70,4,IF((C283+D283)/2&gt;=60,3.5,IF((C283+D283)/2&gt;=50,3,IF((C283+D283)/2&gt;=40,2,IF((C283+D283)/2&gt;=33,1,0)))))))</f>
        <v/>
      </c>
      <c r="AD283">
        <f>IF(E283+F283&lt;66,0,IF((E283+F283)/2&gt;=80,5,IF((E283+F283)/2&gt;=70,4,IF((E283+F283)/2&gt;=60,3.5,IF((E283+F283)/2&gt;=50,3,IF((E283+F283)/2&gt;=40,2,IF((E283+F283)/2&gt;=33,1,0)))))))</f>
        <v/>
      </c>
      <c r="AE283">
        <f>IF(G283&lt;33,0,IF(G283&gt;=80,5,IF(G283&gt;=70,4,IF(G283&gt;=60,3.5,IF(G283&gt;=50,3,IF(G283&gt;=40,2,IF(G283&gt;=33,1,0)))))))</f>
        <v/>
      </c>
      <c r="AF283">
        <f>IF(H283+I283&lt;66,0,IF((H283+I283)/2&gt;=80,5,IF((H283+I283)/2&gt;=70,4,IF((H283+I283)/2&gt;=60,3.5,IF((H283+I283)/2&gt;=50,3,IF((H283+I283)/2&gt;=40,2,IF((H283+I283)/2&gt;=33,1,0)))))))</f>
        <v/>
      </c>
      <c r="AG283">
        <f>IF(Y283,0,IF((J283+K283+L283+M283)/2&gt;=80,5,IF((J283+K283+L283+M283)/2&gt;=70,4,IF((J283+K283+L283+M283)/2&gt;=60,3.5,IF((J283+K283+L283+M283)/2&gt;=50,3,IF((J283+K283+L283+M283)/2&gt;=40,2,IF((J283+K283+L283+M283)/2&gt;=33,1,0)))))))</f>
        <v/>
      </c>
      <c r="AH283">
        <f>IF(Z283,0,IF(N283+O283&gt;=80,5,IF(N283+O283&gt;=70,4,IF(N283+O283&gt;=60,3.5,IF(N283+O283&gt;=50,3,IF(N283+O283&gt;=40,2,IF(N283+O283&gt;=33,1,0)))))))</f>
        <v/>
      </c>
      <c r="AI283">
        <f>IF(AA283,0,IF(P283+Q283&gt;=80,5,IF(P283+Q283&gt;=70,4,IF(P283+Q283&gt;=60,3.5,IF(P283+Q283&gt;=50,3,IF(P283+Q283&gt;=40,2,IF(P283+Q283&gt;=33,1,0)))))))</f>
        <v/>
      </c>
      <c r="AJ283">
        <f>IF(R283&lt;8.25,0,IF(R283*2&gt;=80,5,IF(R283*2&gt;=70,4,IF(R283*2&gt;=60,3.5,IF(R283*2&gt;=50,3,IF(R283*2&gt;=40,2,IF(R283*2&gt;=33,1,0)))))))</f>
        <v/>
      </c>
      <c r="AK283">
        <f>IF(S283&lt;33,0,IF(S283&gt;=80,5,IF(S283&gt;=70,4,IF(S283&gt;=60,3.5,IF(S283&gt;=50,3,IF(S283&gt;=40,2,IF(S283&gt;=33,1,0)))))))</f>
        <v/>
      </c>
      <c r="AL283">
        <f>(AC283+AD283+AE283+AF283+AG283+AH283+AI283+AJ283)/8</f>
        <v/>
      </c>
      <c r="AM283">
        <f>IF(AK283&gt;=2,(AK283-2)/8,0)</f>
        <v/>
      </c>
    </row>
    <row r="284">
      <c r="T284">
        <f>SUM(C284:R284)</f>
        <v/>
      </c>
      <c r="U284" s="6">
        <f>ROUND(T284/11.5,2)</f>
        <v/>
      </c>
      <c r="V284" s="7">
        <f>IF(B284="","",IF(AB284,0,ROUND(AL284,2)))</f>
        <v/>
      </c>
      <c r="W284" s="7">
        <f>IF(B284="","",IF(AB284,0,MIN(5,ROUND(AL284+AM284,2))))</f>
        <v/>
      </c>
      <c r="X284" s="8">
        <f>IF(B284="","",IF(W284&gt;=5,"A+",IF(W284&gt;=4,"A",IF(W284&gt;=3.5,"A-",IF(W284&gt;=3,"B",IF(W284&gt;=2,"C",IF(W284&gt;=1,"D","F")))))))</f>
        <v/>
      </c>
      <c r="Y284">
        <f>NOT(OR(AND(J284&gt;=10,K284&gt;=23,L284&gt;=10,M284&gt;=23),AND(J284+L284&gt;=20,K284+M284&gt;=46)))</f>
        <v/>
      </c>
      <c r="Z284">
        <f>OR(N284&lt;10,O284&lt;23)</f>
        <v/>
      </c>
      <c r="AA284">
        <f>OR(P284&lt;10,Q284&lt;23)</f>
        <v/>
      </c>
      <c r="AB284">
        <f>OR((C284+D284)&lt;66,(E284+F284)&lt;66,G284&lt;33,(H284+I284)&lt;66,Y284,Z284,AA284,R284&lt;8.25)</f>
        <v/>
      </c>
      <c r="AC284">
        <f>IF(C284+D284&lt;66,0,IF((C284+D284)/2&gt;=80,5,IF((C284+D284)/2&gt;=70,4,IF((C284+D284)/2&gt;=60,3.5,IF((C284+D284)/2&gt;=50,3,IF((C284+D284)/2&gt;=40,2,IF((C284+D284)/2&gt;=33,1,0)))))))</f>
        <v/>
      </c>
      <c r="AD284">
        <f>IF(E284+F284&lt;66,0,IF((E284+F284)/2&gt;=80,5,IF((E284+F284)/2&gt;=70,4,IF((E284+F284)/2&gt;=60,3.5,IF((E284+F284)/2&gt;=50,3,IF((E284+F284)/2&gt;=40,2,IF((E284+F284)/2&gt;=33,1,0)))))))</f>
        <v/>
      </c>
      <c r="AE284">
        <f>IF(G284&lt;33,0,IF(G284&gt;=80,5,IF(G284&gt;=70,4,IF(G284&gt;=60,3.5,IF(G284&gt;=50,3,IF(G284&gt;=40,2,IF(G284&gt;=33,1,0)))))))</f>
        <v/>
      </c>
      <c r="AF284">
        <f>IF(H284+I284&lt;66,0,IF((H284+I284)/2&gt;=80,5,IF((H284+I284)/2&gt;=70,4,IF((H284+I284)/2&gt;=60,3.5,IF((H284+I284)/2&gt;=50,3,IF((H284+I284)/2&gt;=40,2,IF((H284+I284)/2&gt;=33,1,0)))))))</f>
        <v/>
      </c>
      <c r="AG284">
        <f>IF(Y284,0,IF((J284+K284+L284+M284)/2&gt;=80,5,IF((J284+K284+L284+M284)/2&gt;=70,4,IF((J284+K284+L284+M284)/2&gt;=60,3.5,IF((J284+K284+L284+M284)/2&gt;=50,3,IF((J284+K284+L284+M284)/2&gt;=40,2,IF((J284+K284+L284+M284)/2&gt;=33,1,0)))))))</f>
        <v/>
      </c>
      <c r="AH284">
        <f>IF(Z284,0,IF(N284+O284&gt;=80,5,IF(N284+O284&gt;=70,4,IF(N284+O284&gt;=60,3.5,IF(N284+O284&gt;=50,3,IF(N284+O284&gt;=40,2,IF(N284+O284&gt;=33,1,0)))))))</f>
        <v/>
      </c>
      <c r="AI284">
        <f>IF(AA284,0,IF(P284+Q284&gt;=80,5,IF(P284+Q284&gt;=70,4,IF(P284+Q284&gt;=60,3.5,IF(P284+Q284&gt;=50,3,IF(P284+Q284&gt;=40,2,IF(P284+Q284&gt;=33,1,0)))))))</f>
        <v/>
      </c>
      <c r="AJ284">
        <f>IF(R284&lt;8.25,0,IF(R284*2&gt;=80,5,IF(R284*2&gt;=70,4,IF(R284*2&gt;=60,3.5,IF(R284*2&gt;=50,3,IF(R284*2&gt;=40,2,IF(R284*2&gt;=33,1,0)))))))</f>
        <v/>
      </c>
      <c r="AK284">
        <f>IF(S284&lt;33,0,IF(S284&gt;=80,5,IF(S284&gt;=70,4,IF(S284&gt;=60,3.5,IF(S284&gt;=50,3,IF(S284&gt;=40,2,IF(S284&gt;=33,1,0)))))))</f>
        <v/>
      </c>
      <c r="AL284">
        <f>(AC284+AD284+AE284+AF284+AG284+AH284+AI284+AJ284)/8</f>
        <v/>
      </c>
      <c r="AM284">
        <f>IF(AK284&gt;=2,(AK284-2)/8,0)</f>
        <v/>
      </c>
    </row>
    <row r="285">
      <c r="T285">
        <f>SUM(C285:R285)</f>
        <v/>
      </c>
      <c r="U285" s="6">
        <f>ROUND(T285/11.5,2)</f>
        <v/>
      </c>
      <c r="V285" s="7">
        <f>IF(B285="","",IF(AB285,0,ROUND(AL285,2)))</f>
        <v/>
      </c>
      <c r="W285" s="7">
        <f>IF(B285="","",IF(AB285,0,MIN(5,ROUND(AL285+AM285,2))))</f>
        <v/>
      </c>
      <c r="X285" s="8">
        <f>IF(B285="","",IF(W285&gt;=5,"A+",IF(W285&gt;=4,"A",IF(W285&gt;=3.5,"A-",IF(W285&gt;=3,"B",IF(W285&gt;=2,"C",IF(W285&gt;=1,"D","F")))))))</f>
        <v/>
      </c>
      <c r="Y285">
        <f>NOT(OR(AND(J285&gt;=10,K285&gt;=23,L285&gt;=10,M285&gt;=23),AND(J285+L285&gt;=20,K285+M285&gt;=46)))</f>
        <v/>
      </c>
      <c r="Z285">
        <f>OR(N285&lt;10,O285&lt;23)</f>
        <v/>
      </c>
      <c r="AA285">
        <f>OR(P285&lt;10,Q285&lt;23)</f>
        <v/>
      </c>
      <c r="AB285">
        <f>OR((C285+D285)&lt;66,(E285+F285)&lt;66,G285&lt;33,(H285+I285)&lt;66,Y285,Z285,AA285,R285&lt;8.25)</f>
        <v/>
      </c>
      <c r="AC285">
        <f>IF(C285+D285&lt;66,0,IF((C285+D285)/2&gt;=80,5,IF((C285+D285)/2&gt;=70,4,IF((C285+D285)/2&gt;=60,3.5,IF((C285+D285)/2&gt;=50,3,IF((C285+D285)/2&gt;=40,2,IF((C285+D285)/2&gt;=33,1,0)))))))</f>
        <v/>
      </c>
      <c r="AD285">
        <f>IF(E285+F285&lt;66,0,IF((E285+F285)/2&gt;=80,5,IF((E285+F285)/2&gt;=70,4,IF((E285+F285)/2&gt;=60,3.5,IF((E285+F285)/2&gt;=50,3,IF((E285+F285)/2&gt;=40,2,IF((E285+F285)/2&gt;=33,1,0)))))))</f>
        <v/>
      </c>
      <c r="AE285">
        <f>IF(G285&lt;33,0,IF(G285&gt;=80,5,IF(G285&gt;=70,4,IF(G285&gt;=60,3.5,IF(G285&gt;=50,3,IF(G285&gt;=40,2,IF(G285&gt;=33,1,0)))))))</f>
        <v/>
      </c>
      <c r="AF285">
        <f>IF(H285+I285&lt;66,0,IF((H285+I285)/2&gt;=80,5,IF((H285+I285)/2&gt;=70,4,IF((H285+I285)/2&gt;=60,3.5,IF((H285+I285)/2&gt;=50,3,IF((H285+I285)/2&gt;=40,2,IF((H285+I285)/2&gt;=33,1,0)))))))</f>
        <v/>
      </c>
      <c r="AG285">
        <f>IF(Y285,0,IF((J285+K285+L285+M285)/2&gt;=80,5,IF((J285+K285+L285+M285)/2&gt;=70,4,IF((J285+K285+L285+M285)/2&gt;=60,3.5,IF((J285+K285+L285+M285)/2&gt;=50,3,IF((J285+K285+L285+M285)/2&gt;=40,2,IF((J285+K285+L285+M285)/2&gt;=33,1,0)))))))</f>
        <v/>
      </c>
      <c r="AH285">
        <f>IF(Z285,0,IF(N285+O285&gt;=80,5,IF(N285+O285&gt;=70,4,IF(N285+O285&gt;=60,3.5,IF(N285+O285&gt;=50,3,IF(N285+O285&gt;=40,2,IF(N285+O285&gt;=33,1,0)))))))</f>
        <v/>
      </c>
      <c r="AI285">
        <f>IF(AA285,0,IF(P285+Q285&gt;=80,5,IF(P285+Q285&gt;=70,4,IF(P285+Q285&gt;=60,3.5,IF(P285+Q285&gt;=50,3,IF(P285+Q285&gt;=40,2,IF(P285+Q285&gt;=33,1,0)))))))</f>
        <v/>
      </c>
      <c r="AJ285">
        <f>IF(R285&lt;8.25,0,IF(R285*2&gt;=80,5,IF(R285*2&gt;=70,4,IF(R285*2&gt;=60,3.5,IF(R285*2&gt;=50,3,IF(R285*2&gt;=40,2,IF(R285*2&gt;=33,1,0)))))))</f>
        <v/>
      </c>
      <c r="AK285">
        <f>IF(S285&lt;33,0,IF(S285&gt;=80,5,IF(S285&gt;=70,4,IF(S285&gt;=60,3.5,IF(S285&gt;=50,3,IF(S285&gt;=40,2,IF(S285&gt;=33,1,0)))))))</f>
        <v/>
      </c>
      <c r="AL285">
        <f>(AC285+AD285+AE285+AF285+AG285+AH285+AI285+AJ285)/8</f>
        <v/>
      </c>
      <c r="AM285">
        <f>IF(AK285&gt;=2,(AK285-2)/8,0)</f>
        <v/>
      </c>
    </row>
    <row r="286">
      <c r="T286">
        <f>SUM(C286:R286)</f>
        <v/>
      </c>
      <c r="U286" s="6">
        <f>ROUND(T286/11.5,2)</f>
        <v/>
      </c>
      <c r="V286" s="7">
        <f>IF(B286="","",IF(AB286,0,ROUND(AL286,2)))</f>
        <v/>
      </c>
      <c r="W286" s="7">
        <f>IF(B286="","",IF(AB286,0,MIN(5,ROUND(AL286+AM286,2))))</f>
        <v/>
      </c>
      <c r="X286" s="8">
        <f>IF(B286="","",IF(W286&gt;=5,"A+",IF(W286&gt;=4,"A",IF(W286&gt;=3.5,"A-",IF(W286&gt;=3,"B",IF(W286&gt;=2,"C",IF(W286&gt;=1,"D","F")))))))</f>
        <v/>
      </c>
      <c r="Y286">
        <f>NOT(OR(AND(J286&gt;=10,K286&gt;=23,L286&gt;=10,M286&gt;=23),AND(J286+L286&gt;=20,K286+M286&gt;=46)))</f>
        <v/>
      </c>
      <c r="Z286">
        <f>OR(N286&lt;10,O286&lt;23)</f>
        <v/>
      </c>
      <c r="AA286">
        <f>OR(P286&lt;10,Q286&lt;23)</f>
        <v/>
      </c>
      <c r="AB286">
        <f>OR((C286+D286)&lt;66,(E286+F286)&lt;66,G286&lt;33,(H286+I286)&lt;66,Y286,Z286,AA286,R286&lt;8.25)</f>
        <v/>
      </c>
      <c r="AC286">
        <f>IF(C286+D286&lt;66,0,IF((C286+D286)/2&gt;=80,5,IF((C286+D286)/2&gt;=70,4,IF((C286+D286)/2&gt;=60,3.5,IF((C286+D286)/2&gt;=50,3,IF((C286+D286)/2&gt;=40,2,IF((C286+D286)/2&gt;=33,1,0)))))))</f>
        <v/>
      </c>
      <c r="AD286">
        <f>IF(E286+F286&lt;66,0,IF((E286+F286)/2&gt;=80,5,IF((E286+F286)/2&gt;=70,4,IF((E286+F286)/2&gt;=60,3.5,IF((E286+F286)/2&gt;=50,3,IF((E286+F286)/2&gt;=40,2,IF((E286+F286)/2&gt;=33,1,0)))))))</f>
        <v/>
      </c>
      <c r="AE286">
        <f>IF(G286&lt;33,0,IF(G286&gt;=80,5,IF(G286&gt;=70,4,IF(G286&gt;=60,3.5,IF(G286&gt;=50,3,IF(G286&gt;=40,2,IF(G286&gt;=33,1,0)))))))</f>
        <v/>
      </c>
      <c r="AF286">
        <f>IF(H286+I286&lt;66,0,IF((H286+I286)/2&gt;=80,5,IF((H286+I286)/2&gt;=70,4,IF((H286+I286)/2&gt;=60,3.5,IF((H286+I286)/2&gt;=50,3,IF((H286+I286)/2&gt;=40,2,IF((H286+I286)/2&gt;=33,1,0)))))))</f>
        <v/>
      </c>
      <c r="AG286">
        <f>IF(Y286,0,IF((J286+K286+L286+M286)/2&gt;=80,5,IF((J286+K286+L286+M286)/2&gt;=70,4,IF((J286+K286+L286+M286)/2&gt;=60,3.5,IF((J286+K286+L286+M286)/2&gt;=50,3,IF((J286+K286+L286+M286)/2&gt;=40,2,IF((J286+K286+L286+M286)/2&gt;=33,1,0)))))))</f>
        <v/>
      </c>
      <c r="AH286">
        <f>IF(Z286,0,IF(N286+O286&gt;=80,5,IF(N286+O286&gt;=70,4,IF(N286+O286&gt;=60,3.5,IF(N286+O286&gt;=50,3,IF(N286+O286&gt;=40,2,IF(N286+O286&gt;=33,1,0)))))))</f>
        <v/>
      </c>
      <c r="AI286">
        <f>IF(AA286,0,IF(P286+Q286&gt;=80,5,IF(P286+Q286&gt;=70,4,IF(P286+Q286&gt;=60,3.5,IF(P286+Q286&gt;=50,3,IF(P286+Q286&gt;=40,2,IF(P286+Q286&gt;=33,1,0)))))))</f>
        <v/>
      </c>
      <c r="AJ286">
        <f>IF(R286&lt;8.25,0,IF(R286*2&gt;=80,5,IF(R286*2&gt;=70,4,IF(R286*2&gt;=60,3.5,IF(R286*2&gt;=50,3,IF(R286*2&gt;=40,2,IF(R286*2&gt;=33,1,0)))))))</f>
        <v/>
      </c>
      <c r="AK286">
        <f>IF(S286&lt;33,0,IF(S286&gt;=80,5,IF(S286&gt;=70,4,IF(S286&gt;=60,3.5,IF(S286&gt;=50,3,IF(S286&gt;=40,2,IF(S286&gt;=33,1,0)))))))</f>
        <v/>
      </c>
      <c r="AL286">
        <f>(AC286+AD286+AE286+AF286+AG286+AH286+AI286+AJ286)/8</f>
        <v/>
      </c>
      <c r="AM286">
        <f>IF(AK286&gt;=2,(AK286-2)/8,0)</f>
        <v/>
      </c>
    </row>
    <row r="287">
      <c r="T287">
        <f>SUM(C287:R287)</f>
        <v/>
      </c>
      <c r="U287" s="6">
        <f>ROUND(T287/11.5,2)</f>
        <v/>
      </c>
      <c r="V287" s="7">
        <f>IF(B287="","",IF(AB287,0,ROUND(AL287,2)))</f>
        <v/>
      </c>
      <c r="W287" s="7">
        <f>IF(B287="","",IF(AB287,0,MIN(5,ROUND(AL287+AM287,2))))</f>
        <v/>
      </c>
      <c r="X287" s="8">
        <f>IF(B287="","",IF(W287&gt;=5,"A+",IF(W287&gt;=4,"A",IF(W287&gt;=3.5,"A-",IF(W287&gt;=3,"B",IF(W287&gt;=2,"C",IF(W287&gt;=1,"D","F")))))))</f>
        <v/>
      </c>
      <c r="Y287">
        <f>NOT(OR(AND(J287&gt;=10,K287&gt;=23,L287&gt;=10,M287&gt;=23),AND(J287+L287&gt;=20,K287+M287&gt;=46)))</f>
        <v/>
      </c>
      <c r="Z287">
        <f>OR(N287&lt;10,O287&lt;23)</f>
        <v/>
      </c>
      <c r="AA287">
        <f>OR(P287&lt;10,Q287&lt;23)</f>
        <v/>
      </c>
      <c r="AB287">
        <f>OR((C287+D287)&lt;66,(E287+F287)&lt;66,G287&lt;33,(H287+I287)&lt;66,Y287,Z287,AA287,R287&lt;8.25)</f>
        <v/>
      </c>
      <c r="AC287">
        <f>IF(C287+D287&lt;66,0,IF((C287+D287)/2&gt;=80,5,IF((C287+D287)/2&gt;=70,4,IF((C287+D287)/2&gt;=60,3.5,IF((C287+D287)/2&gt;=50,3,IF((C287+D287)/2&gt;=40,2,IF((C287+D287)/2&gt;=33,1,0)))))))</f>
        <v/>
      </c>
      <c r="AD287">
        <f>IF(E287+F287&lt;66,0,IF((E287+F287)/2&gt;=80,5,IF((E287+F287)/2&gt;=70,4,IF((E287+F287)/2&gt;=60,3.5,IF((E287+F287)/2&gt;=50,3,IF((E287+F287)/2&gt;=40,2,IF((E287+F287)/2&gt;=33,1,0)))))))</f>
        <v/>
      </c>
      <c r="AE287">
        <f>IF(G287&lt;33,0,IF(G287&gt;=80,5,IF(G287&gt;=70,4,IF(G287&gt;=60,3.5,IF(G287&gt;=50,3,IF(G287&gt;=40,2,IF(G287&gt;=33,1,0)))))))</f>
        <v/>
      </c>
      <c r="AF287">
        <f>IF(H287+I287&lt;66,0,IF((H287+I287)/2&gt;=80,5,IF((H287+I287)/2&gt;=70,4,IF((H287+I287)/2&gt;=60,3.5,IF((H287+I287)/2&gt;=50,3,IF((H287+I287)/2&gt;=40,2,IF((H287+I287)/2&gt;=33,1,0)))))))</f>
        <v/>
      </c>
      <c r="AG287">
        <f>IF(Y287,0,IF((J287+K287+L287+M287)/2&gt;=80,5,IF((J287+K287+L287+M287)/2&gt;=70,4,IF((J287+K287+L287+M287)/2&gt;=60,3.5,IF((J287+K287+L287+M287)/2&gt;=50,3,IF((J287+K287+L287+M287)/2&gt;=40,2,IF((J287+K287+L287+M287)/2&gt;=33,1,0)))))))</f>
        <v/>
      </c>
      <c r="AH287">
        <f>IF(Z287,0,IF(N287+O287&gt;=80,5,IF(N287+O287&gt;=70,4,IF(N287+O287&gt;=60,3.5,IF(N287+O287&gt;=50,3,IF(N287+O287&gt;=40,2,IF(N287+O287&gt;=33,1,0)))))))</f>
        <v/>
      </c>
      <c r="AI287">
        <f>IF(AA287,0,IF(P287+Q287&gt;=80,5,IF(P287+Q287&gt;=70,4,IF(P287+Q287&gt;=60,3.5,IF(P287+Q287&gt;=50,3,IF(P287+Q287&gt;=40,2,IF(P287+Q287&gt;=33,1,0)))))))</f>
        <v/>
      </c>
      <c r="AJ287">
        <f>IF(R287&lt;8.25,0,IF(R287*2&gt;=80,5,IF(R287*2&gt;=70,4,IF(R287*2&gt;=60,3.5,IF(R287*2&gt;=50,3,IF(R287*2&gt;=40,2,IF(R287*2&gt;=33,1,0)))))))</f>
        <v/>
      </c>
      <c r="AK287">
        <f>IF(S287&lt;33,0,IF(S287&gt;=80,5,IF(S287&gt;=70,4,IF(S287&gt;=60,3.5,IF(S287&gt;=50,3,IF(S287&gt;=40,2,IF(S287&gt;=33,1,0)))))))</f>
        <v/>
      </c>
      <c r="AL287">
        <f>(AC287+AD287+AE287+AF287+AG287+AH287+AI287+AJ287)/8</f>
        <v/>
      </c>
      <c r="AM287">
        <f>IF(AK287&gt;=2,(AK287-2)/8,0)</f>
        <v/>
      </c>
    </row>
    <row r="288">
      <c r="T288">
        <f>SUM(C288:R288)</f>
        <v/>
      </c>
      <c r="U288" s="6">
        <f>ROUND(T288/11.5,2)</f>
        <v/>
      </c>
      <c r="V288" s="7">
        <f>IF(B288="","",IF(AB288,0,ROUND(AL288,2)))</f>
        <v/>
      </c>
      <c r="W288" s="7">
        <f>IF(B288="","",IF(AB288,0,MIN(5,ROUND(AL288+AM288,2))))</f>
        <v/>
      </c>
      <c r="X288" s="8">
        <f>IF(B288="","",IF(W288&gt;=5,"A+",IF(W288&gt;=4,"A",IF(W288&gt;=3.5,"A-",IF(W288&gt;=3,"B",IF(W288&gt;=2,"C",IF(W288&gt;=1,"D","F")))))))</f>
        <v/>
      </c>
      <c r="Y288">
        <f>NOT(OR(AND(J288&gt;=10,K288&gt;=23,L288&gt;=10,M288&gt;=23),AND(J288+L288&gt;=20,K288+M288&gt;=46)))</f>
        <v/>
      </c>
      <c r="Z288">
        <f>OR(N288&lt;10,O288&lt;23)</f>
        <v/>
      </c>
      <c r="AA288">
        <f>OR(P288&lt;10,Q288&lt;23)</f>
        <v/>
      </c>
      <c r="AB288">
        <f>OR((C288+D288)&lt;66,(E288+F288)&lt;66,G288&lt;33,(H288+I288)&lt;66,Y288,Z288,AA288,R288&lt;8.25)</f>
        <v/>
      </c>
      <c r="AC288">
        <f>IF(C288+D288&lt;66,0,IF((C288+D288)/2&gt;=80,5,IF((C288+D288)/2&gt;=70,4,IF((C288+D288)/2&gt;=60,3.5,IF((C288+D288)/2&gt;=50,3,IF((C288+D288)/2&gt;=40,2,IF((C288+D288)/2&gt;=33,1,0)))))))</f>
        <v/>
      </c>
      <c r="AD288">
        <f>IF(E288+F288&lt;66,0,IF((E288+F288)/2&gt;=80,5,IF((E288+F288)/2&gt;=70,4,IF((E288+F288)/2&gt;=60,3.5,IF((E288+F288)/2&gt;=50,3,IF((E288+F288)/2&gt;=40,2,IF((E288+F288)/2&gt;=33,1,0)))))))</f>
        <v/>
      </c>
      <c r="AE288">
        <f>IF(G288&lt;33,0,IF(G288&gt;=80,5,IF(G288&gt;=70,4,IF(G288&gt;=60,3.5,IF(G288&gt;=50,3,IF(G288&gt;=40,2,IF(G288&gt;=33,1,0)))))))</f>
        <v/>
      </c>
      <c r="AF288">
        <f>IF(H288+I288&lt;66,0,IF((H288+I288)/2&gt;=80,5,IF((H288+I288)/2&gt;=70,4,IF((H288+I288)/2&gt;=60,3.5,IF((H288+I288)/2&gt;=50,3,IF((H288+I288)/2&gt;=40,2,IF((H288+I288)/2&gt;=33,1,0)))))))</f>
        <v/>
      </c>
      <c r="AG288">
        <f>IF(Y288,0,IF((J288+K288+L288+M288)/2&gt;=80,5,IF((J288+K288+L288+M288)/2&gt;=70,4,IF((J288+K288+L288+M288)/2&gt;=60,3.5,IF((J288+K288+L288+M288)/2&gt;=50,3,IF((J288+K288+L288+M288)/2&gt;=40,2,IF((J288+K288+L288+M288)/2&gt;=33,1,0)))))))</f>
        <v/>
      </c>
      <c r="AH288">
        <f>IF(Z288,0,IF(N288+O288&gt;=80,5,IF(N288+O288&gt;=70,4,IF(N288+O288&gt;=60,3.5,IF(N288+O288&gt;=50,3,IF(N288+O288&gt;=40,2,IF(N288+O288&gt;=33,1,0)))))))</f>
        <v/>
      </c>
      <c r="AI288">
        <f>IF(AA288,0,IF(P288+Q288&gt;=80,5,IF(P288+Q288&gt;=70,4,IF(P288+Q288&gt;=60,3.5,IF(P288+Q288&gt;=50,3,IF(P288+Q288&gt;=40,2,IF(P288+Q288&gt;=33,1,0)))))))</f>
        <v/>
      </c>
      <c r="AJ288">
        <f>IF(R288&lt;8.25,0,IF(R288*2&gt;=80,5,IF(R288*2&gt;=70,4,IF(R288*2&gt;=60,3.5,IF(R288*2&gt;=50,3,IF(R288*2&gt;=40,2,IF(R288*2&gt;=33,1,0)))))))</f>
        <v/>
      </c>
      <c r="AK288">
        <f>IF(S288&lt;33,0,IF(S288&gt;=80,5,IF(S288&gt;=70,4,IF(S288&gt;=60,3.5,IF(S288&gt;=50,3,IF(S288&gt;=40,2,IF(S288&gt;=33,1,0)))))))</f>
        <v/>
      </c>
      <c r="AL288">
        <f>(AC288+AD288+AE288+AF288+AG288+AH288+AI288+AJ288)/8</f>
        <v/>
      </c>
      <c r="AM288">
        <f>IF(AK288&gt;=2,(AK288-2)/8,0)</f>
        <v/>
      </c>
    </row>
    <row r="289">
      <c r="T289">
        <f>SUM(C289:R289)</f>
        <v/>
      </c>
      <c r="U289" s="6">
        <f>ROUND(T289/11.5,2)</f>
        <v/>
      </c>
      <c r="V289" s="7">
        <f>IF(B289="","",IF(AB289,0,ROUND(AL289,2)))</f>
        <v/>
      </c>
      <c r="W289" s="7">
        <f>IF(B289="","",IF(AB289,0,MIN(5,ROUND(AL289+AM289,2))))</f>
        <v/>
      </c>
      <c r="X289" s="8">
        <f>IF(B289="","",IF(W289&gt;=5,"A+",IF(W289&gt;=4,"A",IF(W289&gt;=3.5,"A-",IF(W289&gt;=3,"B",IF(W289&gt;=2,"C",IF(W289&gt;=1,"D","F")))))))</f>
        <v/>
      </c>
      <c r="Y289">
        <f>NOT(OR(AND(J289&gt;=10,K289&gt;=23,L289&gt;=10,M289&gt;=23),AND(J289+L289&gt;=20,K289+M289&gt;=46)))</f>
        <v/>
      </c>
      <c r="Z289">
        <f>OR(N289&lt;10,O289&lt;23)</f>
        <v/>
      </c>
      <c r="AA289">
        <f>OR(P289&lt;10,Q289&lt;23)</f>
        <v/>
      </c>
      <c r="AB289">
        <f>OR((C289+D289)&lt;66,(E289+F289)&lt;66,G289&lt;33,(H289+I289)&lt;66,Y289,Z289,AA289,R289&lt;8.25)</f>
        <v/>
      </c>
      <c r="AC289">
        <f>IF(C289+D289&lt;66,0,IF((C289+D289)/2&gt;=80,5,IF((C289+D289)/2&gt;=70,4,IF((C289+D289)/2&gt;=60,3.5,IF((C289+D289)/2&gt;=50,3,IF((C289+D289)/2&gt;=40,2,IF((C289+D289)/2&gt;=33,1,0)))))))</f>
        <v/>
      </c>
      <c r="AD289">
        <f>IF(E289+F289&lt;66,0,IF((E289+F289)/2&gt;=80,5,IF((E289+F289)/2&gt;=70,4,IF((E289+F289)/2&gt;=60,3.5,IF((E289+F289)/2&gt;=50,3,IF((E289+F289)/2&gt;=40,2,IF((E289+F289)/2&gt;=33,1,0)))))))</f>
        <v/>
      </c>
      <c r="AE289">
        <f>IF(G289&lt;33,0,IF(G289&gt;=80,5,IF(G289&gt;=70,4,IF(G289&gt;=60,3.5,IF(G289&gt;=50,3,IF(G289&gt;=40,2,IF(G289&gt;=33,1,0)))))))</f>
        <v/>
      </c>
      <c r="AF289">
        <f>IF(H289+I289&lt;66,0,IF((H289+I289)/2&gt;=80,5,IF((H289+I289)/2&gt;=70,4,IF((H289+I289)/2&gt;=60,3.5,IF((H289+I289)/2&gt;=50,3,IF((H289+I289)/2&gt;=40,2,IF((H289+I289)/2&gt;=33,1,0)))))))</f>
        <v/>
      </c>
      <c r="AG289">
        <f>IF(Y289,0,IF((J289+K289+L289+M289)/2&gt;=80,5,IF((J289+K289+L289+M289)/2&gt;=70,4,IF((J289+K289+L289+M289)/2&gt;=60,3.5,IF((J289+K289+L289+M289)/2&gt;=50,3,IF((J289+K289+L289+M289)/2&gt;=40,2,IF((J289+K289+L289+M289)/2&gt;=33,1,0)))))))</f>
        <v/>
      </c>
      <c r="AH289">
        <f>IF(Z289,0,IF(N289+O289&gt;=80,5,IF(N289+O289&gt;=70,4,IF(N289+O289&gt;=60,3.5,IF(N289+O289&gt;=50,3,IF(N289+O289&gt;=40,2,IF(N289+O289&gt;=33,1,0)))))))</f>
        <v/>
      </c>
      <c r="AI289">
        <f>IF(AA289,0,IF(P289+Q289&gt;=80,5,IF(P289+Q289&gt;=70,4,IF(P289+Q289&gt;=60,3.5,IF(P289+Q289&gt;=50,3,IF(P289+Q289&gt;=40,2,IF(P289+Q289&gt;=33,1,0)))))))</f>
        <v/>
      </c>
      <c r="AJ289">
        <f>IF(R289&lt;8.25,0,IF(R289*2&gt;=80,5,IF(R289*2&gt;=70,4,IF(R289*2&gt;=60,3.5,IF(R289*2&gt;=50,3,IF(R289*2&gt;=40,2,IF(R289*2&gt;=33,1,0)))))))</f>
        <v/>
      </c>
      <c r="AK289">
        <f>IF(S289&lt;33,0,IF(S289&gt;=80,5,IF(S289&gt;=70,4,IF(S289&gt;=60,3.5,IF(S289&gt;=50,3,IF(S289&gt;=40,2,IF(S289&gt;=33,1,0)))))))</f>
        <v/>
      </c>
      <c r="AL289">
        <f>(AC289+AD289+AE289+AF289+AG289+AH289+AI289+AJ289)/8</f>
        <v/>
      </c>
      <c r="AM289">
        <f>IF(AK289&gt;=2,(AK289-2)/8,0)</f>
        <v/>
      </c>
    </row>
    <row r="290">
      <c r="T290">
        <f>SUM(C290:R290)</f>
        <v/>
      </c>
      <c r="U290" s="6">
        <f>ROUND(T290/11.5,2)</f>
        <v/>
      </c>
      <c r="V290" s="7">
        <f>IF(B290="","",IF(AB290,0,ROUND(AL290,2)))</f>
        <v/>
      </c>
      <c r="W290" s="7">
        <f>IF(B290="","",IF(AB290,0,MIN(5,ROUND(AL290+AM290,2))))</f>
        <v/>
      </c>
      <c r="X290" s="8">
        <f>IF(B290="","",IF(W290&gt;=5,"A+",IF(W290&gt;=4,"A",IF(W290&gt;=3.5,"A-",IF(W290&gt;=3,"B",IF(W290&gt;=2,"C",IF(W290&gt;=1,"D","F")))))))</f>
        <v/>
      </c>
      <c r="Y290">
        <f>NOT(OR(AND(J290&gt;=10,K290&gt;=23,L290&gt;=10,M290&gt;=23),AND(J290+L290&gt;=20,K290+M290&gt;=46)))</f>
        <v/>
      </c>
      <c r="Z290">
        <f>OR(N290&lt;10,O290&lt;23)</f>
        <v/>
      </c>
      <c r="AA290">
        <f>OR(P290&lt;10,Q290&lt;23)</f>
        <v/>
      </c>
      <c r="AB290">
        <f>OR((C290+D290)&lt;66,(E290+F290)&lt;66,G290&lt;33,(H290+I290)&lt;66,Y290,Z290,AA290,R290&lt;8.25)</f>
        <v/>
      </c>
      <c r="AC290">
        <f>IF(C290+D290&lt;66,0,IF((C290+D290)/2&gt;=80,5,IF((C290+D290)/2&gt;=70,4,IF((C290+D290)/2&gt;=60,3.5,IF((C290+D290)/2&gt;=50,3,IF((C290+D290)/2&gt;=40,2,IF((C290+D290)/2&gt;=33,1,0)))))))</f>
        <v/>
      </c>
      <c r="AD290">
        <f>IF(E290+F290&lt;66,0,IF((E290+F290)/2&gt;=80,5,IF((E290+F290)/2&gt;=70,4,IF((E290+F290)/2&gt;=60,3.5,IF((E290+F290)/2&gt;=50,3,IF((E290+F290)/2&gt;=40,2,IF((E290+F290)/2&gt;=33,1,0)))))))</f>
        <v/>
      </c>
      <c r="AE290">
        <f>IF(G290&lt;33,0,IF(G290&gt;=80,5,IF(G290&gt;=70,4,IF(G290&gt;=60,3.5,IF(G290&gt;=50,3,IF(G290&gt;=40,2,IF(G290&gt;=33,1,0)))))))</f>
        <v/>
      </c>
      <c r="AF290">
        <f>IF(H290+I290&lt;66,0,IF((H290+I290)/2&gt;=80,5,IF((H290+I290)/2&gt;=70,4,IF((H290+I290)/2&gt;=60,3.5,IF((H290+I290)/2&gt;=50,3,IF((H290+I290)/2&gt;=40,2,IF((H290+I290)/2&gt;=33,1,0)))))))</f>
        <v/>
      </c>
      <c r="AG290">
        <f>IF(Y290,0,IF((J290+K290+L290+M290)/2&gt;=80,5,IF((J290+K290+L290+M290)/2&gt;=70,4,IF((J290+K290+L290+M290)/2&gt;=60,3.5,IF((J290+K290+L290+M290)/2&gt;=50,3,IF((J290+K290+L290+M290)/2&gt;=40,2,IF((J290+K290+L290+M290)/2&gt;=33,1,0)))))))</f>
        <v/>
      </c>
      <c r="AH290">
        <f>IF(Z290,0,IF(N290+O290&gt;=80,5,IF(N290+O290&gt;=70,4,IF(N290+O290&gt;=60,3.5,IF(N290+O290&gt;=50,3,IF(N290+O290&gt;=40,2,IF(N290+O290&gt;=33,1,0)))))))</f>
        <v/>
      </c>
      <c r="AI290">
        <f>IF(AA290,0,IF(P290+Q290&gt;=80,5,IF(P290+Q290&gt;=70,4,IF(P290+Q290&gt;=60,3.5,IF(P290+Q290&gt;=50,3,IF(P290+Q290&gt;=40,2,IF(P290+Q290&gt;=33,1,0)))))))</f>
        <v/>
      </c>
      <c r="AJ290">
        <f>IF(R290&lt;8.25,0,IF(R290*2&gt;=80,5,IF(R290*2&gt;=70,4,IF(R290*2&gt;=60,3.5,IF(R290*2&gt;=50,3,IF(R290*2&gt;=40,2,IF(R290*2&gt;=33,1,0)))))))</f>
        <v/>
      </c>
      <c r="AK290">
        <f>IF(S290&lt;33,0,IF(S290&gt;=80,5,IF(S290&gt;=70,4,IF(S290&gt;=60,3.5,IF(S290&gt;=50,3,IF(S290&gt;=40,2,IF(S290&gt;=33,1,0)))))))</f>
        <v/>
      </c>
      <c r="AL290">
        <f>(AC290+AD290+AE290+AF290+AG290+AH290+AI290+AJ290)/8</f>
        <v/>
      </c>
      <c r="AM290">
        <f>IF(AK290&gt;=2,(AK290-2)/8,0)</f>
        <v/>
      </c>
    </row>
    <row r="291">
      <c r="T291">
        <f>SUM(C291:R291)</f>
        <v/>
      </c>
      <c r="U291" s="6">
        <f>ROUND(T291/11.5,2)</f>
        <v/>
      </c>
      <c r="V291" s="7">
        <f>IF(B291="","",IF(AB291,0,ROUND(AL291,2)))</f>
        <v/>
      </c>
      <c r="W291" s="7">
        <f>IF(B291="","",IF(AB291,0,MIN(5,ROUND(AL291+AM291,2))))</f>
        <v/>
      </c>
      <c r="X291" s="8">
        <f>IF(B291="","",IF(W291&gt;=5,"A+",IF(W291&gt;=4,"A",IF(W291&gt;=3.5,"A-",IF(W291&gt;=3,"B",IF(W291&gt;=2,"C",IF(W291&gt;=1,"D","F")))))))</f>
        <v/>
      </c>
      <c r="Y291">
        <f>NOT(OR(AND(J291&gt;=10,K291&gt;=23,L291&gt;=10,M291&gt;=23),AND(J291+L291&gt;=20,K291+M291&gt;=46)))</f>
        <v/>
      </c>
      <c r="Z291">
        <f>OR(N291&lt;10,O291&lt;23)</f>
        <v/>
      </c>
      <c r="AA291">
        <f>OR(P291&lt;10,Q291&lt;23)</f>
        <v/>
      </c>
      <c r="AB291">
        <f>OR((C291+D291)&lt;66,(E291+F291)&lt;66,G291&lt;33,(H291+I291)&lt;66,Y291,Z291,AA291,R291&lt;8.25)</f>
        <v/>
      </c>
      <c r="AC291">
        <f>IF(C291+D291&lt;66,0,IF((C291+D291)/2&gt;=80,5,IF((C291+D291)/2&gt;=70,4,IF((C291+D291)/2&gt;=60,3.5,IF((C291+D291)/2&gt;=50,3,IF((C291+D291)/2&gt;=40,2,IF((C291+D291)/2&gt;=33,1,0)))))))</f>
        <v/>
      </c>
      <c r="AD291">
        <f>IF(E291+F291&lt;66,0,IF((E291+F291)/2&gt;=80,5,IF((E291+F291)/2&gt;=70,4,IF((E291+F291)/2&gt;=60,3.5,IF((E291+F291)/2&gt;=50,3,IF((E291+F291)/2&gt;=40,2,IF((E291+F291)/2&gt;=33,1,0)))))))</f>
        <v/>
      </c>
      <c r="AE291">
        <f>IF(G291&lt;33,0,IF(G291&gt;=80,5,IF(G291&gt;=70,4,IF(G291&gt;=60,3.5,IF(G291&gt;=50,3,IF(G291&gt;=40,2,IF(G291&gt;=33,1,0)))))))</f>
        <v/>
      </c>
      <c r="AF291">
        <f>IF(H291+I291&lt;66,0,IF((H291+I291)/2&gt;=80,5,IF((H291+I291)/2&gt;=70,4,IF((H291+I291)/2&gt;=60,3.5,IF((H291+I291)/2&gt;=50,3,IF((H291+I291)/2&gt;=40,2,IF((H291+I291)/2&gt;=33,1,0)))))))</f>
        <v/>
      </c>
      <c r="AG291">
        <f>IF(Y291,0,IF((J291+K291+L291+M291)/2&gt;=80,5,IF((J291+K291+L291+M291)/2&gt;=70,4,IF((J291+K291+L291+M291)/2&gt;=60,3.5,IF((J291+K291+L291+M291)/2&gt;=50,3,IF((J291+K291+L291+M291)/2&gt;=40,2,IF((J291+K291+L291+M291)/2&gt;=33,1,0)))))))</f>
        <v/>
      </c>
      <c r="AH291">
        <f>IF(Z291,0,IF(N291+O291&gt;=80,5,IF(N291+O291&gt;=70,4,IF(N291+O291&gt;=60,3.5,IF(N291+O291&gt;=50,3,IF(N291+O291&gt;=40,2,IF(N291+O291&gt;=33,1,0)))))))</f>
        <v/>
      </c>
      <c r="AI291">
        <f>IF(AA291,0,IF(P291+Q291&gt;=80,5,IF(P291+Q291&gt;=70,4,IF(P291+Q291&gt;=60,3.5,IF(P291+Q291&gt;=50,3,IF(P291+Q291&gt;=40,2,IF(P291+Q291&gt;=33,1,0)))))))</f>
        <v/>
      </c>
      <c r="AJ291">
        <f>IF(R291&lt;8.25,0,IF(R291*2&gt;=80,5,IF(R291*2&gt;=70,4,IF(R291*2&gt;=60,3.5,IF(R291*2&gt;=50,3,IF(R291*2&gt;=40,2,IF(R291*2&gt;=33,1,0)))))))</f>
        <v/>
      </c>
      <c r="AK291">
        <f>IF(S291&lt;33,0,IF(S291&gt;=80,5,IF(S291&gt;=70,4,IF(S291&gt;=60,3.5,IF(S291&gt;=50,3,IF(S291&gt;=40,2,IF(S291&gt;=33,1,0)))))))</f>
        <v/>
      </c>
      <c r="AL291">
        <f>(AC291+AD291+AE291+AF291+AG291+AH291+AI291+AJ291)/8</f>
        <v/>
      </c>
      <c r="AM291">
        <f>IF(AK291&gt;=2,(AK291-2)/8,0)</f>
        <v/>
      </c>
    </row>
    <row r="292">
      <c r="T292">
        <f>SUM(C292:R292)</f>
        <v/>
      </c>
      <c r="U292" s="6">
        <f>ROUND(T292/11.5,2)</f>
        <v/>
      </c>
      <c r="V292" s="7">
        <f>IF(B292="","",IF(AB292,0,ROUND(AL292,2)))</f>
        <v/>
      </c>
      <c r="W292" s="7">
        <f>IF(B292="","",IF(AB292,0,MIN(5,ROUND(AL292+AM292,2))))</f>
        <v/>
      </c>
      <c r="X292" s="8">
        <f>IF(B292="","",IF(W292&gt;=5,"A+",IF(W292&gt;=4,"A",IF(W292&gt;=3.5,"A-",IF(W292&gt;=3,"B",IF(W292&gt;=2,"C",IF(W292&gt;=1,"D","F")))))))</f>
        <v/>
      </c>
      <c r="Y292">
        <f>NOT(OR(AND(J292&gt;=10,K292&gt;=23,L292&gt;=10,M292&gt;=23),AND(J292+L292&gt;=20,K292+M292&gt;=46)))</f>
        <v/>
      </c>
      <c r="Z292">
        <f>OR(N292&lt;10,O292&lt;23)</f>
        <v/>
      </c>
      <c r="AA292">
        <f>OR(P292&lt;10,Q292&lt;23)</f>
        <v/>
      </c>
      <c r="AB292">
        <f>OR((C292+D292)&lt;66,(E292+F292)&lt;66,G292&lt;33,(H292+I292)&lt;66,Y292,Z292,AA292,R292&lt;8.25)</f>
        <v/>
      </c>
      <c r="AC292">
        <f>IF(C292+D292&lt;66,0,IF((C292+D292)/2&gt;=80,5,IF((C292+D292)/2&gt;=70,4,IF((C292+D292)/2&gt;=60,3.5,IF((C292+D292)/2&gt;=50,3,IF((C292+D292)/2&gt;=40,2,IF((C292+D292)/2&gt;=33,1,0)))))))</f>
        <v/>
      </c>
      <c r="AD292">
        <f>IF(E292+F292&lt;66,0,IF((E292+F292)/2&gt;=80,5,IF((E292+F292)/2&gt;=70,4,IF((E292+F292)/2&gt;=60,3.5,IF((E292+F292)/2&gt;=50,3,IF((E292+F292)/2&gt;=40,2,IF((E292+F292)/2&gt;=33,1,0)))))))</f>
        <v/>
      </c>
      <c r="AE292">
        <f>IF(G292&lt;33,0,IF(G292&gt;=80,5,IF(G292&gt;=70,4,IF(G292&gt;=60,3.5,IF(G292&gt;=50,3,IF(G292&gt;=40,2,IF(G292&gt;=33,1,0)))))))</f>
        <v/>
      </c>
      <c r="AF292">
        <f>IF(H292+I292&lt;66,0,IF((H292+I292)/2&gt;=80,5,IF((H292+I292)/2&gt;=70,4,IF((H292+I292)/2&gt;=60,3.5,IF((H292+I292)/2&gt;=50,3,IF((H292+I292)/2&gt;=40,2,IF((H292+I292)/2&gt;=33,1,0)))))))</f>
        <v/>
      </c>
      <c r="AG292">
        <f>IF(Y292,0,IF((J292+K292+L292+M292)/2&gt;=80,5,IF((J292+K292+L292+M292)/2&gt;=70,4,IF((J292+K292+L292+M292)/2&gt;=60,3.5,IF((J292+K292+L292+M292)/2&gt;=50,3,IF((J292+K292+L292+M292)/2&gt;=40,2,IF((J292+K292+L292+M292)/2&gt;=33,1,0)))))))</f>
        <v/>
      </c>
      <c r="AH292">
        <f>IF(Z292,0,IF(N292+O292&gt;=80,5,IF(N292+O292&gt;=70,4,IF(N292+O292&gt;=60,3.5,IF(N292+O292&gt;=50,3,IF(N292+O292&gt;=40,2,IF(N292+O292&gt;=33,1,0)))))))</f>
        <v/>
      </c>
      <c r="AI292">
        <f>IF(AA292,0,IF(P292+Q292&gt;=80,5,IF(P292+Q292&gt;=70,4,IF(P292+Q292&gt;=60,3.5,IF(P292+Q292&gt;=50,3,IF(P292+Q292&gt;=40,2,IF(P292+Q292&gt;=33,1,0)))))))</f>
        <v/>
      </c>
      <c r="AJ292">
        <f>IF(R292&lt;8.25,0,IF(R292*2&gt;=80,5,IF(R292*2&gt;=70,4,IF(R292*2&gt;=60,3.5,IF(R292*2&gt;=50,3,IF(R292*2&gt;=40,2,IF(R292*2&gt;=33,1,0)))))))</f>
        <v/>
      </c>
      <c r="AK292">
        <f>IF(S292&lt;33,0,IF(S292&gt;=80,5,IF(S292&gt;=70,4,IF(S292&gt;=60,3.5,IF(S292&gt;=50,3,IF(S292&gt;=40,2,IF(S292&gt;=33,1,0)))))))</f>
        <v/>
      </c>
      <c r="AL292">
        <f>(AC292+AD292+AE292+AF292+AG292+AH292+AI292+AJ292)/8</f>
        <v/>
      </c>
      <c r="AM292">
        <f>IF(AK292&gt;=2,(AK292-2)/8,0)</f>
        <v/>
      </c>
    </row>
    <row r="293">
      <c r="T293">
        <f>SUM(C293:R293)</f>
        <v/>
      </c>
      <c r="U293" s="6">
        <f>ROUND(T293/11.5,2)</f>
        <v/>
      </c>
      <c r="V293" s="7">
        <f>IF(B293="","",IF(AB293,0,ROUND(AL293,2)))</f>
        <v/>
      </c>
      <c r="W293" s="7">
        <f>IF(B293="","",IF(AB293,0,MIN(5,ROUND(AL293+AM293,2))))</f>
        <v/>
      </c>
      <c r="X293" s="8">
        <f>IF(B293="","",IF(W293&gt;=5,"A+",IF(W293&gt;=4,"A",IF(W293&gt;=3.5,"A-",IF(W293&gt;=3,"B",IF(W293&gt;=2,"C",IF(W293&gt;=1,"D","F")))))))</f>
        <v/>
      </c>
      <c r="Y293">
        <f>NOT(OR(AND(J293&gt;=10,K293&gt;=23,L293&gt;=10,M293&gt;=23),AND(J293+L293&gt;=20,K293+M293&gt;=46)))</f>
        <v/>
      </c>
      <c r="Z293">
        <f>OR(N293&lt;10,O293&lt;23)</f>
        <v/>
      </c>
      <c r="AA293">
        <f>OR(P293&lt;10,Q293&lt;23)</f>
        <v/>
      </c>
      <c r="AB293">
        <f>OR((C293+D293)&lt;66,(E293+F293)&lt;66,G293&lt;33,(H293+I293)&lt;66,Y293,Z293,AA293,R293&lt;8.25)</f>
        <v/>
      </c>
      <c r="AC293">
        <f>IF(C293+D293&lt;66,0,IF((C293+D293)/2&gt;=80,5,IF((C293+D293)/2&gt;=70,4,IF((C293+D293)/2&gt;=60,3.5,IF((C293+D293)/2&gt;=50,3,IF((C293+D293)/2&gt;=40,2,IF((C293+D293)/2&gt;=33,1,0)))))))</f>
        <v/>
      </c>
      <c r="AD293">
        <f>IF(E293+F293&lt;66,0,IF((E293+F293)/2&gt;=80,5,IF((E293+F293)/2&gt;=70,4,IF((E293+F293)/2&gt;=60,3.5,IF((E293+F293)/2&gt;=50,3,IF((E293+F293)/2&gt;=40,2,IF((E293+F293)/2&gt;=33,1,0)))))))</f>
        <v/>
      </c>
      <c r="AE293">
        <f>IF(G293&lt;33,0,IF(G293&gt;=80,5,IF(G293&gt;=70,4,IF(G293&gt;=60,3.5,IF(G293&gt;=50,3,IF(G293&gt;=40,2,IF(G293&gt;=33,1,0)))))))</f>
        <v/>
      </c>
      <c r="AF293">
        <f>IF(H293+I293&lt;66,0,IF((H293+I293)/2&gt;=80,5,IF((H293+I293)/2&gt;=70,4,IF((H293+I293)/2&gt;=60,3.5,IF((H293+I293)/2&gt;=50,3,IF((H293+I293)/2&gt;=40,2,IF((H293+I293)/2&gt;=33,1,0)))))))</f>
        <v/>
      </c>
      <c r="AG293">
        <f>IF(Y293,0,IF((J293+K293+L293+M293)/2&gt;=80,5,IF((J293+K293+L293+M293)/2&gt;=70,4,IF((J293+K293+L293+M293)/2&gt;=60,3.5,IF((J293+K293+L293+M293)/2&gt;=50,3,IF((J293+K293+L293+M293)/2&gt;=40,2,IF((J293+K293+L293+M293)/2&gt;=33,1,0)))))))</f>
        <v/>
      </c>
      <c r="AH293">
        <f>IF(Z293,0,IF(N293+O293&gt;=80,5,IF(N293+O293&gt;=70,4,IF(N293+O293&gt;=60,3.5,IF(N293+O293&gt;=50,3,IF(N293+O293&gt;=40,2,IF(N293+O293&gt;=33,1,0)))))))</f>
        <v/>
      </c>
      <c r="AI293">
        <f>IF(AA293,0,IF(P293+Q293&gt;=80,5,IF(P293+Q293&gt;=70,4,IF(P293+Q293&gt;=60,3.5,IF(P293+Q293&gt;=50,3,IF(P293+Q293&gt;=40,2,IF(P293+Q293&gt;=33,1,0)))))))</f>
        <v/>
      </c>
      <c r="AJ293">
        <f>IF(R293&lt;8.25,0,IF(R293*2&gt;=80,5,IF(R293*2&gt;=70,4,IF(R293*2&gt;=60,3.5,IF(R293*2&gt;=50,3,IF(R293*2&gt;=40,2,IF(R293*2&gt;=33,1,0)))))))</f>
        <v/>
      </c>
      <c r="AK293">
        <f>IF(S293&lt;33,0,IF(S293&gt;=80,5,IF(S293&gt;=70,4,IF(S293&gt;=60,3.5,IF(S293&gt;=50,3,IF(S293&gt;=40,2,IF(S293&gt;=33,1,0)))))))</f>
        <v/>
      </c>
      <c r="AL293">
        <f>(AC293+AD293+AE293+AF293+AG293+AH293+AI293+AJ293)/8</f>
        <v/>
      </c>
      <c r="AM293">
        <f>IF(AK293&gt;=2,(AK293-2)/8,0)</f>
        <v/>
      </c>
    </row>
    <row r="294">
      <c r="T294">
        <f>SUM(C294:R294)</f>
        <v/>
      </c>
      <c r="U294" s="6">
        <f>ROUND(T294/11.5,2)</f>
        <v/>
      </c>
      <c r="V294" s="7">
        <f>IF(B294="","",IF(AB294,0,ROUND(AL294,2)))</f>
        <v/>
      </c>
      <c r="W294" s="7">
        <f>IF(B294="","",IF(AB294,0,MIN(5,ROUND(AL294+AM294,2))))</f>
        <v/>
      </c>
      <c r="X294" s="8">
        <f>IF(B294="","",IF(W294&gt;=5,"A+",IF(W294&gt;=4,"A",IF(W294&gt;=3.5,"A-",IF(W294&gt;=3,"B",IF(W294&gt;=2,"C",IF(W294&gt;=1,"D","F")))))))</f>
        <v/>
      </c>
      <c r="Y294">
        <f>NOT(OR(AND(J294&gt;=10,K294&gt;=23,L294&gt;=10,M294&gt;=23),AND(J294+L294&gt;=20,K294+M294&gt;=46)))</f>
        <v/>
      </c>
      <c r="Z294">
        <f>OR(N294&lt;10,O294&lt;23)</f>
        <v/>
      </c>
      <c r="AA294">
        <f>OR(P294&lt;10,Q294&lt;23)</f>
        <v/>
      </c>
      <c r="AB294">
        <f>OR((C294+D294)&lt;66,(E294+F294)&lt;66,G294&lt;33,(H294+I294)&lt;66,Y294,Z294,AA294,R294&lt;8.25)</f>
        <v/>
      </c>
      <c r="AC294">
        <f>IF(C294+D294&lt;66,0,IF((C294+D294)/2&gt;=80,5,IF((C294+D294)/2&gt;=70,4,IF((C294+D294)/2&gt;=60,3.5,IF((C294+D294)/2&gt;=50,3,IF((C294+D294)/2&gt;=40,2,IF((C294+D294)/2&gt;=33,1,0)))))))</f>
        <v/>
      </c>
      <c r="AD294">
        <f>IF(E294+F294&lt;66,0,IF((E294+F294)/2&gt;=80,5,IF((E294+F294)/2&gt;=70,4,IF((E294+F294)/2&gt;=60,3.5,IF((E294+F294)/2&gt;=50,3,IF((E294+F294)/2&gt;=40,2,IF((E294+F294)/2&gt;=33,1,0)))))))</f>
        <v/>
      </c>
      <c r="AE294">
        <f>IF(G294&lt;33,0,IF(G294&gt;=80,5,IF(G294&gt;=70,4,IF(G294&gt;=60,3.5,IF(G294&gt;=50,3,IF(G294&gt;=40,2,IF(G294&gt;=33,1,0)))))))</f>
        <v/>
      </c>
      <c r="AF294">
        <f>IF(H294+I294&lt;66,0,IF((H294+I294)/2&gt;=80,5,IF((H294+I294)/2&gt;=70,4,IF((H294+I294)/2&gt;=60,3.5,IF((H294+I294)/2&gt;=50,3,IF((H294+I294)/2&gt;=40,2,IF((H294+I294)/2&gt;=33,1,0)))))))</f>
        <v/>
      </c>
      <c r="AG294">
        <f>IF(Y294,0,IF((J294+K294+L294+M294)/2&gt;=80,5,IF((J294+K294+L294+M294)/2&gt;=70,4,IF((J294+K294+L294+M294)/2&gt;=60,3.5,IF((J294+K294+L294+M294)/2&gt;=50,3,IF((J294+K294+L294+M294)/2&gt;=40,2,IF((J294+K294+L294+M294)/2&gt;=33,1,0)))))))</f>
        <v/>
      </c>
      <c r="AH294">
        <f>IF(Z294,0,IF(N294+O294&gt;=80,5,IF(N294+O294&gt;=70,4,IF(N294+O294&gt;=60,3.5,IF(N294+O294&gt;=50,3,IF(N294+O294&gt;=40,2,IF(N294+O294&gt;=33,1,0)))))))</f>
        <v/>
      </c>
      <c r="AI294">
        <f>IF(AA294,0,IF(P294+Q294&gt;=80,5,IF(P294+Q294&gt;=70,4,IF(P294+Q294&gt;=60,3.5,IF(P294+Q294&gt;=50,3,IF(P294+Q294&gt;=40,2,IF(P294+Q294&gt;=33,1,0)))))))</f>
        <v/>
      </c>
      <c r="AJ294">
        <f>IF(R294&lt;8.25,0,IF(R294*2&gt;=80,5,IF(R294*2&gt;=70,4,IF(R294*2&gt;=60,3.5,IF(R294*2&gt;=50,3,IF(R294*2&gt;=40,2,IF(R294*2&gt;=33,1,0)))))))</f>
        <v/>
      </c>
      <c r="AK294">
        <f>IF(S294&lt;33,0,IF(S294&gt;=80,5,IF(S294&gt;=70,4,IF(S294&gt;=60,3.5,IF(S294&gt;=50,3,IF(S294&gt;=40,2,IF(S294&gt;=33,1,0)))))))</f>
        <v/>
      </c>
      <c r="AL294">
        <f>(AC294+AD294+AE294+AF294+AG294+AH294+AI294+AJ294)/8</f>
        <v/>
      </c>
      <c r="AM294">
        <f>IF(AK294&gt;=2,(AK294-2)/8,0)</f>
        <v/>
      </c>
    </row>
    <row r="295">
      <c r="T295">
        <f>SUM(C295:R295)</f>
        <v/>
      </c>
      <c r="U295" s="6">
        <f>ROUND(T295/11.5,2)</f>
        <v/>
      </c>
      <c r="V295" s="7">
        <f>IF(B295="","",IF(AB295,0,ROUND(AL295,2)))</f>
        <v/>
      </c>
      <c r="W295" s="7">
        <f>IF(B295="","",IF(AB295,0,MIN(5,ROUND(AL295+AM295,2))))</f>
        <v/>
      </c>
      <c r="X295" s="8">
        <f>IF(B295="","",IF(W295&gt;=5,"A+",IF(W295&gt;=4,"A",IF(W295&gt;=3.5,"A-",IF(W295&gt;=3,"B",IF(W295&gt;=2,"C",IF(W295&gt;=1,"D","F")))))))</f>
        <v/>
      </c>
      <c r="Y295">
        <f>NOT(OR(AND(J295&gt;=10,K295&gt;=23,L295&gt;=10,M295&gt;=23),AND(J295+L295&gt;=20,K295+M295&gt;=46)))</f>
        <v/>
      </c>
      <c r="Z295">
        <f>OR(N295&lt;10,O295&lt;23)</f>
        <v/>
      </c>
      <c r="AA295">
        <f>OR(P295&lt;10,Q295&lt;23)</f>
        <v/>
      </c>
      <c r="AB295">
        <f>OR((C295+D295)&lt;66,(E295+F295)&lt;66,G295&lt;33,(H295+I295)&lt;66,Y295,Z295,AA295,R295&lt;8.25)</f>
        <v/>
      </c>
      <c r="AC295">
        <f>IF(C295+D295&lt;66,0,IF((C295+D295)/2&gt;=80,5,IF((C295+D295)/2&gt;=70,4,IF((C295+D295)/2&gt;=60,3.5,IF((C295+D295)/2&gt;=50,3,IF((C295+D295)/2&gt;=40,2,IF((C295+D295)/2&gt;=33,1,0)))))))</f>
        <v/>
      </c>
      <c r="AD295">
        <f>IF(E295+F295&lt;66,0,IF((E295+F295)/2&gt;=80,5,IF((E295+F295)/2&gt;=70,4,IF((E295+F295)/2&gt;=60,3.5,IF((E295+F295)/2&gt;=50,3,IF((E295+F295)/2&gt;=40,2,IF((E295+F295)/2&gt;=33,1,0)))))))</f>
        <v/>
      </c>
      <c r="AE295">
        <f>IF(G295&lt;33,0,IF(G295&gt;=80,5,IF(G295&gt;=70,4,IF(G295&gt;=60,3.5,IF(G295&gt;=50,3,IF(G295&gt;=40,2,IF(G295&gt;=33,1,0)))))))</f>
        <v/>
      </c>
      <c r="AF295">
        <f>IF(H295+I295&lt;66,0,IF((H295+I295)/2&gt;=80,5,IF((H295+I295)/2&gt;=70,4,IF((H295+I295)/2&gt;=60,3.5,IF((H295+I295)/2&gt;=50,3,IF((H295+I295)/2&gt;=40,2,IF((H295+I295)/2&gt;=33,1,0)))))))</f>
        <v/>
      </c>
      <c r="AG295">
        <f>IF(Y295,0,IF((J295+K295+L295+M295)/2&gt;=80,5,IF((J295+K295+L295+M295)/2&gt;=70,4,IF((J295+K295+L295+M295)/2&gt;=60,3.5,IF((J295+K295+L295+M295)/2&gt;=50,3,IF((J295+K295+L295+M295)/2&gt;=40,2,IF((J295+K295+L295+M295)/2&gt;=33,1,0)))))))</f>
        <v/>
      </c>
      <c r="AH295">
        <f>IF(Z295,0,IF(N295+O295&gt;=80,5,IF(N295+O295&gt;=70,4,IF(N295+O295&gt;=60,3.5,IF(N295+O295&gt;=50,3,IF(N295+O295&gt;=40,2,IF(N295+O295&gt;=33,1,0)))))))</f>
        <v/>
      </c>
      <c r="AI295">
        <f>IF(AA295,0,IF(P295+Q295&gt;=80,5,IF(P295+Q295&gt;=70,4,IF(P295+Q295&gt;=60,3.5,IF(P295+Q295&gt;=50,3,IF(P295+Q295&gt;=40,2,IF(P295+Q295&gt;=33,1,0)))))))</f>
        <v/>
      </c>
      <c r="AJ295">
        <f>IF(R295&lt;8.25,0,IF(R295*2&gt;=80,5,IF(R295*2&gt;=70,4,IF(R295*2&gt;=60,3.5,IF(R295*2&gt;=50,3,IF(R295*2&gt;=40,2,IF(R295*2&gt;=33,1,0)))))))</f>
        <v/>
      </c>
      <c r="AK295">
        <f>IF(S295&lt;33,0,IF(S295&gt;=80,5,IF(S295&gt;=70,4,IF(S295&gt;=60,3.5,IF(S295&gt;=50,3,IF(S295&gt;=40,2,IF(S295&gt;=33,1,0)))))))</f>
        <v/>
      </c>
      <c r="AL295">
        <f>(AC295+AD295+AE295+AF295+AG295+AH295+AI295+AJ295)/8</f>
        <v/>
      </c>
      <c r="AM295">
        <f>IF(AK295&gt;=2,(AK295-2)/8,0)</f>
        <v/>
      </c>
    </row>
    <row r="296">
      <c r="T296">
        <f>SUM(C296:R296)</f>
        <v/>
      </c>
      <c r="U296" s="6">
        <f>ROUND(T296/11.5,2)</f>
        <v/>
      </c>
      <c r="V296" s="7">
        <f>IF(B296="","",IF(AB296,0,ROUND(AL296,2)))</f>
        <v/>
      </c>
      <c r="W296" s="7">
        <f>IF(B296="","",IF(AB296,0,MIN(5,ROUND(AL296+AM296,2))))</f>
        <v/>
      </c>
      <c r="X296" s="8">
        <f>IF(B296="","",IF(W296&gt;=5,"A+",IF(W296&gt;=4,"A",IF(W296&gt;=3.5,"A-",IF(W296&gt;=3,"B",IF(W296&gt;=2,"C",IF(W296&gt;=1,"D","F")))))))</f>
        <v/>
      </c>
      <c r="Y296">
        <f>NOT(OR(AND(J296&gt;=10,K296&gt;=23,L296&gt;=10,M296&gt;=23),AND(J296+L296&gt;=20,K296+M296&gt;=46)))</f>
        <v/>
      </c>
      <c r="Z296">
        <f>OR(N296&lt;10,O296&lt;23)</f>
        <v/>
      </c>
      <c r="AA296">
        <f>OR(P296&lt;10,Q296&lt;23)</f>
        <v/>
      </c>
      <c r="AB296">
        <f>OR((C296+D296)&lt;66,(E296+F296)&lt;66,G296&lt;33,(H296+I296)&lt;66,Y296,Z296,AA296,R296&lt;8.25)</f>
        <v/>
      </c>
      <c r="AC296">
        <f>IF(C296+D296&lt;66,0,IF((C296+D296)/2&gt;=80,5,IF((C296+D296)/2&gt;=70,4,IF((C296+D296)/2&gt;=60,3.5,IF((C296+D296)/2&gt;=50,3,IF((C296+D296)/2&gt;=40,2,IF((C296+D296)/2&gt;=33,1,0)))))))</f>
        <v/>
      </c>
      <c r="AD296">
        <f>IF(E296+F296&lt;66,0,IF((E296+F296)/2&gt;=80,5,IF((E296+F296)/2&gt;=70,4,IF((E296+F296)/2&gt;=60,3.5,IF((E296+F296)/2&gt;=50,3,IF((E296+F296)/2&gt;=40,2,IF((E296+F296)/2&gt;=33,1,0)))))))</f>
        <v/>
      </c>
      <c r="AE296">
        <f>IF(G296&lt;33,0,IF(G296&gt;=80,5,IF(G296&gt;=70,4,IF(G296&gt;=60,3.5,IF(G296&gt;=50,3,IF(G296&gt;=40,2,IF(G296&gt;=33,1,0)))))))</f>
        <v/>
      </c>
      <c r="AF296">
        <f>IF(H296+I296&lt;66,0,IF((H296+I296)/2&gt;=80,5,IF((H296+I296)/2&gt;=70,4,IF((H296+I296)/2&gt;=60,3.5,IF((H296+I296)/2&gt;=50,3,IF((H296+I296)/2&gt;=40,2,IF((H296+I296)/2&gt;=33,1,0)))))))</f>
        <v/>
      </c>
      <c r="AG296">
        <f>IF(Y296,0,IF((J296+K296+L296+M296)/2&gt;=80,5,IF((J296+K296+L296+M296)/2&gt;=70,4,IF((J296+K296+L296+M296)/2&gt;=60,3.5,IF((J296+K296+L296+M296)/2&gt;=50,3,IF((J296+K296+L296+M296)/2&gt;=40,2,IF((J296+K296+L296+M296)/2&gt;=33,1,0)))))))</f>
        <v/>
      </c>
      <c r="AH296">
        <f>IF(Z296,0,IF(N296+O296&gt;=80,5,IF(N296+O296&gt;=70,4,IF(N296+O296&gt;=60,3.5,IF(N296+O296&gt;=50,3,IF(N296+O296&gt;=40,2,IF(N296+O296&gt;=33,1,0)))))))</f>
        <v/>
      </c>
      <c r="AI296">
        <f>IF(AA296,0,IF(P296+Q296&gt;=80,5,IF(P296+Q296&gt;=70,4,IF(P296+Q296&gt;=60,3.5,IF(P296+Q296&gt;=50,3,IF(P296+Q296&gt;=40,2,IF(P296+Q296&gt;=33,1,0)))))))</f>
        <v/>
      </c>
      <c r="AJ296">
        <f>IF(R296&lt;8.25,0,IF(R296*2&gt;=80,5,IF(R296*2&gt;=70,4,IF(R296*2&gt;=60,3.5,IF(R296*2&gt;=50,3,IF(R296*2&gt;=40,2,IF(R296*2&gt;=33,1,0)))))))</f>
        <v/>
      </c>
      <c r="AK296">
        <f>IF(S296&lt;33,0,IF(S296&gt;=80,5,IF(S296&gt;=70,4,IF(S296&gt;=60,3.5,IF(S296&gt;=50,3,IF(S296&gt;=40,2,IF(S296&gt;=33,1,0)))))))</f>
        <v/>
      </c>
      <c r="AL296">
        <f>(AC296+AD296+AE296+AF296+AG296+AH296+AI296+AJ296)/8</f>
        <v/>
      </c>
      <c r="AM296">
        <f>IF(AK296&gt;=2,(AK296-2)/8,0)</f>
        <v/>
      </c>
    </row>
    <row r="297">
      <c r="T297">
        <f>SUM(C297:R297)</f>
        <v/>
      </c>
      <c r="U297" s="6">
        <f>ROUND(T297/11.5,2)</f>
        <v/>
      </c>
      <c r="V297" s="7">
        <f>IF(B297="","",IF(AB297,0,ROUND(AL297,2)))</f>
        <v/>
      </c>
      <c r="W297" s="7">
        <f>IF(B297="","",IF(AB297,0,MIN(5,ROUND(AL297+AM297,2))))</f>
        <v/>
      </c>
      <c r="X297" s="8">
        <f>IF(B297="","",IF(W297&gt;=5,"A+",IF(W297&gt;=4,"A",IF(W297&gt;=3.5,"A-",IF(W297&gt;=3,"B",IF(W297&gt;=2,"C",IF(W297&gt;=1,"D","F")))))))</f>
        <v/>
      </c>
      <c r="Y297">
        <f>NOT(OR(AND(J297&gt;=10,K297&gt;=23,L297&gt;=10,M297&gt;=23),AND(J297+L297&gt;=20,K297+M297&gt;=46)))</f>
        <v/>
      </c>
      <c r="Z297">
        <f>OR(N297&lt;10,O297&lt;23)</f>
        <v/>
      </c>
      <c r="AA297">
        <f>OR(P297&lt;10,Q297&lt;23)</f>
        <v/>
      </c>
      <c r="AB297">
        <f>OR((C297+D297)&lt;66,(E297+F297)&lt;66,G297&lt;33,(H297+I297)&lt;66,Y297,Z297,AA297,R297&lt;8.25)</f>
        <v/>
      </c>
      <c r="AC297">
        <f>IF(C297+D297&lt;66,0,IF((C297+D297)/2&gt;=80,5,IF((C297+D297)/2&gt;=70,4,IF((C297+D297)/2&gt;=60,3.5,IF((C297+D297)/2&gt;=50,3,IF((C297+D297)/2&gt;=40,2,IF((C297+D297)/2&gt;=33,1,0)))))))</f>
        <v/>
      </c>
      <c r="AD297">
        <f>IF(E297+F297&lt;66,0,IF((E297+F297)/2&gt;=80,5,IF((E297+F297)/2&gt;=70,4,IF((E297+F297)/2&gt;=60,3.5,IF((E297+F297)/2&gt;=50,3,IF((E297+F297)/2&gt;=40,2,IF((E297+F297)/2&gt;=33,1,0)))))))</f>
        <v/>
      </c>
      <c r="AE297">
        <f>IF(G297&lt;33,0,IF(G297&gt;=80,5,IF(G297&gt;=70,4,IF(G297&gt;=60,3.5,IF(G297&gt;=50,3,IF(G297&gt;=40,2,IF(G297&gt;=33,1,0)))))))</f>
        <v/>
      </c>
      <c r="AF297">
        <f>IF(H297+I297&lt;66,0,IF((H297+I297)/2&gt;=80,5,IF((H297+I297)/2&gt;=70,4,IF((H297+I297)/2&gt;=60,3.5,IF((H297+I297)/2&gt;=50,3,IF((H297+I297)/2&gt;=40,2,IF((H297+I297)/2&gt;=33,1,0)))))))</f>
        <v/>
      </c>
      <c r="AG297">
        <f>IF(Y297,0,IF((J297+K297+L297+M297)/2&gt;=80,5,IF((J297+K297+L297+M297)/2&gt;=70,4,IF((J297+K297+L297+M297)/2&gt;=60,3.5,IF((J297+K297+L297+M297)/2&gt;=50,3,IF((J297+K297+L297+M297)/2&gt;=40,2,IF((J297+K297+L297+M297)/2&gt;=33,1,0)))))))</f>
        <v/>
      </c>
      <c r="AH297">
        <f>IF(Z297,0,IF(N297+O297&gt;=80,5,IF(N297+O297&gt;=70,4,IF(N297+O297&gt;=60,3.5,IF(N297+O297&gt;=50,3,IF(N297+O297&gt;=40,2,IF(N297+O297&gt;=33,1,0)))))))</f>
        <v/>
      </c>
      <c r="AI297">
        <f>IF(AA297,0,IF(P297+Q297&gt;=80,5,IF(P297+Q297&gt;=70,4,IF(P297+Q297&gt;=60,3.5,IF(P297+Q297&gt;=50,3,IF(P297+Q297&gt;=40,2,IF(P297+Q297&gt;=33,1,0)))))))</f>
        <v/>
      </c>
      <c r="AJ297">
        <f>IF(R297&lt;8.25,0,IF(R297*2&gt;=80,5,IF(R297*2&gt;=70,4,IF(R297*2&gt;=60,3.5,IF(R297*2&gt;=50,3,IF(R297*2&gt;=40,2,IF(R297*2&gt;=33,1,0)))))))</f>
        <v/>
      </c>
      <c r="AK297">
        <f>IF(S297&lt;33,0,IF(S297&gt;=80,5,IF(S297&gt;=70,4,IF(S297&gt;=60,3.5,IF(S297&gt;=50,3,IF(S297&gt;=40,2,IF(S297&gt;=33,1,0)))))))</f>
        <v/>
      </c>
      <c r="AL297">
        <f>(AC297+AD297+AE297+AF297+AG297+AH297+AI297+AJ297)/8</f>
        <v/>
      </c>
      <c r="AM297">
        <f>IF(AK297&gt;=2,(AK297-2)/8,0)</f>
        <v/>
      </c>
    </row>
    <row r="298">
      <c r="T298">
        <f>SUM(C298:R298)</f>
        <v/>
      </c>
      <c r="U298" s="6">
        <f>ROUND(T298/11.5,2)</f>
        <v/>
      </c>
      <c r="V298" s="7">
        <f>IF(B298="","",IF(AB298,0,ROUND(AL298,2)))</f>
        <v/>
      </c>
      <c r="W298" s="7">
        <f>IF(B298="","",IF(AB298,0,MIN(5,ROUND(AL298+AM298,2))))</f>
        <v/>
      </c>
      <c r="X298" s="8">
        <f>IF(B298="","",IF(W298&gt;=5,"A+",IF(W298&gt;=4,"A",IF(W298&gt;=3.5,"A-",IF(W298&gt;=3,"B",IF(W298&gt;=2,"C",IF(W298&gt;=1,"D","F")))))))</f>
        <v/>
      </c>
      <c r="Y298">
        <f>NOT(OR(AND(J298&gt;=10,K298&gt;=23,L298&gt;=10,M298&gt;=23),AND(J298+L298&gt;=20,K298+M298&gt;=46)))</f>
        <v/>
      </c>
      <c r="Z298">
        <f>OR(N298&lt;10,O298&lt;23)</f>
        <v/>
      </c>
      <c r="AA298">
        <f>OR(P298&lt;10,Q298&lt;23)</f>
        <v/>
      </c>
      <c r="AB298">
        <f>OR((C298+D298)&lt;66,(E298+F298)&lt;66,G298&lt;33,(H298+I298)&lt;66,Y298,Z298,AA298,R298&lt;8.25)</f>
        <v/>
      </c>
      <c r="AC298">
        <f>IF(C298+D298&lt;66,0,IF((C298+D298)/2&gt;=80,5,IF((C298+D298)/2&gt;=70,4,IF((C298+D298)/2&gt;=60,3.5,IF((C298+D298)/2&gt;=50,3,IF((C298+D298)/2&gt;=40,2,IF((C298+D298)/2&gt;=33,1,0)))))))</f>
        <v/>
      </c>
      <c r="AD298">
        <f>IF(E298+F298&lt;66,0,IF((E298+F298)/2&gt;=80,5,IF((E298+F298)/2&gt;=70,4,IF((E298+F298)/2&gt;=60,3.5,IF((E298+F298)/2&gt;=50,3,IF((E298+F298)/2&gt;=40,2,IF((E298+F298)/2&gt;=33,1,0)))))))</f>
        <v/>
      </c>
      <c r="AE298">
        <f>IF(G298&lt;33,0,IF(G298&gt;=80,5,IF(G298&gt;=70,4,IF(G298&gt;=60,3.5,IF(G298&gt;=50,3,IF(G298&gt;=40,2,IF(G298&gt;=33,1,0)))))))</f>
        <v/>
      </c>
      <c r="AF298">
        <f>IF(H298+I298&lt;66,0,IF((H298+I298)/2&gt;=80,5,IF((H298+I298)/2&gt;=70,4,IF((H298+I298)/2&gt;=60,3.5,IF((H298+I298)/2&gt;=50,3,IF((H298+I298)/2&gt;=40,2,IF((H298+I298)/2&gt;=33,1,0)))))))</f>
        <v/>
      </c>
      <c r="AG298">
        <f>IF(Y298,0,IF((J298+K298+L298+M298)/2&gt;=80,5,IF((J298+K298+L298+M298)/2&gt;=70,4,IF((J298+K298+L298+M298)/2&gt;=60,3.5,IF((J298+K298+L298+M298)/2&gt;=50,3,IF((J298+K298+L298+M298)/2&gt;=40,2,IF((J298+K298+L298+M298)/2&gt;=33,1,0)))))))</f>
        <v/>
      </c>
      <c r="AH298">
        <f>IF(Z298,0,IF(N298+O298&gt;=80,5,IF(N298+O298&gt;=70,4,IF(N298+O298&gt;=60,3.5,IF(N298+O298&gt;=50,3,IF(N298+O298&gt;=40,2,IF(N298+O298&gt;=33,1,0)))))))</f>
        <v/>
      </c>
      <c r="AI298">
        <f>IF(AA298,0,IF(P298+Q298&gt;=80,5,IF(P298+Q298&gt;=70,4,IF(P298+Q298&gt;=60,3.5,IF(P298+Q298&gt;=50,3,IF(P298+Q298&gt;=40,2,IF(P298+Q298&gt;=33,1,0)))))))</f>
        <v/>
      </c>
      <c r="AJ298">
        <f>IF(R298&lt;8.25,0,IF(R298*2&gt;=80,5,IF(R298*2&gt;=70,4,IF(R298*2&gt;=60,3.5,IF(R298*2&gt;=50,3,IF(R298*2&gt;=40,2,IF(R298*2&gt;=33,1,0)))))))</f>
        <v/>
      </c>
      <c r="AK298">
        <f>IF(S298&lt;33,0,IF(S298&gt;=80,5,IF(S298&gt;=70,4,IF(S298&gt;=60,3.5,IF(S298&gt;=50,3,IF(S298&gt;=40,2,IF(S298&gt;=33,1,0)))))))</f>
        <v/>
      </c>
      <c r="AL298">
        <f>(AC298+AD298+AE298+AF298+AG298+AH298+AI298+AJ298)/8</f>
        <v/>
      </c>
      <c r="AM298">
        <f>IF(AK298&gt;=2,(AK298-2)/8,0)</f>
        <v/>
      </c>
    </row>
    <row r="299">
      <c r="T299">
        <f>SUM(C299:R299)</f>
        <v/>
      </c>
      <c r="U299" s="6">
        <f>ROUND(T299/11.5,2)</f>
        <v/>
      </c>
      <c r="V299" s="7">
        <f>IF(B299="","",IF(AB299,0,ROUND(AL299,2)))</f>
        <v/>
      </c>
      <c r="W299" s="7">
        <f>IF(B299="","",IF(AB299,0,MIN(5,ROUND(AL299+AM299,2))))</f>
        <v/>
      </c>
      <c r="X299" s="8">
        <f>IF(B299="","",IF(W299&gt;=5,"A+",IF(W299&gt;=4,"A",IF(W299&gt;=3.5,"A-",IF(W299&gt;=3,"B",IF(W299&gt;=2,"C",IF(W299&gt;=1,"D","F")))))))</f>
        <v/>
      </c>
      <c r="Y299">
        <f>NOT(OR(AND(J299&gt;=10,K299&gt;=23,L299&gt;=10,M299&gt;=23),AND(J299+L299&gt;=20,K299+M299&gt;=46)))</f>
        <v/>
      </c>
      <c r="Z299">
        <f>OR(N299&lt;10,O299&lt;23)</f>
        <v/>
      </c>
      <c r="AA299">
        <f>OR(P299&lt;10,Q299&lt;23)</f>
        <v/>
      </c>
      <c r="AB299">
        <f>OR((C299+D299)&lt;66,(E299+F299)&lt;66,G299&lt;33,(H299+I299)&lt;66,Y299,Z299,AA299,R299&lt;8.25)</f>
        <v/>
      </c>
      <c r="AC299">
        <f>IF(C299+D299&lt;66,0,IF((C299+D299)/2&gt;=80,5,IF((C299+D299)/2&gt;=70,4,IF((C299+D299)/2&gt;=60,3.5,IF((C299+D299)/2&gt;=50,3,IF((C299+D299)/2&gt;=40,2,IF((C299+D299)/2&gt;=33,1,0)))))))</f>
        <v/>
      </c>
      <c r="AD299">
        <f>IF(E299+F299&lt;66,0,IF((E299+F299)/2&gt;=80,5,IF((E299+F299)/2&gt;=70,4,IF((E299+F299)/2&gt;=60,3.5,IF((E299+F299)/2&gt;=50,3,IF((E299+F299)/2&gt;=40,2,IF((E299+F299)/2&gt;=33,1,0)))))))</f>
        <v/>
      </c>
      <c r="AE299">
        <f>IF(G299&lt;33,0,IF(G299&gt;=80,5,IF(G299&gt;=70,4,IF(G299&gt;=60,3.5,IF(G299&gt;=50,3,IF(G299&gt;=40,2,IF(G299&gt;=33,1,0)))))))</f>
        <v/>
      </c>
      <c r="AF299">
        <f>IF(H299+I299&lt;66,0,IF((H299+I299)/2&gt;=80,5,IF((H299+I299)/2&gt;=70,4,IF((H299+I299)/2&gt;=60,3.5,IF((H299+I299)/2&gt;=50,3,IF((H299+I299)/2&gt;=40,2,IF((H299+I299)/2&gt;=33,1,0)))))))</f>
        <v/>
      </c>
      <c r="AG299">
        <f>IF(Y299,0,IF((J299+K299+L299+M299)/2&gt;=80,5,IF((J299+K299+L299+M299)/2&gt;=70,4,IF((J299+K299+L299+M299)/2&gt;=60,3.5,IF((J299+K299+L299+M299)/2&gt;=50,3,IF((J299+K299+L299+M299)/2&gt;=40,2,IF((J299+K299+L299+M299)/2&gt;=33,1,0)))))))</f>
        <v/>
      </c>
      <c r="AH299">
        <f>IF(Z299,0,IF(N299+O299&gt;=80,5,IF(N299+O299&gt;=70,4,IF(N299+O299&gt;=60,3.5,IF(N299+O299&gt;=50,3,IF(N299+O299&gt;=40,2,IF(N299+O299&gt;=33,1,0)))))))</f>
        <v/>
      </c>
      <c r="AI299">
        <f>IF(AA299,0,IF(P299+Q299&gt;=80,5,IF(P299+Q299&gt;=70,4,IF(P299+Q299&gt;=60,3.5,IF(P299+Q299&gt;=50,3,IF(P299+Q299&gt;=40,2,IF(P299+Q299&gt;=33,1,0)))))))</f>
        <v/>
      </c>
      <c r="AJ299">
        <f>IF(R299&lt;8.25,0,IF(R299*2&gt;=80,5,IF(R299*2&gt;=70,4,IF(R299*2&gt;=60,3.5,IF(R299*2&gt;=50,3,IF(R299*2&gt;=40,2,IF(R299*2&gt;=33,1,0)))))))</f>
        <v/>
      </c>
      <c r="AK299">
        <f>IF(S299&lt;33,0,IF(S299&gt;=80,5,IF(S299&gt;=70,4,IF(S299&gt;=60,3.5,IF(S299&gt;=50,3,IF(S299&gt;=40,2,IF(S299&gt;=33,1,0)))))))</f>
        <v/>
      </c>
      <c r="AL299">
        <f>(AC299+AD299+AE299+AF299+AG299+AH299+AI299+AJ299)/8</f>
        <v/>
      </c>
      <c r="AM299">
        <f>IF(AK299&gt;=2,(AK299-2)/8,0)</f>
        <v/>
      </c>
    </row>
    <row r="300">
      <c r="T300">
        <f>SUM(C300:R300)</f>
        <v/>
      </c>
      <c r="U300" s="6">
        <f>ROUND(T300/11.5,2)</f>
        <v/>
      </c>
      <c r="V300" s="7">
        <f>IF(B300="","",IF(AB300,0,ROUND(AL300,2)))</f>
        <v/>
      </c>
      <c r="W300" s="7">
        <f>IF(B300="","",IF(AB300,0,MIN(5,ROUND(AL300+AM300,2))))</f>
        <v/>
      </c>
      <c r="X300" s="8">
        <f>IF(B300="","",IF(W300&gt;=5,"A+",IF(W300&gt;=4,"A",IF(W300&gt;=3.5,"A-",IF(W300&gt;=3,"B",IF(W300&gt;=2,"C",IF(W300&gt;=1,"D","F")))))))</f>
        <v/>
      </c>
      <c r="Y300">
        <f>NOT(OR(AND(J300&gt;=10,K300&gt;=23,L300&gt;=10,M300&gt;=23),AND(J300+L300&gt;=20,K300+M300&gt;=46)))</f>
        <v/>
      </c>
      <c r="Z300">
        <f>OR(N300&lt;10,O300&lt;23)</f>
        <v/>
      </c>
      <c r="AA300">
        <f>OR(P300&lt;10,Q300&lt;23)</f>
        <v/>
      </c>
      <c r="AB300">
        <f>OR((C300+D300)&lt;66,(E300+F300)&lt;66,G300&lt;33,(H300+I300)&lt;66,Y300,Z300,AA300,R300&lt;8.25)</f>
        <v/>
      </c>
      <c r="AC300">
        <f>IF(C300+D300&lt;66,0,IF((C300+D300)/2&gt;=80,5,IF((C300+D300)/2&gt;=70,4,IF((C300+D300)/2&gt;=60,3.5,IF((C300+D300)/2&gt;=50,3,IF((C300+D300)/2&gt;=40,2,IF((C300+D300)/2&gt;=33,1,0)))))))</f>
        <v/>
      </c>
      <c r="AD300">
        <f>IF(E300+F300&lt;66,0,IF((E300+F300)/2&gt;=80,5,IF((E300+F300)/2&gt;=70,4,IF((E300+F300)/2&gt;=60,3.5,IF((E300+F300)/2&gt;=50,3,IF((E300+F300)/2&gt;=40,2,IF((E300+F300)/2&gt;=33,1,0)))))))</f>
        <v/>
      </c>
      <c r="AE300">
        <f>IF(G300&lt;33,0,IF(G300&gt;=80,5,IF(G300&gt;=70,4,IF(G300&gt;=60,3.5,IF(G300&gt;=50,3,IF(G300&gt;=40,2,IF(G300&gt;=33,1,0)))))))</f>
        <v/>
      </c>
      <c r="AF300">
        <f>IF(H300+I300&lt;66,0,IF((H300+I300)/2&gt;=80,5,IF((H300+I300)/2&gt;=70,4,IF((H300+I300)/2&gt;=60,3.5,IF((H300+I300)/2&gt;=50,3,IF((H300+I300)/2&gt;=40,2,IF((H300+I300)/2&gt;=33,1,0)))))))</f>
        <v/>
      </c>
      <c r="AG300">
        <f>IF(Y300,0,IF((J300+K300+L300+M300)/2&gt;=80,5,IF((J300+K300+L300+M300)/2&gt;=70,4,IF((J300+K300+L300+M300)/2&gt;=60,3.5,IF((J300+K300+L300+M300)/2&gt;=50,3,IF((J300+K300+L300+M300)/2&gt;=40,2,IF((J300+K300+L300+M300)/2&gt;=33,1,0)))))))</f>
        <v/>
      </c>
      <c r="AH300">
        <f>IF(Z300,0,IF(N300+O300&gt;=80,5,IF(N300+O300&gt;=70,4,IF(N300+O300&gt;=60,3.5,IF(N300+O300&gt;=50,3,IF(N300+O300&gt;=40,2,IF(N300+O300&gt;=33,1,0)))))))</f>
        <v/>
      </c>
      <c r="AI300">
        <f>IF(AA300,0,IF(P300+Q300&gt;=80,5,IF(P300+Q300&gt;=70,4,IF(P300+Q300&gt;=60,3.5,IF(P300+Q300&gt;=50,3,IF(P300+Q300&gt;=40,2,IF(P300+Q300&gt;=33,1,0)))))))</f>
        <v/>
      </c>
      <c r="AJ300">
        <f>IF(R300&lt;8.25,0,IF(R300*2&gt;=80,5,IF(R300*2&gt;=70,4,IF(R300*2&gt;=60,3.5,IF(R300*2&gt;=50,3,IF(R300*2&gt;=40,2,IF(R300*2&gt;=33,1,0)))))))</f>
        <v/>
      </c>
      <c r="AK300">
        <f>IF(S300&lt;33,0,IF(S300&gt;=80,5,IF(S300&gt;=70,4,IF(S300&gt;=60,3.5,IF(S300&gt;=50,3,IF(S300&gt;=40,2,IF(S300&gt;=33,1,0)))))))</f>
        <v/>
      </c>
      <c r="AL300">
        <f>(AC300+AD300+AE300+AF300+AG300+AH300+AI300+AJ300)/8</f>
        <v/>
      </c>
      <c r="AM300">
        <f>IF(AK300&gt;=2,(AK300-2)/8,0)</f>
        <v/>
      </c>
    </row>
    <row r="301">
      <c r="T301">
        <f>SUM(C301:R301)</f>
        <v/>
      </c>
      <c r="U301" s="6">
        <f>ROUND(T301/11.5,2)</f>
        <v/>
      </c>
      <c r="V301" s="7">
        <f>IF(B301="","",IF(AB301,0,ROUND(AL301,2)))</f>
        <v/>
      </c>
      <c r="W301" s="7">
        <f>IF(B301="","",IF(AB301,0,MIN(5,ROUND(AL301+AM301,2))))</f>
        <v/>
      </c>
      <c r="X301" s="8">
        <f>IF(B301="","",IF(W301&gt;=5,"A+",IF(W301&gt;=4,"A",IF(W301&gt;=3.5,"A-",IF(W301&gt;=3,"B",IF(W301&gt;=2,"C",IF(W301&gt;=1,"D","F")))))))</f>
        <v/>
      </c>
      <c r="Y301">
        <f>NOT(OR(AND(J301&gt;=10,K301&gt;=23,L301&gt;=10,M301&gt;=23),AND(J301+L301&gt;=20,K301+M301&gt;=46)))</f>
        <v/>
      </c>
      <c r="Z301">
        <f>OR(N301&lt;10,O301&lt;23)</f>
        <v/>
      </c>
      <c r="AA301">
        <f>OR(P301&lt;10,Q301&lt;23)</f>
        <v/>
      </c>
      <c r="AB301">
        <f>OR((C301+D301)&lt;66,(E301+F301)&lt;66,G301&lt;33,(H301+I301)&lt;66,Y301,Z301,AA301,R301&lt;8.25)</f>
        <v/>
      </c>
      <c r="AC301">
        <f>IF(C301+D301&lt;66,0,IF((C301+D301)/2&gt;=80,5,IF((C301+D301)/2&gt;=70,4,IF((C301+D301)/2&gt;=60,3.5,IF((C301+D301)/2&gt;=50,3,IF((C301+D301)/2&gt;=40,2,IF((C301+D301)/2&gt;=33,1,0)))))))</f>
        <v/>
      </c>
      <c r="AD301">
        <f>IF(E301+F301&lt;66,0,IF((E301+F301)/2&gt;=80,5,IF((E301+F301)/2&gt;=70,4,IF((E301+F301)/2&gt;=60,3.5,IF((E301+F301)/2&gt;=50,3,IF((E301+F301)/2&gt;=40,2,IF((E301+F301)/2&gt;=33,1,0)))))))</f>
        <v/>
      </c>
      <c r="AE301">
        <f>IF(G301&lt;33,0,IF(G301&gt;=80,5,IF(G301&gt;=70,4,IF(G301&gt;=60,3.5,IF(G301&gt;=50,3,IF(G301&gt;=40,2,IF(G301&gt;=33,1,0)))))))</f>
        <v/>
      </c>
      <c r="AF301">
        <f>IF(H301+I301&lt;66,0,IF((H301+I301)/2&gt;=80,5,IF((H301+I301)/2&gt;=70,4,IF((H301+I301)/2&gt;=60,3.5,IF((H301+I301)/2&gt;=50,3,IF((H301+I301)/2&gt;=40,2,IF((H301+I301)/2&gt;=33,1,0)))))))</f>
        <v/>
      </c>
      <c r="AG301">
        <f>IF(Y301,0,IF((J301+K301+L301+M301)/2&gt;=80,5,IF((J301+K301+L301+M301)/2&gt;=70,4,IF((J301+K301+L301+M301)/2&gt;=60,3.5,IF((J301+K301+L301+M301)/2&gt;=50,3,IF((J301+K301+L301+M301)/2&gt;=40,2,IF((J301+K301+L301+M301)/2&gt;=33,1,0)))))))</f>
        <v/>
      </c>
      <c r="AH301">
        <f>IF(Z301,0,IF(N301+O301&gt;=80,5,IF(N301+O301&gt;=70,4,IF(N301+O301&gt;=60,3.5,IF(N301+O301&gt;=50,3,IF(N301+O301&gt;=40,2,IF(N301+O301&gt;=33,1,0)))))))</f>
        <v/>
      </c>
      <c r="AI301">
        <f>IF(AA301,0,IF(P301+Q301&gt;=80,5,IF(P301+Q301&gt;=70,4,IF(P301+Q301&gt;=60,3.5,IF(P301+Q301&gt;=50,3,IF(P301+Q301&gt;=40,2,IF(P301+Q301&gt;=33,1,0)))))))</f>
        <v/>
      </c>
      <c r="AJ301">
        <f>IF(R301&lt;8.25,0,IF(R301*2&gt;=80,5,IF(R301*2&gt;=70,4,IF(R301*2&gt;=60,3.5,IF(R301*2&gt;=50,3,IF(R301*2&gt;=40,2,IF(R301*2&gt;=33,1,0)))))))</f>
        <v/>
      </c>
      <c r="AK301">
        <f>IF(S301&lt;33,0,IF(S301&gt;=80,5,IF(S301&gt;=70,4,IF(S301&gt;=60,3.5,IF(S301&gt;=50,3,IF(S301&gt;=40,2,IF(S301&gt;=33,1,0)))))))</f>
        <v/>
      </c>
      <c r="AL301">
        <f>(AC301+AD301+AE301+AF301+AG301+AH301+AI301+AJ301)/8</f>
        <v/>
      </c>
      <c r="AM301">
        <f>IF(AK301&gt;=2,(AK301-2)/8,0)</f>
        <v/>
      </c>
    </row>
    <row r="302">
      <c r="T302">
        <f>SUM(C302:R302)</f>
        <v/>
      </c>
      <c r="U302" s="6">
        <f>ROUND(T302/11.5,2)</f>
        <v/>
      </c>
      <c r="V302" s="7">
        <f>IF(B302="","",IF(AB302,0,ROUND(AL302,2)))</f>
        <v/>
      </c>
      <c r="W302" s="7">
        <f>IF(B302="","",IF(AB302,0,MIN(5,ROUND(AL302+AM302,2))))</f>
        <v/>
      </c>
      <c r="X302" s="8">
        <f>IF(B302="","",IF(W302&gt;=5,"A+",IF(W302&gt;=4,"A",IF(W302&gt;=3.5,"A-",IF(W302&gt;=3,"B",IF(W302&gt;=2,"C",IF(W302&gt;=1,"D","F")))))))</f>
        <v/>
      </c>
      <c r="Y302">
        <f>NOT(OR(AND(J302&gt;=10,K302&gt;=23,L302&gt;=10,M302&gt;=23),AND(J302+L302&gt;=20,K302+M302&gt;=46)))</f>
        <v/>
      </c>
      <c r="Z302">
        <f>OR(N302&lt;10,O302&lt;23)</f>
        <v/>
      </c>
      <c r="AA302">
        <f>OR(P302&lt;10,Q302&lt;23)</f>
        <v/>
      </c>
      <c r="AB302">
        <f>OR((C302+D302)&lt;66,(E302+F302)&lt;66,G302&lt;33,(H302+I302)&lt;66,Y302,Z302,AA302,R302&lt;8.25)</f>
        <v/>
      </c>
      <c r="AC302">
        <f>IF(C302+D302&lt;66,0,IF((C302+D302)/2&gt;=80,5,IF((C302+D302)/2&gt;=70,4,IF((C302+D302)/2&gt;=60,3.5,IF((C302+D302)/2&gt;=50,3,IF((C302+D302)/2&gt;=40,2,IF((C302+D302)/2&gt;=33,1,0)))))))</f>
        <v/>
      </c>
      <c r="AD302">
        <f>IF(E302+F302&lt;66,0,IF((E302+F302)/2&gt;=80,5,IF((E302+F302)/2&gt;=70,4,IF((E302+F302)/2&gt;=60,3.5,IF((E302+F302)/2&gt;=50,3,IF((E302+F302)/2&gt;=40,2,IF((E302+F302)/2&gt;=33,1,0)))))))</f>
        <v/>
      </c>
      <c r="AE302">
        <f>IF(G302&lt;33,0,IF(G302&gt;=80,5,IF(G302&gt;=70,4,IF(G302&gt;=60,3.5,IF(G302&gt;=50,3,IF(G302&gt;=40,2,IF(G302&gt;=33,1,0)))))))</f>
        <v/>
      </c>
      <c r="AF302">
        <f>IF(H302+I302&lt;66,0,IF((H302+I302)/2&gt;=80,5,IF((H302+I302)/2&gt;=70,4,IF((H302+I302)/2&gt;=60,3.5,IF((H302+I302)/2&gt;=50,3,IF((H302+I302)/2&gt;=40,2,IF((H302+I302)/2&gt;=33,1,0)))))))</f>
        <v/>
      </c>
      <c r="AG302">
        <f>IF(Y302,0,IF((J302+K302+L302+M302)/2&gt;=80,5,IF((J302+K302+L302+M302)/2&gt;=70,4,IF((J302+K302+L302+M302)/2&gt;=60,3.5,IF((J302+K302+L302+M302)/2&gt;=50,3,IF((J302+K302+L302+M302)/2&gt;=40,2,IF((J302+K302+L302+M302)/2&gt;=33,1,0)))))))</f>
        <v/>
      </c>
      <c r="AH302">
        <f>IF(Z302,0,IF(N302+O302&gt;=80,5,IF(N302+O302&gt;=70,4,IF(N302+O302&gt;=60,3.5,IF(N302+O302&gt;=50,3,IF(N302+O302&gt;=40,2,IF(N302+O302&gt;=33,1,0)))))))</f>
        <v/>
      </c>
      <c r="AI302">
        <f>IF(AA302,0,IF(P302+Q302&gt;=80,5,IF(P302+Q302&gt;=70,4,IF(P302+Q302&gt;=60,3.5,IF(P302+Q302&gt;=50,3,IF(P302+Q302&gt;=40,2,IF(P302+Q302&gt;=33,1,0)))))))</f>
        <v/>
      </c>
      <c r="AJ302">
        <f>IF(R302&lt;8.25,0,IF(R302*2&gt;=80,5,IF(R302*2&gt;=70,4,IF(R302*2&gt;=60,3.5,IF(R302*2&gt;=50,3,IF(R302*2&gt;=40,2,IF(R302*2&gt;=33,1,0)))))))</f>
        <v/>
      </c>
      <c r="AK302">
        <f>IF(S302&lt;33,0,IF(S302&gt;=80,5,IF(S302&gt;=70,4,IF(S302&gt;=60,3.5,IF(S302&gt;=50,3,IF(S302&gt;=40,2,IF(S302&gt;=33,1,0)))))))</f>
        <v/>
      </c>
      <c r="AL302">
        <f>(AC302+AD302+AE302+AF302+AG302+AH302+AI302+AJ302)/8</f>
        <v/>
      </c>
      <c r="AM302">
        <f>IF(AK302&gt;=2,(AK302-2)/8,0)</f>
        <v/>
      </c>
    </row>
    <row r="303">
      <c r="T303">
        <f>SUM(C303:R303)</f>
        <v/>
      </c>
      <c r="U303" s="6">
        <f>ROUND(T303/11.5,2)</f>
        <v/>
      </c>
      <c r="V303" s="7">
        <f>IF(B303="","",IF(AB303,0,ROUND(AL303,2)))</f>
        <v/>
      </c>
      <c r="W303" s="7">
        <f>IF(B303="","",IF(AB303,0,MIN(5,ROUND(AL303+AM303,2))))</f>
        <v/>
      </c>
      <c r="X303" s="8">
        <f>IF(B303="","",IF(W303&gt;=5,"A+",IF(W303&gt;=4,"A",IF(W303&gt;=3.5,"A-",IF(W303&gt;=3,"B",IF(W303&gt;=2,"C",IF(W303&gt;=1,"D","F")))))))</f>
        <v/>
      </c>
      <c r="Y303">
        <f>NOT(OR(AND(J303&gt;=10,K303&gt;=23,L303&gt;=10,M303&gt;=23),AND(J303+L303&gt;=20,K303+M303&gt;=46)))</f>
        <v/>
      </c>
      <c r="Z303">
        <f>OR(N303&lt;10,O303&lt;23)</f>
        <v/>
      </c>
      <c r="AA303">
        <f>OR(P303&lt;10,Q303&lt;23)</f>
        <v/>
      </c>
      <c r="AB303">
        <f>OR((C303+D303)&lt;66,(E303+F303)&lt;66,G303&lt;33,(H303+I303)&lt;66,Y303,Z303,AA303,R303&lt;8.25)</f>
        <v/>
      </c>
      <c r="AC303">
        <f>IF(C303+D303&lt;66,0,IF((C303+D303)/2&gt;=80,5,IF((C303+D303)/2&gt;=70,4,IF((C303+D303)/2&gt;=60,3.5,IF((C303+D303)/2&gt;=50,3,IF((C303+D303)/2&gt;=40,2,IF((C303+D303)/2&gt;=33,1,0)))))))</f>
        <v/>
      </c>
      <c r="AD303">
        <f>IF(E303+F303&lt;66,0,IF((E303+F303)/2&gt;=80,5,IF((E303+F303)/2&gt;=70,4,IF((E303+F303)/2&gt;=60,3.5,IF((E303+F303)/2&gt;=50,3,IF((E303+F303)/2&gt;=40,2,IF((E303+F303)/2&gt;=33,1,0)))))))</f>
        <v/>
      </c>
      <c r="AE303">
        <f>IF(G303&lt;33,0,IF(G303&gt;=80,5,IF(G303&gt;=70,4,IF(G303&gt;=60,3.5,IF(G303&gt;=50,3,IF(G303&gt;=40,2,IF(G303&gt;=33,1,0)))))))</f>
        <v/>
      </c>
      <c r="AF303">
        <f>IF(H303+I303&lt;66,0,IF((H303+I303)/2&gt;=80,5,IF((H303+I303)/2&gt;=70,4,IF((H303+I303)/2&gt;=60,3.5,IF((H303+I303)/2&gt;=50,3,IF((H303+I303)/2&gt;=40,2,IF((H303+I303)/2&gt;=33,1,0)))))))</f>
        <v/>
      </c>
      <c r="AG303">
        <f>IF(Y303,0,IF((J303+K303+L303+M303)/2&gt;=80,5,IF((J303+K303+L303+M303)/2&gt;=70,4,IF((J303+K303+L303+M303)/2&gt;=60,3.5,IF((J303+K303+L303+M303)/2&gt;=50,3,IF((J303+K303+L303+M303)/2&gt;=40,2,IF((J303+K303+L303+M303)/2&gt;=33,1,0)))))))</f>
        <v/>
      </c>
      <c r="AH303">
        <f>IF(Z303,0,IF(N303+O303&gt;=80,5,IF(N303+O303&gt;=70,4,IF(N303+O303&gt;=60,3.5,IF(N303+O303&gt;=50,3,IF(N303+O303&gt;=40,2,IF(N303+O303&gt;=33,1,0)))))))</f>
        <v/>
      </c>
      <c r="AI303">
        <f>IF(AA303,0,IF(P303+Q303&gt;=80,5,IF(P303+Q303&gt;=70,4,IF(P303+Q303&gt;=60,3.5,IF(P303+Q303&gt;=50,3,IF(P303+Q303&gt;=40,2,IF(P303+Q303&gt;=33,1,0)))))))</f>
        <v/>
      </c>
      <c r="AJ303">
        <f>IF(R303&lt;8.25,0,IF(R303*2&gt;=80,5,IF(R303*2&gt;=70,4,IF(R303*2&gt;=60,3.5,IF(R303*2&gt;=50,3,IF(R303*2&gt;=40,2,IF(R303*2&gt;=33,1,0)))))))</f>
        <v/>
      </c>
      <c r="AK303">
        <f>IF(S303&lt;33,0,IF(S303&gt;=80,5,IF(S303&gt;=70,4,IF(S303&gt;=60,3.5,IF(S303&gt;=50,3,IF(S303&gt;=40,2,IF(S303&gt;=33,1,0)))))))</f>
        <v/>
      </c>
      <c r="AL303">
        <f>(AC303+AD303+AE303+AF303+AG303+AH303+AI303+AJ303)/8</f>
        <v/>
      </c>
      <c r="AM303">
        <f>IF(AK303&gt;=2,(AK303-2)/8,0)</f>
        <v/>
      </c>
    </row>
    <row r="304">
      <c r="T304">
        <f>SUM(C304:R304)</f>
        <v/>
      </c>
      <c r="U304" s="6">
        <f>ROUND(T304/11.5,2)</f>
        <v/>
      </c>
      <c r="V304" s="7">
        <f>IF(B304="","",IF(AB304,0,ROUND(AL304,2)))</f>
        <v/>
      </c>
      <c r="W304" s="7">
        <f>IF(B304="","",IF(AB304,0,MIN(5,ROUND(AL304+AM304,2))))</f>
        <v/>
      </c>
      <c r="X304" s="8">
        <f>IF(B304="","",IF(W304&gt;=5,"A+",IF(W304&gt;=4,"A",IF(W304&gt;=3.5,"A-",IF(W304&gt;=3,"B",IF(W304&gt;=2,"C",IF(W304&gt;=1,"D","F")))))))</f>
        <v/>
      </c>
      <c r="Y304">
        <f>NOT(OR(AND(J304&gt;=10,K304&gt;=23,L304&gt;=10,M304&gt;=23),AND(J304+L304&gt;=20,K304+M304&gt;=46)))</f>
        <v/>
      </c>
      <c r="Z304">
        <f>OR(N304&lt;10,O304&lt;23)</f>
        <v/>
      </c>
      <c r="AA304">
        <f>OR(P304&lt;10,Q304&lt;23)</f>
        <v/>
      </c>
      <c r="AB304">
        <f>OR((C304+D304)&lt;66,(E304+F304)&lt;66,G304&lt;33,(H304+I304)&lt;66,Y304,Z304,AA304,R304&lt;8.25)</f>
        <v/>
      </c>
      <c r="AC304">
        <f>IF(C304+D304&lt;66,0,IF((C304+D304)/2&gt;=80,5,IF((C304+D304)/2&gt;=70,4,IF((C304+D304)/2&gt;=60,3.5,IF((C304+D304)/2&gt;=50,3,IF((C304+D304)/2&gt;=40,2,IF((C304+D304)/2&gt;=33,1,0)))))))</f>
        <v/>
      </c>
      <c r="AD304">
        <f>IF(E304+F304&lt;66,0,IF((E304+F304)/2&gt;=80,5,IF((E304+F304)/2&gt;=70,4,IF((E304+F304)/2&gt;=60,3.5,IF((E304+F304)/2&gt;=50,3,IF((E304+F304)/2&gt;=40,2,IF((E304+F304)/2&gt;=33,1,0)))))))</f>
        <v/>
      </c>
      <c r="AE304">
        <f>IF(G304&lt;33,0,IF(G304&gt;=80,5,IF(G304&gt;=70,4,IF(G304&gt;=60,3.5,IF(G304&gt;=50,3,IF(G304&gt;=40,2,IF(G304&gt;=33,1,0)))))))</f>
        <v/>
      </c>
      <c r="AF304">
        <f>IF(H304+I304&lt;66,0,IF((H304+I304)/2&gt;=80,5,IF((H304+I304)/2&gt;=70,4,IF((H304+I304)/2&gt;=60,3.5,IF((H304+I304)/2&gt;=50,3,IF((H304+I304)/2&gt;=40,2,IF((H304+I304)/2&gt;=33,1,0)))))))</f>
        <v/>
      </c>
      <c r="AG304">
        <f>IF(Y304,0,IF((J304+K304+L304+M304)/2&gt;=80,5,IF((J304+K304+L304+M304)/2&gt;=70,4,IF((J304+K304+L304+M304)/2&gt;=60,3.5,IF((J304+K304+L304+M304)/2&gt;=50,3,IF((J304+K304+L304+M304)/2&gt;=40,2,IF((J304+K304+L304+M304)/2&gt;=33,1,0)))))))</f>
        <v/>
      </c>
      <c r="AH304">
        <f>IF(Z304,0,IF(N304+O304&gt;=80,5,IF(N304+O304&gt;=70,4,IF(N304+O304&gt;=60,3.5,IF(N304+O304&gt;=50,3,IF(N304+O304&gt;=40,2,IF(N304+O304&gt;=33,1,0)))))))</f>
        <v/>
      </c>
      <c r="AI304">
        <f>IF(AA304,0,IF(P304+Q304&gt;=80,5,IF(P304+Q304&gt;=70,4,IF(P304+Q304&gt;=60,3.5,IF(P304+Q304&gt;=50,3,IF(P304+Q304&gt;=40,2,IF(P304+Q304&gt;=33,1,0)))))))</f>
        <v/>
      </c>
      <c r="AJ304">
        <f>IF(R304&lt;8.25,0,IF(R304*2&gt;=80,5,IF(R304*2&gt;=70,4,IF(R304*2&gt;=60,3.5,IF(R304*2&gt;=50,3,IF(R304*2&gt;=40,2,IF(R304*2&gt;=33,1,0)))))))</f>
        <v/>
      </c>
      <c r="AK304">
        <f>IF(S304&lt;33,0,IF(S304&gt;=80,5,IF(S304&gt;=70,4,IF(S304&gt;=60,3.5,IF(S304&gt;=50,3,IF(S304&gt;=40,2,IF(S304&gt;=33,1,0)))))))</f>
        <v/>
      </c>
      <c r="AL304">
        <f>(AC304+AD304+AE304+AF304+AG304+AH304+AI304+AJ304)/8</f>
        <v/>
      </c>
      <c r="AM304">
        <f>IF(AK304&gt;=2,(AK304-2)/8,0)</f>
        <v/>
      </c>
    </row>
    <row r="305">
      <c r="T305">
        <f>SUM(C305:R305)</f>
        <v/>
      </c>
      <c r="U305" s="6">
        <f>ROUND(T305/11.5,2)</f>
        <v/>
      </c>
      <c r="V305" s="7">
        <f>IF(B305="","",IF(AB305,0,ROUND(AL305,2)))</f>
        <v/>
      </c>
      <c r="W305" s="7">
        <f>IF(B305="","",IF(AB305,0,MIN(5,ROUND(AL305+AM305,2))))</f>
        <v/>
      </c>
      <c r="X305" s="8">
        <f>IF(B305="","",IF(W305&gt;=5,"A+",IF(W305&gt;=4,"A",IF(W305&gt;=3.5,"A-",IF(W305&gt;=3,"B",IF(W305&gt;=2,"C",IF(W305&gt;=1,"D","F")))))))</f>
        <v/>
      </c>
      <c r="Y305">
        <f>NOT(OR(AND(J305&gt;=10,K305&gt;=23,L305&gt;=10,M305&gt;=23),AND(J305+L305&gt;=20,K305+M305&gt;=46)))</f>
        <v/>
      </c>
      <c r="Z305">
        <f>OR(N305&lt;10,O305&lt;23)</f>
        <v/>
      </c>
      <c r="AA305">
        <f>OR(P305&lt;10,Q305&lt;23)</f>
        <v/>
      </c>
      <c r="AB305">
        <f>OR((C305+D305)&lt;66,(E305+F305)&lt;66,G305&lt;33,(H305+I305)&lt;66,Y305,Z305,AA305,R305&lt;8.25)</f>
        <v/>
      </c>
      <c r="AC305">
        <f>IF(C305+D305&lt;66,0,IF((C305+D305)/2&gt;=80,5,IF((C305+D305)/2&gt;=70,4,IF((C305+D305)/2&gt;=60,3.5,IF((C305+D305)/2&gt;=50,3,IF((C305+D305)/2&gt;=40,2,IF((C305+D305)/2&gt;=33,1,0)))))))</f>
        <v/>
      </c>
      <c r="AD305">
        <f>IF(E305+F305&lt;66,0,IF((E305+F305)/2&gt;=80,5,IF((E305+F305)/2&gt;=70,4,IF((E305+F305)/2&gt;=60,3.5,IF((E305+F305)/2&gt;=50,3,IF((E305+F305)/2&gt;=40,2,IF((E305+F305)/2&gt;=33,1,0)))))))</f>
        <v/>
      </c>
      <c r="AE305">
        <f>IF(G305&lt;33,0,IF(G305&gt;=80,5,IF(G305&gt;=70,4,IF(G305&gt;=60,3.5,IF(G305&gt;=50,3,IF(G305&gt;=40,2,IF(G305&gt;=33,1,0)))))))</f>
        <v/>
      </c>
      <c r="AF305">
        <f>IF(H305+I305&lt;66,0,IF((H305+I305)/2&gt;=80,5,IF((H305+I305)/2&gt;=70,4,IF((H305+I305)/2&gt;=60,3.5,IF((H305+I305)/2&gt;=50,3,IF((H305+I305)/2&gt;=40,2,IF((H305+I305)/2&gt;=33,1,0)))))))</f>
        <v/>
      </c>
      <c r="AG305">
        <f>IF(Y305,0,IF((J305+K305+L305+M305)/2&gt;=80,5,IF((J305+K305+L305+M305)/2&gt;=70,4,IF((J305+K305+L305+M305)/2&gt;=60,3.5,IF((J305+K305+L305+M305)/2&gt;=50,3,IF((J305+K305+L305+M305)/2&gt;=40,2,IF((J305+K305+L305+M305)/2&gt;=33,1,0)))))))</f>
        <v/>
      </c>
      <c r="AH305">
        <f>IF(Z305,0,IF(N305+O305&gt;=80,5,IF(N305+O305&gt;=70,4,IF(N305+O305&gt;=60,3.5,IF(N305+O305&gt;=50,3,IF(N305+O305&gt;=40,2,IF(N305+O305&gt;=33,1,0)))))))</f>
        <v/>
      </c>
      <c r="AI305">
        <f>IF(AA305,0,IF(P305+Q305&gt;=80,5,IF(P305+Q305&gt;=70,4,IF(P305+Q305&gt;=60,3.5,IF(P305+Q305&gt;=50,3,IF(P305+Q305&gt;=40,2,IF(P305+Q305&gt;=33,1,0)))))))</f>
        <v/>
      </c>
      <c r="AJ305">
        <f>IF(R305&lt;8.25,0,IF(R305*2&gt;=80,5,IF(R305*2&gt;=70,4,IF(R305*2&gt;=60,3.5,IF(R305*2&gt;=50,3,IF(R305*2&gt;=40,2,IF(R305*2&gt;=33,1,0)))))))</f>
        <v/>
      </c>
      <c r="AK305">
        <f>IF(S305&lt;33,0,IF(S305&gt;=80,5,IF(S305&gt;=70,4,IF(S305&gt;=60,3.5,IF(S305&gt;=50,3,IF(S305&gt;=40,2,IF(S305&gt;=33,1,0)))))))</f>
        <v/>
      </c>
      <c r="AL305">
        <f>(AC305+AD305+AE305+AF305+AG305+AH305+AI305+AJ305)/8</f>
        <v/>
      </c>
      <c r="AM305">
        <f>IF(AK305&gt;=2,(AK305-2)/8,0)</f>
        <v/>
      </c>
    </row>
    <row r="306">
      <c r="T306">
        <f>SUM(C306:R306)</f>
        <v/>
      </c>
      <c r="U306" s="6">
        <f>ROUND(T306/11.5,2)</f>
        <v/>
      </c>
      <c r="V306" s="7">
        <f>IF(B306="","",IF(AB306,0,ROUND(AL306,2)))</f>
        <v/>
      </c>
      <c r="W306" s="7">
        <f>IF(B306="","",IF(AB306,0,MIN(5,ROUND(AL306+AM306,2))))</f>
        <v/>
      </c>
      <c r="X306" s="8">
        <f>IF(B306="","",IF(W306&gt;=5,"A+",IF(W306&gt;=4,"A",IF(W306&gt;=3.5,"A-",IF(W306&gt;=3,"B",IF(W306&gt;=2,"C",IF(W306&gt;=1,"D","F")))))))</f>
        <v/>
      </c>
      <c r="Y306">
        <f>NOT(OR(AND(J306&gt;=10,K306&gt;=23,L306&gt;=10,M306&gt;=23),AND(J306+L306&gt;=20,K306+M306&gt;=46)))</f>
        <v/>
      </c>
      <c r="Z306">
        <f>OR(N306&lt;10,O306&lt;23)</f>
        <v/>
      </c>
      <c r="AA306">
        <f>OR(P306&lt;10,Q306&lt;23)</f>
        <v/>
      </c>
      <c r="AB306">
        <f>OR((C306+D306)&lt;66,(E306+F306)&lt;66,G306&lt;33,(H306+I306)&lt;66,Y306,Z306,AA306,R306&lt;8.25)</f>
        <v/>
      </c>
      <c r="AC306">
        <f>IF(C306+D306&lt;66,0,IF((C306+D306)/2&gt;=80,5,IF((C306+D306)/2&gt;=70,4,IF((C306+D306)/2&gt;=60,3.5,IF((C306+D306)/2&gt;=50,3,IF((C306+D306)/2&gt;=40,2,IF((C306+D306)/2&gt;=33,1,0)))))))</f>
        <v/>
      </c>
      <c r="AD306">
        <f>IF(E306+F306&lt;66,0,IF((E306+F306)/2&gt;=80,5,IF((E306+F306)/2&gt;=70,4,IF((E306+F306)/2&gt;=60,3.5,IF((E306+F306)/2&gt;=50,3,IF((E306+F306)/2&gt;=40,2,IF((E306+F306)/2&gt;=33,1,0)))))))</f>
        <v/>
      </c>
      <c r="AE306">
        <f>IF(G306&lt;33,0,IF(G306&gt;=80,5,IF(G306&gt;=70,4,IF(G306&gt;=60,3.5,IF(G306&gt;=50,3,IF(G306&gt;=40,2,IF(G306&gt;=33,1,0)))))))</f>
        <v/>
      </c>
      <c r="AF306">
        <f>IF(H306+I306&lt;66,0,IF((H306+I306)/2&gt;=80,5,IF((H306+I306)/2&gt;=70,4,IF((H306+I306)/2&gt;=60,3.5,IF((H306+I306)/2&gt;=50,3,IF((H306+I306)/2&gt;=40,2,IF((H306+I306)/2&gt;=33,1,0)))))))</f>
        <v/>
      </c>
      <c r="AG306">
        <f>IF(Y306,0,IF((J306+K306+L306+M306)/2&gt;=80,5,IF((J306+K306+L306+M306)/2&gt;=70,4,IF((J306+K306+L306+M306)/2&gt;=60,3.5,IF((J306+K306+L306+M306)/2&gt;=50,3,IF((J306+K306+L306+M306)/2&gt;=40,2,IF((J306+K306+L306+M306)/2&gt;=33,1,0)))))))</f>
        <v/>
      </c>
      <c r="AH306">
        <f>IF(Z306,0,IF(N306+O306&gt;=80,5,IF(N306+O306&gt;=70,4,IF(N306+O306&gt;=60,3.5,IF(N306+O306&gt;=50,3,IF(N306+O306&gt;=40,2,IF(N306+O306&gt;=33,1,0)))))))</f>
        <v/>
      </c>
      <c r="AI306">
        <f>IF(AA306,0,IF(P306+Q306&gt;=80,5,IF(P306+Q306&gt;=70,4,IF(P306+Q306&gt;=60,3.5,IF(P306+Q306&gt;=50,3,IF(P306+Q306&gt;=40,2,IF(P306+Q306&gt;=33,1,0)))))))</f>
        <v/>
      </c>
      <c r="AJ306">
        <f>IF(R306&lt;8.25,0,IF(R306*2&gt;=80,5,IF(R306*2&gt;=70,4,IF(R306*2&gt;=60,3.5,IF(R306*2&gt;=50,3,IF(R306*2&gt;=40,2,IF(R306*2&gt;=33,1,0)))))))</f>
        <v/>
      </c>
      <c r="AK306">
        <f>IF(S306&lt;33,0,IF(S306&gt;=80,5,IF(S306&gt;=70,4,IF(S306&gt;=60,3.5,IF(S306&gt;=50,3,IF(S306&gt;=40,2,IF(S306&gt;=33,1,0)))))))</f>
        <v/>
      </c>
      <c r="AL306">
        <f>(AC306+AD306+AE306+AF306+AG306+AH306+AI306+AJ306)/8</f>
        <v/>
      </c>
      <c r="AM306">
        <f>IF(AK306&gt;=2,(AK306-2)/8,0)</f>
        <v/>
      </c>
    </row>
    <row r="307">
      <c r="T307">
        <f>SUM(C307:R307)</f>
        <v/>
      </c>
      <c r="U307" s="6">
        <f>ROUND(T307/11.5,2)</f>
        <v/>
      </c>
      <c r="V307" s="7">
        <f>IF(B307="","",IF(AB307,0,ROUND(AL307,2)))</f>
        <v/>
      </c>
      <c r="W307" s="7">
        <f>IF(B307="","",IF(AB307,0,MIN(5,ROUND(AL307+AM307,2))))</f>
        <v/>
      </c>
      <c r="X307" s="8">
        <f>IF(B307="","",IF(W307&gt;=5,"A+",IF(W307&gt;=4,"A",IF(W307&gt;=3.5,"A-",IF(W307&gt;=3,"B",IF(W307&gt;=2,"C",IF(W307&gt;=1,"D","F")))))))</f>
        <v/>
      </c>
      <c r="Y307">
        <f>NOT(OR(AND(J307&gt;=10,K307&gt;=23,L307&gt;=10,M307&gt;=23),AND(J307+L307&gt;=20,K307+M307&gt;=46)))</f>
        <v/>
      </c>
      <c r="Z307">
        <f>OR(N307&lt;10,O307&lt;23)</f>
        <v/>
      </c>
      <c r="AA307">
        <f>OR(P307&lt;10,Q307&lt;23)</f>
        <v/>
      </c>
      <c r="AB307">
        <f>OR((C307+D307)&lt;66,(E307+F307)&lt;66,G307&lt;33,(H307+I307)&lt;66,Y307,Z307,AA307,R307&lt;8.25)</f>
        <v/>
      </c>
      <c r="AC307">
        <f>IF(C307+D307&lt;66,0,IF((C307+D307)/2&gt;=80,5,IF((C307+D307)/2&gt;=70,4,IF((C307+D307)/2&gt;=60,3.5,IF((C307+D307)/2&gt;=50,3,IF((C307+D307)/2&gt;=40,2,IF((C307+D307)/2&gt;=33,1,0)))))))</f>
        <v/>
      </c>
      <c r="AD307">
        <f>IF(E307+F307&lt;66,0,IF((E307+F307)/2&gt;=80,5,IF((E307+F307)/2&gt;=70,4,IF((E307+F307)/2&gt;=60,3.5,IF((E307+F307)/2&gt;=50,3,IF((E307+F307)/2&gt;=40,2,IF((E307+F307)/2&gt;=33,1,0)))))))</f>
        <v/>
      </c>
      <c r="AE307">
        <f>IF(G307&lt;33,0,IF(G307&gt;=80,5,IF(G307&gt;=70,4,IF(G307&gt;=60,3.5,IF(G307&gt;=50,3,IF(G307&gt;=40,2,IF(G307&gt;=33,1,0)))))))</f>
        <v/>
      </c>
      <c r="AF307">
        <f>IF(H307+I307&lt;66,0,IF((H307+I307)/2&gt;=80,5,IF((H307+I307)/2&gt;=70,4,IF((H307+I307)/2&gt;=60,3.5,IF((H307+I307)/2&gt;=50,3,IF((H307+I307)/2&gt;=40,2,IF((H307+I307)/2&gt;=33,1,0)))))))</f>
        <v/>
      </c>
      <c r="AG307">
        <f>IF(Y307,0,IF((J307+K307+L307+M307)/2&gt;=80,5,IF((J307+K307+L307+M307)/2&gt;=70,4,IF((J307+K307+L307+M307)/2&gt;=60,3.5,IF((J307+K307+L307+M307)/2&gt;=50,3,IF((J307+K307+L307+M307)/2&gt;=40,2,IF((J307+K307+L307+M307)/2&gt;=33,1,0)))))))</f>
        <v/>
      </c>
      <c r="AH307">
        <f>IF(Z307,0,IF(N307+O307&gt;=80,5,IF(N307+O307&gt;=70,4,IF(N307+O307&gt;=60,3.5,IF(N307+O307&gt;=50,3,IF(N307+O307&gt;=40,2,IF(N307+O307&gt;=33,1,0)))))))</f>
        <v/>
      </c>
      <c r="AI307">
        <f>IF(AA307,0,IF(P307+Q307&gt;=80,5,IF(P307+Q307&gt;=70,4,IF(P307+Q307&gt;=60,3.5,IF(P307+Q307&gt;=50,3,IF(P307+Q307&gt;=40,2,IF(P307+Q307&gt;=33,1,0)))))))</f>
        <v/>
      </c>
      <c r="AJ307">
        <f>IF(R307&lt;8.25,0,IF(R307*2&gt;=80,5,IF(R307*2&gt;=70,4,IF(R307*2&gt;=60,3.5,IF(R307*2&gt;=50,3,IF(R307*2&gt;=40,2,IF(R307*2&gt;=33,1,0)))))))</f>
        <v/>
      </c>
      <c r="AK307">
        <f>IF(S307&lt;33,0,IF(S307&gt;=80,5,IF(S307&gt;=70,4,IF(S307&gt;=60,3.5,IF(S307&gt;=50,3,IF(S307&gt;=40,2,IF(S307&gt;=33,1,0)))))))</f>
        <v/>
      </c>
      <c r="AL307">
        <f>(AC307+AD307+AE307+AF307+AG307+AH307+AI307+AJ307)/8</f>
        <v/>
      </c>
      <c r="AM307">
        <f>IF(AK307&gt;=2,(AK307-2)/8,0)</f>
        <v/>
      </c>
    </row>
    <row r="308">
      <c r="T308">
        <f>SUM(C308:R308)</f>
        <v/>
      </c>
      <c r="U308" s="6">
        <f>ROUND(T308/11.5,2)</f>
        <v/>
      </c>
      <c r="V308" s="7">
        <f>IF(B308="","",IF(AB308,0,ROUND(AL308,2)))</f>
        <v/>
      </c>
      <c r="W308" s="7">
        <f>IF(B308="","",IF(AB308,0,MIN(5,ROUND(AL308+AM308,2))))</f>
        <v/>
      </c>
      <c r="X308" s="8">
        <f>IF(B308="","",IF(W308&gt;=5,"A+",IF(W308&gt;=4,"A",IF(W308&gt;=3.5,"A-",IF(W308&gt;=3,"B",IF(W308&gt;=2,"C",IF(W308&gt;=1,"D","F")))))))</f>
        <v/>
      </c>
      <c r="Y308">
        <f>NOT(OR(AND(J308&gt;=10,K308&gt;=23,L308&gt;=10,M308&gt;=23),AND(J308+L308&gt;=20,K308+M308&gt;=46)))</f>
        <v/>
      </c>
      <c r="Z308">
        <f>OR(N308&lt;10,O308&lt;23)</f>
        <v/>
      </c>
      <c r="AA308">
        <f>OR(P308&lt;10,Q308&lt;23)</f>
        <v/>
      </c>
      <c r="AB308">
        <f>OR((C308+D308)&lt;66,(E308+F308)&lt;66,G308&lt;33,(H308+I308)&lt;66,Y308,Z308,AA308,R308&lt;8.25)</f>
        <v/>
      </c>
      <c r="AC308">
        <f>IF(C308+D308&lt;66,0,IF((C308+D308)/2&gt;=80,5,IF((C308+D308)/2&gt;=70,4,IF((C308+D308)/2&gt;=60,3.5,IF((C308+D308)/2&gt;=50,3,IF((C308+D308)/2&gt;=40,2,IF((C308+D308)/2&gt;=33,1,0)))))))</f>
        <v/>
      </c>
      <c r="AD308">
        <f>IF(E308+F308&lt;66,0,IF((E308+F308)/2&gt;=80,5,IF((E308+F308)/2&gt;=70,4,IF((E308+F308)/2&gt;=60,3.5,IF((E308+F308)/2&gt;=50,3,IF((E308+F308)/2&gt;=40,2,IF((E308+F308)/2&gt;=33,1,0)))))))</f>
        <v/>
      </c>
      <c r="AE308">
        <f>IF(G308&lt;33,0,IF(G308&gt;=80,5,IF(G308&gt;=70,4,IF(G308&gt;=60,3.5,IF(G308&gt;=50,3,IF(G308&gt;=40,2,IF(G308&gt;=33,1,0)))))))</f>
        <v/>
      </c>
      <c r="AF308">
        <f>IF(H308+I308&lt;66,0,IF((H308+I308)/2&gt;=80,5,IF((H308+I308)/2&gt;=70,4,IF((H308+I308)/2&gt;=60,3.5,IF((H308+I308)/2&gt;=50,3,IF((H308+I308)/2&gt;=40,2,IF((H308+I308)/2&gt;=33,1,0)))))))</f>
        <v/>
      </c>
      <c r="AG308">
        <f>IF(Y308,0,IF((J308+K308+L308+M308)/2&gt;=80,5,IF((J308+K308+L308+M308)/2&gt;=70,4,IF((J308+K308+L308+M308)/2&gt;=60,3.5,IF((J308+K308+L308+M308)/2&gt;=50,3,IF((J308+K308+L308+M308)/2&gt;=40,2,IF((J308+K308+L308+M308)/2&gt;=33,1,0)))))))</f>
        <v/>
      </c>
      <c r="AH308">
        <f>IF(Z308,0,IF(N308+O308&gt;=80,5,IF(N308+O308&gt;=70,4,IF(N308+O308&gt;=60,3.5,IF(N308+O308&gt;=50,3,IF(N308+O308&gt;=40,2,IF(N308+O308&gt;=33,1,0)))))))</f>
        <v/>
      </c>
      <c r="AI308">
        <f>IF(AA308,0,IF(P308+Q308&gt;=80,5,IF(P308+Q308&gt;=70,4,IF(P308+Q308&gt;=60,3.5,IF(P308+Q308&gt;=50,3,IF(P308+Q308&gt;=40,2,IF(P308+Q308&gt;=33,1,0)))))))</f>
        <v/>
      </c>
      <c r="AJ308">
        <f>IF(R308&lt;8.25,0,IF(R308*2&gt;=80,5,IF(R308*2&gt;=70,4,IF(R308*2&gt;=60,3.5,IF(R308*2&gt;=50,3,IF(R308*2&gt;=40,2,IF(R308*2&gt;=33,1,0)))))))</f>
        <v/>
      </c>
      <c r="AK308">
        <f>IF(S308&lt;33,0,IF(S308&gt;=80,5,IF(S308&gt;=70,4,IF(S308&gt;=60,3.5,IF(S308&gt;=50,3,IF(S308&gt;=40,2,IF(S308&gt;=33,1,0)))))))</f>
        <v/>
      </c>
      <c r="AL308">
        <f>(AC308+AD308+AE308+AF308+AG308+AH308+AI308+AJ308)/8</f>
        <v/>
      </c>
      <c r="AM308">
        <f>IF(AK308&gt;=2,(AK308-2)/8,0)</f>
        <v/>
      </c>
    </row>
    <row r="309">
      <c r="T309">
        <f>SUM(C309:R309)</f>
        <v/>
      </c>
      <c r="U309" s="6">
        <f>ROUND(T309/11.5,2)</f>
        <v/>
      </c>
      <c r="V309" s="7">
        <f>IF(B309="","",IF(AB309,0,ROUND(AL309,2)))</f>
        <v/>
      </c>
      <c r="W309" s="7">
        <f>IF(B309="","",IF(AB309,0,MIN(5,ROUND(AL309+AM309,2))))</f>
        <v/>
      </c>
      <c r="X309" s="8">
        <f>IF(B309="","",IF(W309&gt;=5,"A+",IF(W309&gt;=4,"A",IF(W309&gt;=3.5,"A-",IF(W309&gt;=3,"B",IF(W309&gt;=2,"C",IF(W309&gt;=1,"D","F")))))))</f>
        <v/>
      </c>
      <c r="Y309">
        <f>NOT(OR(AND(J309&gt;=10,K309&gt;=23,L309&gt;=10,M309&gt;=23),AND(J309+L309&gt;=20,K309+M309&gt;=46)))</f>
        <v/>
      </c>
      <c r="Z309">
        <f>OR(N309&lt;10,O309&lt;23)</f>
        <v/>
      </c>
      <c r="AA309">
        <f>OR(P309&lt;10,Q309&lt;23)</f>
        <v/>
      </c>
      <c r="AB309">
        <f>OR((C309+D309)&lt;66,(E309+F309)&lt;66,G309&lt;33,(H309+I309)&lt;66,Y309,Z309,AA309,R309&lt;8.25)</f>
        <v/>
      </c>
      <c r="AC309">
        <f>IF(C309+D309&lt;66,0,IF((C309+D309)/2&gt;=80,5,IF((C309+D309)/2&gt;=70,4,IF((C309+D309)/2&gt;=60,3.5,IF((C309+D309)/2&gt;=50,3,IF((C309+D309)/2&gt;=40,2,IF((C309+D309)/2&gt;=33,1,0)))))))</f>
        <v/>
      </c>
      <c r="AD309">
        <f>IF(E309+F309&lt;66,0,IF((E309+F309)/2&gt;=80,5,IF((E309+F309)/2&gt;=70,4,IF((E309+F309)/2&gt;=60,3.5,IF((E309+F309)/2&gt;=50,3,IF((E309+F309)/2&gt;=40,2,IF((E309+F309)/2&gt;=33,1,0)))))))</f>
        <v/>
      </c>
      <c r="AE309">
        <f>IF(G309&lt;33,0,IF(G309&gt;=80,5,IF(G309&gt;=70,4,IF(G309&gt;=60,3.5,IF(G309&gt;=50,3,IF(G309&gt;=40,2,IF(G309&gt;=33,1,0)))))))</f>
        <v/>
      </c>
      <c r="AF309">
        <f>IF(H309+I309&lt;66,0,IF((H309+I309)/2&gt;=80,5,IF((H309+I309)/2&gt;=70,4,IF((H309+I309)/2&gt;=60,3.5,IF((H309+I309)/2&gt;=50,3,IF((H309+I309)/2&gt;=40,2,IF((H309+I309)/2&gt;=33,1,0)))))))</f>
        <v/>
      </c>
      <c r="AG309">
        <f>IF(Y309,0,IF((J309+K309+L309+M309)/2&gt;=80,5,IF((J309+K309+L309+M309)/2&gt;=70,4,IF((J309+K309+L309+M309)/2&gt;=60,3.5,IF((J309+K309+L309+M309)/2&gt;=50,3,IF((J309+K309+L309+M309)/2&gt;=40,2,IF((J309+K309+L309+M309)/2&gt;=33,1,0)))))))</f>
        <v/>
      </c>
      <c r="AH309">
        <f>IF(Z309,0,IF(N309+O309&gt;=80,5,IF(N309+O309&gt;=70,4,IF(N309+O309&gt;=60,3.5,IF(N309+O309&gt;=50,3,IF(N309+O309&gt;=40,2,IF(N309+O309&gt;=33,1,0)))))))</f>
        <v/>
      </c>
      <c r="AI309">
        <f>IF(AA309,0,IF(P309+Q309&gt;=80,5,IF(P309+Q309&gt;=70,4,IF(P309+Q309&gt;=60,3.5,IF(P309+Q309&gt;=50,3,IF(P309+Q309&gt;=40,2,IF(P309+Q309&gt;=33,1,0)))))))</f>
        <v/>
      </c>
      <c r="AJ309">
        <f>IF(R309&lt;8.25,0,IF(R309*2&gt;=80,5,IF(R309*2&gt;=70,4,IF(R309*2&gt;=60,3.5,IF(R309*2&gt;=50,3,IF(R309*2&gt;=40,2,IF(R309*2&gt;=33,1,0)))))))</f>
        <v/>
      </c>
      <c r="AK309">
        <f>IF(S309&lt;33,0,IF(S309&gt;=80,5,IF(S309&gt;=70,4,IF(S309&gt;=60,3.5,IF(S309&gt;=50,3,IF(S309&gt;=40,2,IF(S309&gt;=33,1,0)))))))</f>
        <v/>
      </c>
      <c r="AL309">
        <f>(AC309+AD309+AE309+AF309+AG309+AH309+AI309+AJ309)/8</f>
        <v/>
      </c>
      <c r="AM309">
        <f>IF(AK309&gt;=2,(AK309-2)/8,0)</f>
        <v/>
      </c>
    </row>
    <row r="310">
      <c r="T310">
        <f>SUM(C310:R310)</f>
        <v/>
      </c>
      <c r="U310" s="6">
        <f>ROUND(T310/11.5,2)</f>
        <v/>
      </c>
      <c r="V310" s="7">
        <f>IF(B310="","",IF(AB310,0,ROUND(AL310,2)))</f>
        <v/>
      </c>
      <c r="W310" s="7">
        <f>IF(B310="","",IF(AB310,0,MIN(5,ROUND(AL310+AM310,2))))</f>
        <v/>
      </c>
      <c r="X310" s="8">
        <f>IF(B310="","",IF(W310&gt;=5,"A+",IF(W310&gt;=4,"A",IF(W310&gt;=3.5,"A-",IF(W310&gt;=3,"B",IF(W310&gt;=2,"C",IF(W310&gt;=1,"D","F")))))))</f>
        <v/>
      </c>
      <c r="Y310">
        <f>NOT(OR(AND(J310&gt;=10,K310&gt;=23,L310&gt;=10,M310&gt;=23),AND(J310+L310&gt;=20,K310+M310&gt;=46)))</f>
        <v/>
      </c>
      <c r="Z310">
        <f>OR(N310&lt;10,O310&lt;23)</f>
        <v/>
      </c>
      <c r="AA310">
        <f>OR(P310&lt;10,Q310&lt;23)</f>
        <v/>
      </c>
      <c r="AB310">
        <f>OR((C310+D310)&lt;66,(E310+F310)&lt;66,G310&lt;33,(H310+I310)&lt;66,Y310,Z310,AA310,R310&lt;8.25)</f>
        <v/>
      </c>
      <c r="AC310">
        <f>IF(C310+D310&lt;66,0,IF((C310+D310)/2&gt;=80,5,IF((C310+D310)/2&gt;=70,4,IF((C310+D310)/2&gt;=60,3.5,IF((C310+D310)/2&gt;=50,3,IF((C310+D310)/2&gt;=40,2,IF((C310+D310)/2&gt;=33,1,0)))))))</f>
        <v/>
      </c>
      <c r="AD310">
        <f>IF(E310+F310&lt;66,0,IF((E310+F310)/2&gt;=80,5,IF((E310+F310)/2&gt;=70,4,IF((E310+F310)/2&gt;=60,3.5,IF((E310+F310)/2&gt;=50,3,IF((E310+F310)/2&gt;=40,2,IF((E310+F310)/2&gt;=33,1,0)))))))</f>
        <v/>
      </c>
      <c r="AE310">
        <f>IF(G310&lt;33,0,IF(G310&gt;=80,5,IF(G310&gt;=70,4,IF(G310&gt;=60,3.5,IF(G310&gt;=50,3,IF(G310&gt;=40,2,IF(G310&gt;=33,1,0)))))))</f>
        <v/>
      </c>
      <c r="AF310">
        <f>IF(H310+I310&lt;66,0,IF((H310+I310)/2&gt;=80,5,IF((H310+I310)/2&gt;=70,4,IF((H310+I310)/2&gt;=60,3.5,IF((H310+I310)/2&gt;=50,3,IF((H310+I310)/2&gt;=40,2,IF((H310+I310)/2&gt;=33,1,0)))))))</f>
        <v/>
      </c>
      <c r="AG310">
        <f>IF(Y310,0,IF((J310+K310+L310+M310)/2&gt;=80,5,IF((J310+K310+L310+M310)/2&gt;=70,4,IF((J310+K310+L310+M310)/2&gt;=60,3.5,IF((J310+K310+L310+M310)/2&gt;=50,3,IF((J310+K310+L310+M310)/2&gt;=40,2,IF((J310+K310+L310+M310)/2&gt;=33,1,0)))))))</f>
        <v/>
      </c>
      <c r="AH310">
        <f>IF(Z310,0,IF(N310+O310&gt;=80,5,IF(N310+O310&gt;=70,4,IF(N310+O310&gt;=60,3.5,IF(N310+O310&gt;=50,3,IF(N310+O310&gt;=40,2,IF(N310+O310&gt;=33,1,0)))))))</f>
        <v/>
      </c>
      <c r="AI310">
        <f>IF(AA310,0,IF(P310+Q310&gt;=80,5,IF(P310+Q310&gt;=70,4,IF(P310+Q310&gt;=60,3.5,IF(P310+Q310&gt;=50,3,IF(P310+Q310&gt;=40,2,IF(P310+Q310&gt;=33,1,0)))))))</f>
        <v/>
      </c>
      <c r="AJ310">
        <f>IF(R310&lt;8.25,0,IF(R310*2&gt;=80,5,IF(R310*2&gt;=70,4,IF(R310*2&gt;=60,3.5,IF(R310*2&gt;=50,3,IF(R310*2&gt;=40,2,IF(R310*2&gt;=33,1,0)))))))</f>
        <v/>
      </c>
      <c r="AK310">
        <f>IF(S310&lt;33,0,IF(S310&gt;=80,5,IF(S310&gt;=70,4,IF(S310&gt;=60,3.5,IF(S310&gt;=50,3,IF(S310&gt;=40,2,IF(S310&gt;=33,1,0)))))))</f>
        <v/>
      </c>
      <c r="AL310">
        <f>(AC310+AD310+AE310+AF310+AG310+AH310+AI310+AJ310)/8</f>
        <v/>
      </c>
      <c r="AM310">
        <f>IF(AK310&gt;=2,(AK310-2)/8,0)</f>
        <v/>
      </c>
    </row>
    <row r="311">
      <c r="T311">
        <f>SUM(C311:R311)</f>
        <v/>
      </c>
      <c r="U311" s="6">
        <f>ROUND(T311/11.5,2)</f>
        <v/>
      </c>
      <c r="V311" s="7">
        <f>IF(B311="","",IF(AB311,0,ROUND(AL311,2)))</f>
        <v/>
      </c>
      <c r="W311" s="7">
        <f>IF(B311="","",IF(AB311,0,MIN(5,ROUND(AL311+AM311,2))))</f>
        <v/>
      </c>
      <c r="X311" s="8">
        <f>IF(B311="","",IF(W311&gt;=5,"A+",IF(W311&gt;=4,"A",IF(W311&gt;=3.5,"A-",IF(W311&gt;=3,"B",IF(W311&gt;=2,"C",IF(W311&gt;=1,"D","F")))))))</f>
        <v/>
      </c>
      <c r="Y311">
        <f>NOT(OR(AND(J311&gt;=10,K311&gt;=23,L311&gt;=10,M311&gt;=23),AND(J311+L311&gt;=20,K311+M311&gt;=46)))</f>
        <v/>
      </c>
      <c r="Z311">
        <f>OR(N311&lt;10,O311&lt;23)</f>
        <v/>
      </c>
      <c r="AA311">
        <f>OR(P311&lt;10,Q311&lt;23)</f>
        <v/>
      </c>
      <c r="AB311">
        <f>OR((C311+D311)&lt;66,(E311+F311)&lt;66,G311&lt;33,(H311+I311)&lt;66,Y311,Z311,AA311,R311&lt;8.25)</f>
        <v/>
      </c>
      <c r="AC311">
        <f>IF(C311+D311&lt;66,0,IF((C311+D311)/2&gt;=80,5,IF((C311+D311)/2&gt;=70,4,IF((C311+D311)/2&gt;=60,3.5,IF((C311+D311)/2&gt;=50,3,IF((C311+D311)/2&gt;=40,2,IF((C311+D311)/2&gt;=33,1,0)))))))</f>
        <v/>
      </c>
      <c r="AD311">
        <f>IF(E311+F311&lt;66,0,IF((E311+F311)/2&gt;=80,5,IF((E311+F311)/2&gt;=70,4,IF((E311+F311)/2&gt;=60,3.5,IF((E311+F311)/2&gt;=50,3,IF((E311+F311)/2&gt;=40,2,IF((E311+F311)/2&gt;=33,1,0)))))))</f>
        <v/>
      </c>
      <c r="AE311">
        <f>IF(G311&lt;33,0,IF(G311&gt;=80,5,IF(G311&gt;=70,4,IF(G311&gt;=60,3.5,IF(G311&gt;=50,3,IF(G311&gt;=40,2,IF(G311&gt;=33,1,0)))))))</f>
        <v/>
      </c>
      <c r="AF311">
        <f>IF(H311+I311&lt;66,0,IF((H311+I311)/2&gt;=80,5,IF((H311+I311)/2&gt;=70,4,IF((H311+I311)/2&gt;=60,3.5,IF((H311+I311)/2&gt;=50,3,IF((H311+I311)/2&gt;=40,2,IF((H311+I311)/2&gt;=33,1,0)))))))</f>
        <v/>
      </c>
      <c r="AG311">
        <f>IF(Y311,0,IF((J311+K311+L311+M311)/2&gt;=80,5,IF((J311+K311+L311+M311)/2&gt;=70,4,IF((J311+K311+L311+M311)/2&gt;=60,3.5,IF((J311+K311+L311+M311)/2&gt;=50,3,IF((J311+K311+L311+M311)/2&gt;=40,2,IF((J311+K311+L311+M311)/2&gt;=33,1,0)))))))</f>
        <v/>
      </c>
      <c r="AH311">
        <f>IF(Z311,0,IF(N311+O311&gt;=80,5,IF(N311+O311&gt;=70,4,IF(N311+O311&gt;=60,3.5,IF(N311+O311&gt;=50,3,IF(N311+O311&gt;=40,2,IF(N311+O311&gt;=33,1,0)))))))</f>
        <v/>
      </c>
      <c r="AI311">
        <f>IF(AA311,0,IF(P311+Q311&gt;=80,5,IF(P311+Q311&gt;=70,4,IF(P311+Q311&gt;=60,3.5,IF(P311+Q311&gt;=50,3,IF(P311+Q311&gt;=40,2,IF(P311+Q311&gt;=33,1,0)))))))</f>
        <v/>
      </c>
      <c r="AJ311">
        <f>IF(R311&lt;8.25,0,IF(R311*2&gt;=80,5,IF(R311*2&gt;=70,4,IF(R311*2&gt;=60,3.5,IF(R311*2&gt;=50,3,IF(R311*2&gt;=40,2,IF(R311*2&gt;=33,1,0)))))))</f>
        <v/>
      </c>
      <c r="AK311">
        <f>IF(S311&lt;33,0,IF(S311&gt;=80,5,IF(S311&gt;=70,4,IF(S311&gt;=60,3.5,IF(S311&gt;=50,3,IF(S311&gt;=40,2,IF(S311&gt;=33,1,0)))))))</f>
        <v/>
      </c>
      <c r="AL311">
        <f>(AC311+AD311+AE311+AF311+AG311+AH311+AI311+AJ311)/8</f>
        <v/>
      </c>
      <c r="AM311">
        <f>IF(AK311&gt;=2,(AK311-2)/8,0)</f>
        <v/>
      </c>
    </row>
    <row r="312">
      <c r="T312">
        <f>SUM(C312:R312)</f>
        <v/>
      </c>
      <c r="U312" s="6">
        <f>ROUND(T312/11.5,2)</f>
        <v/>
      </c>
      <c r="V312" s="7">
        <f>IF(B312="","",IF(AB312,0,ROUND(AL312,2)))</f>
        <v/>
      </c>
      <c r="W312" s="7">
        <f>IF(B312="","",IF(AB312,0,MIN(5,ROUND(AL312+AM312,2))))</f>
        <v/>
      </c>
      <c r="X312" s="8">
        <f>IF(B312="","",IF(W312&gt;=5,"A+",IF(W312&gt;=4,"A",IF(W312&gt;=3.5,"A-",IF(W312&gt;=3,"B",IF(W312&gt;=2,"C",IF(W312&gt;=1,"D","F")))))))</f>
        <v/>
      </c>
      <c r="Y312">
        <f>NOT(OR(AND(J312&gt;=10,K312&gt;=23,L312&gt;=10,M312&gt;=23),AND(J312+L312&gt;=20,K312+M312&gt;=46)))</f>
        <v/>
      </c>
      <c r="Z312">
        <f>OR(N312&lt;10,O312&lt;23)</f>
        <v/>
      </c>
      <c r="AA312">
        <f>OR(P312&lt;10,Q312&lt;23)</f>
        <v/>
      </c>
      <c r="AB312">
        <f>OR((C312+D312)&lt;66,(E312+F312)&lt;66,G312&lt;33,(H312+I312)&lt;66,Y312,Z312,AA312,R312&lt;8.25)</f>
        <v/>
      </c>
      <c r="AC312">
        <f>IF(C312+D312&lt;66,0,IF((C312+D312)/2&gt;=80,5,IF((C312+D312)/2&gt;=70,4,IF((C312+D312)/2&gt;=60,3.5,IF((C312+D312)/2&gt;=50,3,IF((C312+D312)/2&gt;=40,2,IF((C312+D312)/2&gt;=33,1,0)))))))</f>
        <v/>
      </c>
      <c r="AD312">
        <f>IF(E312+F312&lt;66,0,IF((E312+F312)/2&gt;=80,5,IF((E312+F312)/2&gt;=70,4,IF((E312+F312)/2&gt;=60,3.5,IF((E312+F312)/2&gt;=50,3,IF((E312+F312)/2&gt;=40,2,IF((E312+F312)/2&gt;=33,1,0)))))))</f>
        <v/>
      </c>
      <c r="AE312">
        <f>IF(G312&lt;33,0,IF(G312&gt;=80,5,IF(G312&gt;=70,4,IF(G312&gt;=60,3.5,IF(G312&gt;=50,3,IF(G312&gt;=40,2,IF(G312&gt;=33,1,0)))))))</f>
        <v/>
      </c>
      <c r="AF312">
        <f>IF(H312+I312&lt;66,0,IF((H312+I312)/2&gt;=80,5,IF((H312+I312)/2&gt;=70,4,IF((H312+I312)/2&gt;=60,3.5,IF((H312+I312)/2&gt;=50,3,IF((H312+I312)/2&gt;=40,2,IF((H312+I312)/2&gt;=33,1,0)))))))</f>
        <v/>
      </c>
      <c r="AG312">
        <f>IF(Y312,0,IF((J312+K312+L312+M312)/2&gt;=80,5,IF((J312+K312+L312+M312)/2&gt;=70,4,IF((J312+K312+L312+M312)/2&gt;=60,3.5,IF((J312+K312+L312+M312)/2&gt;=50,3,IF((J312+K312+L312+M312)/2&gt;=40,2,IF((J312+K312+L312+M312)/2&gt;=33,1,0)))))))</f>
        <v/>
      </c>
      <c r="AH312">
        <f>IF(Z312,0,IF(N312+O312&gt;=80,5,IF(N312+O312&gt;=70,4,IF(N312+O312&gt;=60,3.5,IF(N312+O312&gt;=50,3,IF(N312+O312&gt;=40,2,IF(N312+O312&gt;=33,1,0)))))))</f>
        <v/>
      </c>
      <c r="AI312">
        <f>IF(AA312,0,IF(P312+Q312&gt;=80,5,IF(P312+Q312&gt;=70,4,IF(P312+Q312&gt;=60,3.5,IF(P312+Q312&gt;=50,3,IF(P312+Q312&gt;=40,2,IF(P312+Q312&gt;=33,1,0)))))))</f>
        <v/>
      </c>
      <c r="AJ312">
        <f>IF(R312&lt;8.25,0,IF(R312*2&gt;=80,5,IF(R312*2&gt;=70,4,IF(R312*2&gt;=60,3.5,IF(R312*2&gt;=50,3,IF(R312*2&gt;=40,2,IF(R312*2&gt;=33,1,0)))))))</f>
        <v/>
      </c>
      <c r="AK312">
        <f>IF(S312&lt;33,0,IF(S312&gt;=80,5,IF(S312&gt;=70,4,IF(S312&gt;=60,3.5,IF(S312&gt;=50,3,IF(S312&gt;=40,2,IF(S312&gt;=33,1,0)))))))</f>
        <v/>
      </c>
      <c r="AL312">
        <f>(AC312+AD312+AE312+AF312+AG312+AH312+AI312+AJ312)/8</f>
        <v/>
      </c>
      <c r="AM312">
        <f>IF(AK312&gt;=2,(AK312-2)/8,0)</f>
        <v/>
      </c>
    </row>
    <row r="313">
      <c r="T313">
        <f>SUM(C313:R313)</f>
        <v/>
      </c>
      <c r="U313" s="6">
        <f>ROUND(T313/11.5,2)</f>
        <v/>
      </c>
      <c r="V313" s="7">
        <f>IF(B313="","",IF(AB313,0,ROUND(AL313,2)))</f>
        <v/>
      </c>
      <c r="W313" s="7">
        <f>IF(B313="","",IF(AB313,0,MIN(5,ROUND(AL313+AM313,2))))</f>
        <v/>
      </c>
      <c r="X313" s="8">
        <f>IF(B313="","",IF(W313&gt;=5,"A+",IF(W313&gt;=4,"A",IF(W313&gt;=3.5,"A-",IF(W313&gt;=3,"B",IF(W313&gt;=2,"C",IF(W313&gt;=1,"D","F")))))))</f>
        <v/>
      </c>
      <c r="Y313">
        <f>NOT(OR(AND(J313&gt;=10,K313&gt;=23,L313&gt;=10,M313&gt;=23),AND(J313+L313&gt;=20,K313+M313&gt;=46)))</f>
        <v/>
      </c>
      <c r="Z313">
        <f>OR(N313&lt;10,O313&lt;23)</f>
        <v/>
      </c>
      <c r="AA313">
        <f>OR(P313&lt;10,Q313&lt;23)</f>
        <v/>
      </c>
      <c r="AB313">
        <f>OR((C313+D313)&lt;66,(E313+F313)&lt;66,G313&lt;33,(H313+I313)&lt;66,Y313,Z313,AA313,R313&lt;8.25)</f>
        <v/>
      </c>
      <c r="AC313">
        <f>IF(C313+D313&lt;66,0,IF((C313+D313)/2&gt;=80,5,IF((C313+D313)/2&gt;=70,4,IF((C313+D313)/2&gt;=60,3.5,IF((C313+D313)/2&gt;=50,3,IF((C313+D313)/2&gt;=40,2,IF((C313+D313)/2&gt;=33,1,0)))))))</f>
        <v/>
      </c>
      <c r="AD313">
        <f>IF(E313+F313&lt;66,0,IF((E313+F313)/2&gt;=80,5,IF((E313+F313)/2&gt;=70,4,IF((E313+F313)/2&gt;=60,3.5,IF((E313+F313)/2&gt;=50,3,IF((E313+F313)/2&gt;=40,2,IF((E313+F313)/2&gt;=33,1,0)))))))</f>
        <v/>
      </c>
      <c r="AE313">
        <f>IF(G313&lt;33,0,IF(G313&gt;=80,5,IF(G313&gt;=70,4,IF(G313&gt;=60,3.5,IF(G313&gt;=50,3,IF(G313&gt;=40,2,IF(G313&gt;=33,1,0)))))))</f>
        <v/>
      </c>
      <c r="AF313">
        <f>IF(H313+I313&lt;66,0,IF((H313+I313)/2&gt;=80,5,IF((H313+I313)/2&gt;=70,4,IF((H313+I313)/2&gt;=60,3.5,IF((H313+I313)/2&gt;=50,3,IF((H313+I313)/2&gt;=40,2,IF((H313+I313)/2&gt;=33,1,0)))))))</f>
        <v/>
      </c>
      <c r="AG313">
        <f>IF(Y313,0,IF((J313+K313+L313+M313)/2&gt;=80,5,IF((J313+K313+L313+M313)/2&gt;=70,4,IF((J313+K313+L313+M313)/2&gt;=60,3.5,IF((J313+K313+L313+M313)/2&gt;=50,3,IF((J313+K313+L313+M313)/2&gt;=40,2,IF((J313+K313+L313+M313)/2&gt;=33,1,0)))))))</f>
        <v/>
      </c>
      <c r="AH313">
        <f>IF(Z313,0,IF(N313+O313&gt;=80,5,IF(N313+O313&gt;=70,4,IF(N313+O313&gt;=60,3.5,IF(N313+O313&gt;=50,3,IF(N313+O313&gt;=40,2,IF(N313+O313&gt;=33,1,0)))))))</f>
        <v/>
      </c>
      <c r="AI313">
        <f>IF(AA313,0,IF(P313+Q313&gt;=80,5,IF(P313+Q313&gt;=70,4,IF(P313+Q313&gt;=60,3.5,IF(P313+Q313&gt;=50,3,IF(P313+Q313&gt;=40,2,IF(P313+Q313&gt;=33,1,0)))))))</f>
        <v/>
      </c>
      <c r="AJ313">
        <f>IF(R313&lt;8.25,0,IF(R313*2&gt;=80,5,IF(R313*2&gt;=70,4,IF(R313*2&gt;=60,3.5,IF(R313*2&gt;=50,3,IF(R313*2&gt;=40,2,IF(R313*2&gt;=33,1,0)))))))</f>
        <v/>
      </c>
      <c r="AK313">
        <f>IF(S313&lt;33,0,IF(S313&gt;=80,5,IF(S313&gt;=70,4,IF(S313&gt;=60,3.5,IF(S313&gt;=50,3,IF(S313&gt;=40,2,IF(S313&gt;=33,1,0)))))))</f>
        <v/>
      </c>
      <c r="AL313">
        <f>(AC313+AD313+AE313+AF313+AG313+AH313+AI313+AJ313)/8</f>
        <v/>
      </c>
      <c r="AM313">
        <f>IF(AK313&gt;=2,(AK313-2)/8,0)</f>
        <v/>
      </c>
    </row>
    <row r="314">
      <c r="T314">
        <f>SUM(C314:R314)</f>
        <v/>
      </c>
      <c r="U314" s="6">
        <f>ROUND(T314/11.5,2)</f>
        <v/>
      </c>
      <c r="V314" s="7">
        <f>IF(B314="","",IF(AB314,0,ROUND(AL314,2)))</f>
        <v/>
      </c>
      <c r="W314" s="7">
        <f>IF(B314="","",IF(AB314,0,MIN(5,ROUND(AL314+AM314,2))))</f>
        <v/>
      </c>
      <c r="X314" s="8">
        <f>IF(B314="","",IF(W314&gt;=5,"A+",IF(W314&gt;=4,"A",IF(W314&gt;=3.5,"A-",IF(W314&gt;=3,"B",IF(W314&gt;=2,"C",IF(W314&gt;=1,"D","F")))))))</f>
        <v/>
      </c>
      <c r="Y314">
        <f>NOT(OR(AND(J314&gt;=10,K314&gt;=23,L314&gt;=10,M314&gt;=23),AND(J314+L314&gt;=20,K314+M314&gt;=46)))</f>
        <v/>
      </c>
      <c r="Z314">
        <f>OR(N314&lt;10,O314&lt;23)</f>
        <v/>
      </c>
      <c r="AA314">
        <f>OR(P314&lt;10,Q314&lt;23)</f>
        <v/>
      </c>
      <c r="AB314">
        <f>OR((C314+D314)&lt;66,(E314+F314)&lt;66,G314&lt;33,(H314+I314)&lt;66,Y314,Z314,AA314,R314&lt;8.25)</f>
        <v/>
      </c>
      <c r="AC314">
        <f>IF(C314+D314&lt;66,0,IF((C314+D314)/2&gt;=80,5,IF((C314+D314)/2&gt;=70,4,IF((C314+D314)/2&gt;=60,3.5,IF((C314+D314)/2&gt;=50,3,IF((C314+D314)/2&gt;=40,2,IF((C314+D314)/2&gt;=33,1,0)))))))</f>
        <v/>
      </c>
      <c r="AD314">
        <f>IF(E314+F314&lt;66,0,IF((E314+F314)/2&gt;=80,5,IF((E314+F314)/2&gt;=70,4,IF((E314+F314)/2&gt;=60,3.5,IF((E314+F314)/2&gt;=50,3,IF((E314+F314)/2&gt;=40,2,IF((E314+F314)/2&gt;=33,1,0)))))))</f>
        <v/>
      </c>
      <c r="AE314">
        <f>IF(G314&lt;33,0,IF(G314&gt;=80,5,IF(G314&gt;=70,4,IF(G314&gt;=60,3.5,IF(G314&gt;=50,3,IF(G314&gt;=40,2,IF(G314&gt;=33,1,0)))))))</f>
        <v/>
      </c>
      <c r="AF314">
        <f>IF(H314+I314&lt;66,0,IF((H314+I314)/2&gt;=80,5,IF((H314+I314)/2&gt;=70,4,IF((H314+I314)/2&gt;=60,3.5,IF((H314+I314)/2&gt;=50,3,IF((H314+I314)/2&gt;=40,2,IF((H314+I314)/2&gt;=33,1,0)))))))</f>
        <v/>
      </c>
      <c r="AG314">
        <f>IF(Y314,0,IF((J314+K314+L314+M314)/2&gt;=80,5,IF((J314+K314+L314+M314)/2&gt;=70,4,IF((J314+K314+L314+M314)/2&gt;=60,3.5,IF((J314+K314+L314+M314)/2&gt;=50,3,IF((J314+K314+L314+M314)/2&gt;=40,2,IF((J314+K314+L314+M314)/2&gt;=33,1,0)))))))</f>
        <v/>
      </c>
      <c r="AH314">
        <f>IF(Z314,0,IF(N314+O314&gt;=80,5,IF(N314+O314&gt;=70,4,IF(N314+O314&gt;=60,3.5,IF(N314+O314&gt;=50,3,IF(N314+O314&gt;=40,2,IF(N314+O314&gt;=33,1,0)))))))</f>
        <v/>
      </c>
      <c r="AI314">
        <f>IF(AA314,0,IF(P314+Q314&gt;=80,5,IF(P314+Q314&gt;=70,4,IF(P314+Q314&gt;=60,3.5,IF(P314+Q314&gt;=50,3,IF(P314+Q314&gt;=40,2,IF(P314+Q314&gt;=33,1,0)))))))</f>
        <v/>
      </c>
      <c r="AJ314">
        <f>IF(R314&lt;8.25,0,IF(R314*2&gt;=80,5,IF(R314*2&gt;=70,4,IF(R314*2&gt;=60,3.5,IF(R314*2&gt;=50,3,IF(R314*2&gt;=40,2,IF(R314*2&gt;=33,1,0)))))))</f>
        <v/>
      </c>
      <c r="AK314">
        <f>IF(S314&lt;33,0,IF(S314&gt;=80,5,IF(S314&gt;=70,4,IF(S314&gt;=60,3.5,IF(S314&gt;=50,3,IF(S314&gt;=40,2,IF(S314&gt;=33,1,0)))))))</f>
        <v/>
      </c>
      <c r="AL314">
        <f>(AC314+AD314+AE314+AF314+AG314+AH314+AI314+AJ314)/8</f>
        <v/>
      </c>
      <c r="AM314">
        <f>IF(AK314&gt;=2,(AK314-2)/8,0)</f>
        <v/>
      </c>
    </row>
    <row r="315">
      <c r="T315">
        <f>SUM(C315:R315)</f>
        <v/>
      </c>
      <c r="U315" s="6">
        <f>ROUND(T315/11.5,2)</f>
        <v/>
      </c>
      <c r="V315" s="7">
        <f>IF(B315="","",IF(AB315,0,ROUND(AL315,2)))</f>
        <v/>
      </c>
      <c r="W315" s="7">
        <f>IF(B315="","",IF(AB315,0,MIN(5,ROUND(AL315+AM315,2))))</f>
        <v/>
      </c>
      <c r="X315" s="8">
        <f>IF(B315="","",IF(W315&gt;=5,"A+",IF(W315&gt;=4,"A",IF(W315&gt;=3.5,"A-",IF(W315&gt;=3,"B",IF(W315&gt;=2,"C",IF(W315&gt;=1,"D","F")))))))</f>
        <v/>
      </c>
      <c r="Y315">
        <f>NOT(OR(AND(J315&gt;=10,K315&gt;=23,L315&gt;=10,M315&gt;=23),AND(J315+L315&gt;=20,K315+M315&gt;=46)))</f>
        <v/>
      </c>
      <c r="Z315">
        <f>OR(N315&lt;10,O315&lt;23)</f>
        <v/>
      </c>
      <c r="AA315">
        <f>OR(P315&lt;10,Q315&lt;23)</f>
        <v/>
      </c>
      <c r="AB315">
        <f>OR((C315+D315)&lt;66,(E315+F315)&lt;66,G315&lt;33,(H315+I315)&lt;66,Y315,Z315,AA315,R315&lt;8.25)</f>
        <v/>
      </c>
      <c r="AC315">
        <f>IF(C315+D315&lt;66,0,IF((C315+D315)/2&gt;=80,5,IF((C315+D315)/2&gt;=70,4,IF((C315+D315)/2&gt;=60,3.5,IF((C315+D315)/2&gt;=50,3,IF((C315+D315)/2&gt;=40,2,IF((C315+D315)/2&gt;=33,1,0)))))))</f>
        <v/>
      </c>
      <c r="AD315">
        <f>IF(E315+F315&lt;66,0,IF((E315+F315)/2&gt;=80,5,IF((E315+F315)/2&gt;=70,4,IF((E315+F315)/2&gt;=60,3.5,IF((E315+F315)/2&gt;=50,3,IF((E315+F315)/2&gt;=40,2,IF((E315+F315)/2&gt;=33,1,0)))))))</f>
        <v/>
      </c>
      <c r="AE315">
        <f>IF(G315&lt;33,0,IF(G315&gt;=80,5,IF(G315&gt;=70,4,IF(G315&gt;=60,3.5,IF(G315&gt;=50,3,IF(G315&gt;=40,2,IF(G315&gt;=33,1,0)))))))</f>
        <v/>
      </c>
      <c r="AF315">
        <f>IF(H315+I315&lt;66,0,IF((H315+I315)/2&gt;=80,5,IF((H315+I315)/2&gt;=70,4,IF((H315+I315)/2&gt;=60,3.5,IF((H315+I315)/2&gt;=50,3,IF((H315+I315)/2&gt;=40,2,IF((H315+I315)/2&gt;=33,1,0)))))))</f>
        <v/>
      </c>
      <c r="AG315">
        <f>IF(Y315,0,IF((J315+K315+L315+M315)/2&gt;=80,5,IF((J315+K315+L315+M315)/2&gt;=70,4,IF((J315+K315+L315+M315)/2&gt;=60,3.5,IF((J315+K315+L315+M315)/2&gt;=50,3,IF((J315+K315+L315+M315)/2&gt;=40,2,IF((J315+K315+L315+M315)/2&gt;=33,1,0)))))))</f>
        <v/>
      </c>
      <c r="AH315">
        <f>IF(Z315,0,IF(N315+O315&gt;=80,5,IF(N315+O315&gt;=70,4,IF(N315+O315&gt;=60,3.5,IF(N315+O315&gt;=50,3,IF(N315+O315&gt;=40,2,IF(N315+O315&gt;=33,1,0)))))))</f>
        <v/>
      </c>
      <c r="AI315">
        <f>IF(AA315,0,IF(P315+Q315&gt;=80,5,IF(P315+Q315&gt;=70,4,IF(P315+Q315&gt;=60,3.5,IF(P315+Q315&gt;=50,3,IF(P315+Q315&gt;=40,2,IF(P315+Q315&gt;=33,1,0)))))))</f>
        <v/>
      </c>
      <c r="AJ315">
        <f>IF(R315&lt;8.25,0,IF(R315*2&gt;=80,5,IF(R315*2&gt;=70,4,IF(R315*2&gt;=60,3.5,IF(R315*2&gt;=50,3,IF(R315*2&gt;=40,2,IF(R315*2&gt;=33,1,0)))))))</f>
        <v/>
      </c>
      <c r="AK315">
        <f>IF(S315&lt;33,0,IF(S315&gt;=80,5,IF(S315&gt;=70,4,IF(S315&gt;=60,3.5,IF(S315&gt;=50,3,IF(S315&gt;=40,2,IF(S315&gt;=33,1,0)))))))</f>
        <v/>
      </c>
      <c r="AL315">
        <f>(AC315+AD315+AE315+AF315+AG315+AH315+AI315+AJ315)/8</f>
        <v/>
      </c>
      <c r="AM315">
        <f>IF(AK315&gt;=2,(AK315-2)/8,0)</f>
        <v/>
      </c>
    </row>
    <row r="316">
      <c r="T316">
        <f>SUM(C316:R316)</f>
        <v/>
      </c>
      <c r="U316" s="6">
        <f>ROUND(T316/11.5,2)</f>
        <v/>
      </c>
      <c r="V316" s="7">
        <f>IF(B316="","",IF(AB316,0,ROUND(AL316,2)))</f>
        <v/>
      </c>
      <c r="W316" s="7">
        <f>IF(B316="","",IF(AB316,0,MIN(5,ROUND(AL316+AM316,2))))</f>
        <v/>
      </c>
      <c r="X316" s="8">
        <f>IF(B316="","",IF(W316&gt;=5,"A+",IF(W316&gt;=4,"A",IF(W316&gt;=3.5,"A-",IF(W316&gt;=3,"B",IF(W316&gt;=2,"C",IF(W316&gt;=1,"D","F")))))))</f>
        <v/>
      </c>
      <c r="Y316">
        <f>NOT(OR(AND(J316&gt;=10,K316&gt;=23,L316&gt;=10,M316&gt;=23),AND(J316+L316&gt;=20,K316+M316&gt;=46)))</f>
        <v/>
      </c>
      <c r="Z316">
        <f>OR(N316&lt;10,O316&lt;23)</f>
        <v/>
      </c>
      <c r="AA316">
        <f>OR(P316&lt;10,Q316&lt;23)</f>
        <v/>
      </c>
      <c r="AB316">
        <f>OR((C316+D316)&lt;66,(E316+F316)&lt;66,G316&lt;33,(H316+I316)&lt;66,Y316,Z316,AA316,R316&lt;8.25)</f>
        <v/>
      </c>
      <c r="AC316">
        <f>IF(C316+D316&lt;66,0,IF((C316+D316)/2&gt;=80,5,IF((C316+D316)/2&gt;=70,4,IF((C316+D316)/2&gt;=60,3.5,IF((C316+D316)/2&gt;=50,3,IF((C316+D316)/2&gt;=40,2,IF((C316+D316)/2&gt;=33,1,0)))))))</f>
        <v/>
      </c>
      <c r="AD316">
        <f>IF(E316+F316&lt;66,0,IF((E316+F316)/2&gt;=80,5,IF((E316+F316)/2&gt;=70,4,IF((E316+F316)/2&gt;=60,3.5,IF((E316+F316)/2&gt;=50,3,IF((E316+F316)/2&gt;=40,2,IF((E316+F316)/2&gt;=33,1,0)))))))</f>
        <v/>
      </c>
      <c r="AE316">
        <f>IF(G316&lt;33,0,IF(G316&gt;=80,5,IF(G316&gt;=70,4,IF(G316&gt;=60,3.5,IF(G316&gt;=50,3,IF(G316&gt;=40,2,IF(G316&gt;=33,1,0)))))))</f>
        <v/>
      </c>
      <c r="AF316">
        <f>IF(H316+I316&lt;66,0,IF((H316+I316)/2&gt;=80,5,IF((H316+I316)/2&gt;=70,4,IF((H316+I316)/2&gt;=60,3.5,IF((H316+I316)/2&gt;=50,3,IF((H316+I316)/2&gt;=40,2,IF((H316+I316)/2&gt;=33,1,0)))))))</f>
        <v/>
      </c>
      <c r="AG316">
        <f>IF(Y316,0,IF((J316+K316+L316+M316)/2&gt;=80,5,IF((J316+K316+L316+M316)/2&gt;=70,4,IF((J316+K316+L316+M316)/2&gt;=60,3.5,IF((J316+K316+L316+M316)/2&gt;=50,3,IF((J316+K316+L316+M316)/2&gt;=40,2,IF((J316+K316+L316+M316)/2&gt;=33,1,0)))))))</f>
        <v/>
      </c>
      <c r="AH316">
        <f>IF(Z316,0,IF(N316+O316&gt;=80,5,IF(N316+O316&gt;=70,4,IF(N316+O316&gt;=60,3.5,IF(N316+O316&gt;=50,3,IF(N316+O316&gt;=40,2,IF(N316+O316&gt;=33,1,0)))))))</f>
        <v/>
      </c>
      <c r="AI316">
        <f>IF(AA316,0,IF(P316+Q316&gt;=80,5,IF(P316+Q316&gt;=70,4,IF(P316+Q316&gt;=60,3.5,IF(P316+Q316&gt;=50,3,IF(P316+Q316&gt;=40,2,IF(P316+Q316&gt;=33,1,0)))))))</f>
        <v/>
      </c>
      <c r="AJ316">
        <f>IF(R316&lt;8.25,0,IF(R316*2&gt;=80,5,IF(R316*2&gt;=70,4,IF(R316*2&gt;=60,3.5,IF(R316*2&gt;=50,3,IF(R316*2&gt;=40,2,IF(R316*2&gt;=33,1,0)))))))</f>
        <v/>
      </c>
      <c r="AK316">
        <f>IF(S316&lt;33,0,IF(S316&gt;=80,5,IF(S316&gt;=70,4,IF(S316&gt;=60,3.5,IF(S316&gt;=50,3,IF(S316&gt;=40,2,IF(S316&gt;=33,1,0)))))))</f>
        <v/>
      </c>
      <c r="AL316">
        <f>(AC316+AD316+AE316+AF316+AG316+AH316+AI316+AJ316)/8</f>
        <v/>
      </c>
      <c r="AM316">
        <f>IF(AK316&gt;=2,(AK316-2)/8,0)</f>
        <v/>
      </c>
    </row>
    <row r="317">
      <c r="T317">
        <f>SUM(C317:R317)</f>
        <v/>
      </c>
      <c r="U317" s="6">
        <f>ROUND(T317/11.5,2)</f>
        <v/>
      </c>
      <c r="V317" s="7">
        <f>IF(B317="","",IF(AB317,0,ROUND(AL317,2)))</f>
        <v/>
      </c>
      <c r="W317" s="7">
        <f>IF(B317="","",IF(AB317,0,MIN(5,ROUND(AL317+AM317,2))))</f>
        <v/>
      </c>
      <c r="X317" s="8">
        <f>IF(B317="","",IF(W317&gt;=5,"A+",IF(W317&gt;=4,"A",IF(W317&gt;=3.5,"A-",IF(W317&gt;=3,"B",IF(W317&gt;=2,"C",IF(W317&gt;=1,"D","F")))))))</f>
        <v/>
      </c>
      <c r="Y317">
        <f>NOT(OR(AND(J317&gt;=10,K317&gt;=23,L317&gt;=10,M317&gt;=23),AND(J317+L317&gt;=20,K317+M317&gt;=46)))</f>
        <v/>
      </c>
      <c r="Z317">
        <f>OR(N317&lt;10,O317&lt;23)</f>
        <v/>
      </c>
      <c r="AA317">
        <f>OR(P317&lt;10,Q317&lt;23)</f>
        <v/>
      </c>
      <c r="AB317">
        <f>OR((C317+D317)&lt;66,(E317+F317)&lt;66,G317&lt;33,(H317+I317)&lt;66,Y317,Z317,AA317,R317&lt;8.25)</f>
        <v/>
      </c>
      <c r="AC317">
        <f>IF(C317+D317&lt;66,0,IF((C317+D317)/2&gt;=80,5,IF((C317+D317)/2&gt;=70,4,IF((C317+D317)/2&gt;=60,3.5,IF((C317+D317)/2&gt;=50,3,IF((C317+D317)/2&gt;=40,2,IF((C317+D317)/2&gt;=33,1,0)))))))</f>
        <v/>
      </c>
      <c r="AD317">
        <f>IF(E317+F317&lt;66,0,IF((E317+F317)/2&gt;=80,5,IF((E317+F317)/2&gt;=70,4,IF((E317+F317)/2&gt;=60,3.5,IF((E317+F317)/2&gt;=50,3,IF((E317+F317)/2&gt;=40,2,IF((E317+F317)/2&gt;=33,1,0)))))))</f>
        <v/>
      </c>
      <c r="AE317">
        <f>IF(G317&lt;33,0,IF(G317&gt;=80,5,IF(G317&gt;=70,4,IF(G317&gt;=60,3.5,IF(G317&gt;=50,3,IF(G317&gt;=40,2,IF(G317&gt;=33,1,0)))))))</f>
        <v/>
      </c>
      <c r="AF317">
        <f>IF(H317+I317&lt;66,0,IF((H317+I317)/2&gt;=80,5,IF((H317+I317)/2&gt;=70,4,IF((H317+I317)/2&gt;=60,3.5,IF((H317+I317)/2&gt;=50,3,IF((H317+I317)/2&gt;=40,2,IF((H317+I317)/2&gt;=33,1,0)))))))</f>
        <v/>
      </c>
      <c r="AG317">
        <f>IF(Y317,0,IF((J317+K317+L317+M317)/2&gt;=80,5,IF((J317+K317+L317+M317)/2&gt;=70,4,IF((J317+K317+L317+M317)/2&gt;=60,3.5,IF((J317+K317+L317+M317)/2&gt;=50,3,IF((J317+K317+L317+M317)/2&gt;=40,2,IF((J317+K317+L317+M317)/2&gt;=33,1,0)))))))</f>
        <v/>
      </c>
      <c r="AH317">
        <f>IF(Z317,0,IF(N317+O317&gt;=80,5,IF(N317+O317&gt;=70,4,IF(N317+O317&gt;=60,3.5,IF(N317+O317&gt;=50,3,IF(N317+O317&gt;=40,2,IF(N317+O317&gt;=33,1,0)))))))</f>
        <v/>
      </c>
      <c r="AI317">
        <f>IF(AA317,0,IF(P317+Q317&gt;=80,5,IF(P317+Q317&gt;=70,4,IF(P317+Q317&gt;=60,3.5,IF(P317+Q317&gt;=50,3,IF(P317+Q317&gt;=40,2,IF(P317+Q317&gt;=33,1,0)))))))</f>
        <v/>
      </c>
      <c r="AJ317">
        <f>IF(R317&lt;8.25,0,IF(R317*2&gt;=80,5,IF(R317*2&gt;=70,4,IF(R317*2&gt;=60,3.5,IF(R317*2&gt;=50,3,IF(R317*2&gt;=40,2,IF(R317*2&gt;=33,1,0)))))))</f>
        <v/>
      </c>
      <c r="AK317">
        <f>IF(S317&lt;33,0,IF(S317&gt;=80,5,IF(S317&gt;=70,4,IF(S317&gt;=60,3.5,IF(S317&gt;=50,3,IF(S317&gt;=40,2,IF(S317&gt;=33,1,0)))))))</f>
        <v/>
      </c>
      <c r="AL317">
        <f>(AC317+AD317+AE317+AF317+AG317+AH317+AI317+AJ317)/8</f>
        <v/>
      </c>
      <c r="AM317">
        <f>IF(AK317&gt;=2,(AK317-2)/8,0)</f>
        <v/>
      </c>
    </row>
    <row r="318">
      <c r="T318">
        <f>SUM(C318:R318)</f>
        <v/>
      </c>
      <c r="U318" s="6">
        <f>ROUND(T318/11.5,2)</f>
        <v/>
      </c>
      <c r="V318" s="7">
        <f>IF(B318="","",IF(AB318,0,ROUND(AL318,2)))</f>
        <v/>
      </c>
      <c r="W318" s="7">
        <f>IF(B318="","",IF(AB318,0,MIN(5,ROUND(AL318+AM318,2))))</f>
        <v/>
      </c>
      <c r="X318" s="8">
        <f>IF(B318="","",IF(W318&gt;=5,"A+",IF(W318&gt;=4,"A",IF(W318&gt;=3.5,"A-",IF(W318&gt;=3,"B",IF(W318&gt;=2,"C",IF(W318&gt;=1,"D","F")))))))</f>
        <v/>
      </c>
      <c r="Y318">
        <f>NOT(OR(AND(J318&gt;=10,K318&gt;=23,L318&gt;=10,M318&gt;=23),AND(J318+L318&gt;=20,K318+M318&gt;=46)))</f>
        <v/>
      </c>
      <c r="Z318">
        <f>OR(N318&lt;10,O318&lt;23)</f>
        <v/>
      </c>
      <c r="AA318">
        <f>OR(P318&lt;10,Q318&lt;23)</f>
        <v/>
      </c>
      <c r="AB318">
        <f>OR((C318+D318)&lt;66,(E318+F318)&lt;66,G318&lt;33,(H318+I318)&lt;66,Y318,Z318,AA318,R318&lt;8.25)</f>
        <v/>
      </c>
      <c r="AC318">
        <f>IF(C318+D318&lt;66,0,IF((C318+D318)/2&gt;=80,5,IF((C318+D318)/2&gt;=70,4,IF((C318+D318)/2&gt;=60,3.5,IF((C318+D318)/2&gt;=50,3,IF((C318+D318)/2&gt;=40,2,IF((C318+D318)/2&gt;=33,1,0)))))))</f>
        <v/>
      </c>
      <c r="AD318">
        <f>IF(E318+F318&lt;66,0,IF((E318+F318)/2&gt;=80,5,IF((E318+F318)/2&gt;=70,4,IF((E318+F318)/2&gt;=60,3.5,IF((E318+F318)/2&gt;=50,3,IF((E318+F318)/2&gt;=40,2,IF((E318+F318)/2&gt;=33,1,0)))))))</f>
        <v/>
      </c>
      <c r="AE318">
        <f>IF(G318&lt;33,0,IF(G318&gt;=80,5,IF(G318&gt;=70,4,IF(G318&gt;=60,3.5,IF(G318&gt;=50,3,IF(G318&gt;=40,2,IF(G318&gt;=33,1,0)))))))</f>
        <v/>
      </c>
      <c r="AF318">
        <f>IF(H318+I318&lt;66,0,IF((H318+I318)/2&gt;=80,5,IF((H318+I318)/2&gt;=70,4,IF((H318+I318)/2&gt;=60,3.5,IF((H318+I318)/2&gt;=50,3,IF((H318+I318)/2&gt;=40,2,IF((H318+I318)/2&gt;=33,1,0)))))))</f>
        <v/>
      </c>
      <c r="AG318">
        <f>IF(Y318,0,IF((J318+K318+L318+M318)/2&gt;=80,5,IF((J318+K318+L318+M318)/2&gt;=70,4,IF((J318+K318+L318+M318)/2&gt;=60,3.5,IF((J318+K318+L318+M318)/2&gt;=50,3,IF((J318+K318+L318+M318)/2&gt;=40,2,IF((J318+K318+L318+M318)/2&gt;=33,1,0)))))))</f>
        <v/>
      </c>
      <c r="AH318">
        <f>IF(Z318,0,IF(N318+O318&gt;=80,5,IF(N318+O318&gt;=70,4,IF(N318+O318&gt;=60,3.5,IF(N318+O318&gt;=50,3,IF(N318+O318&gt;=40,2,IF(N318+O318&gt;=33,1,0)))))))</f>
        <v/>
      </c>
      <c r="AI318">
        <f>IF(AA318,0,IF(P318+Q318&gt;=80,5,IF(P318+Q318&gt;=70,4,IF(P318+Q318&gt;=60,3.5,IF(P318+Q318&gt;=50,3,IF(P318+Q318&gt;=40,2,IF(P318+Q318&gt;=33,1,0)))))))</f>
        <v/>
      </c>
      <c r="AJ318">
        <f>IF(R318&lt;8.25,0,IF(R318*2&gt;=80,5,IF(R318*2&gt;=70,4,IF(R318*2&gt;=60,3.5,IF(R318*2&gt;=50,3,IF(R318*2&gt;=40,2,IF(R318*2&gt;=33,1,0)))))))</f>
        <v/>
      </c>
      <c r="AK318">
        <f>IF(S318&lt;33,0,IF(S318&gt;=80,5,IF(S318&gt;=70,4,IF(S318&gt;=60,3.5,IF(S318&gt;=50,3,IF(S318&gt;=40,2,IF(S318&gt;=33,1,0)))))))</f>
        <v/>
      </c>
      <c r="AL318">
        <f>(AC318+AD318+AE318+AF318+AG318+AH318+AI318+AJ318)/8</f>
        <v/>
      </c>
      <c r="AM318">
        <f>IF(AK318&gt;=2,(AK318-2)/8,0)</f>
        <v/>
      </c>
    </row>
    <row r="319">
      <c r="T319">
        <f>SUM(C319:R319)</f>
        <v/>
      </c>
      <c r="U319" s="6">
        <f>ROUND(T319/11.5,2)</f>
        <v/>
      </c>
      <c r="V319" s="7">
        <f>IF(B319="","",IF(AB319,0,ROUND(AL319,2)))</f>
        <v/>
      </c>
      <c r="W319" s="7">
        <f>IF(B319="","",IF(AB319,0,MIN(5,ROUND(AL319+AM319,2))))</f>
        <v/>
      </c>
      <c r="X319" s="8">
        <f>IF(B319="","",IF(W319&gt;=5,"A+",IF(W319&gt;=4,"A",IF(W319&gt;=3.5,"A-",IF(W319&gt;=3,"B",IF(W319&gt;=2,"C",IF(W319&gt;=1,"D","F")))))))</f>
        <v/>
      </c>
      <c r="Y319">
        <f>NOT(OR(AND(J319&gt;=10,K319&gt;=23,L319&gt;=10,M319&gt;=23),AND(J319+L319&gt;=20,K319+M319&gt;=46)))</f>
        <v/>
      </c>
      <c r="Z319">
        <f>OR(N319&lt;10,O319&lt;23)</f>
        <v/>
      </c>
      <c r="AA319">
        <f>OR(P319&lt;10,Q319&lt;23)</f>
        <v/>
      </c>
      <c r="AB319">
        <f>OR((C319+D319)&lt;66,(E319+F319)&lt;66,G319&lt;33,(H319+I319)&lt;66,Y319,Z319,AA319,R319&lt;8.25)</f>
        <v/>
      </c>
      <c r="AC319">
        <f>IF(C319+D319&lt;66,0,IF((C319+D319)/2&gt;=80,5,IF((C319+D319)/2&gt;=70,4,IF((C319+D319)/2&gt;=60,3.5,IF((C319+D319)/2&gt;=50,3,IF((C319+D319)/2&gt;=40,2,IF((C319+D319)/2&gt;=33,1,0)))))))</f>
        <v/>
      </c>
      <c r="AD319">
        <f>IF(E319+F319&lt;66,0,IF((E319+F319)/2&gt;=80,5,IF((E319+F319)/2&gt;=70,4,IF((E319+F319)/2&gt;=60,3.5,IF((E319+F319)/2&gt;=50,3,IF((E319+F319)/2&gt;=40,2,IF((E319+F319)/2&gt;=33,1,0)))))))</f>
        <v/>
      </c>
      <c r="AE319">
        <f>IF(G319&lt;33,0,IF(G319&gt;=80,5,IF(G319&gt;=70,4,IF(G319&gt;=60,3.5,IF(G319&gt;=50,3,IF(G319&gt;=40,2,IF(G319&gt;=33,1,0)))))))</f>
        <v/>
      </c>
      <c r="AF319">
        <f>IF(H319+I319&lt;66,0,IF((H319+I319)/2&gt;=80,5,IF((H319+I319)/2&gt;=70,4,IF((H319+I319)/2&gt;=60,3.5,IF((H319+I319)/2&gt;=50,3,IF((H319+I319)/2&gt;=40,2,IF((H319+I319)/2&gt;=33,1,0)))))))</f>
        <v/>
      </c>
      <c r="AG319">
        <f>IF(Y319,0,IF((J319+K319+L319+M319)/2&gt;=80,5,IF((J319+K319+L319+M319)/2&gt;=70,4,IF((J319+K319+L319+M319)/2&gt;=60,3.5,IF((J319+K319+L319+M319)/2&gt;=50,3,IF((J319+K319+L319+M319)/2&gt;=40,2,IF((J319+K319+L319+M319)/2&gt;=33,1,0)))))))</f>
        <v/>
      </c>
      <c r="AH319">
        <f>IF(Z319,0,IF(N319+O319&gt;=80,5,IF(N319+O319&gt;=70,4,IF(N319+O319&gt;=60,3.5,IF(N319+O319&gt;=50,3,IF(N319+O319&gt;=40,2,IF(N319+O319&gt;=33,1,0)))))))</f>
        <v/>
      </c>
      <c r="AI319">
        <f>IF(AA319,0,IF(P319+Q319&gt;=80,5,IF(P319+Q319&gt;=70,4,IF(P319+Q319&gt;=60,3.5,IF(P319+Q319&gt;=50,3,IF(P319+Q319&gt;=40,2,IF(P319+Q319&gt;=33,1,0)))))))</f>
        <v/>
      </c>
      <c r="AJ319">
        <f>IF(R319&lt;8.25,0,IF(R319*2&gt;=80,5,IF(R319*2&gt;=70,4,IF(R319*2&gt;=60,3.5,IF(R319*2&gt;=50,3,IF(R319*2&gt;=40,2,IF(R319*2&gt;=33,1,0)))))))</f>
        <v/>
      </c>
      <c r="AK319">
        <f>IF(S319&lt;33,0,IF(S319&gt;=80,5,IF(S319&gt;=70,4,IF(S319&gt;=60,3.5,IF(S319&gt;=50,3,IF(S319&gt;=40,2,IF(S319&gt;=33,1,0)))))))</f>
        <v/>
      </c>
      <c r="AL319">
        <f>(AC319+AD319+AE319+AF319+AG319+AH319+AI319+AJ319)/8</f>
        <v/>
      </c>
      <c r="AM319">
        <f>IF(AK319&gt;=2,(AK319-2)/8,0)</f>
        <v/>
      </c>
    </row>
    <row r="320">
      <c r="T320">
        <f>SUM(C320:R320)</f>
        <v/>
      </c>
      <c r="U320" s="6">
        <f>ROUND(T320/11.5,2)</f>
        <v/>
      </c>
      <c r="V320" s="7">
        <f>IF(B320="","",IF(AB320,0,ROUND(AL320,2)))</f>
        <v/>
      </c>
      <c r="W320" s="7">
        <f>IF(B320="","",IF(AB320,0,MIN(5,ROUND(AL320+AM320,2))))</f>
        <v/>
      </c>
      <c r="X320" s="8">
        <f>IF(B320="","",IF(W320&gt;=5,"A+",IF(W320&gt;=4,"A",IF(W320&gt;=3.5,"A-",IF(W320&gt;=3,"B",IF(W320&gt;=2,"C",IF(W320&gt;=1,"D","F")))))))</f>
        <v/>
      </c>
      <c r="Y320">
        <f>NOT(OR(AND(J320&gt;=10,K320&gt;=23,L320&gt;=10,M320&gt;=23),AND(J320+L320&gt;=20,K320+M320&gt;=46)))</f>
        <v/>
      </c>
      <c r="Z320">
        <f>OR(N320&lt;10,O320&lt;23)</f>
        <v/>
      </c>
      <c r="AA320">
        <f>OR(P320&lt;10,Q320&lt;23)</f>
        <v/>
      </c>
      <c r="AB320">
        <f>OR((C320+D320)&lt;66,(E320+F320)&lt;66,G320&lt;33,(H320+I320)&lt;66,Y320,Z320,AA320,R320&lt;8.25)</f>
        <v/>
      </c>
      <c r="AC320">
        <f>IF(C320+D320&lt;66,0,IF((C320+D320)/2&gt;=80,5,IF((C320+D320)/2&gt;=70,4,IF((C320+D320)/2&gt;=60,3.5,IF((C320+D320)/2&gt;=50,3,IF((C320+D320)/2&gt;=40,2,IF((C320+D320)/2&gt;=33,1,0)))))))</f>
        <v/>
      </c>
      <c r="AD320">
        <f>IF(E320+F320&lt;66,0,IF((E320+F320)/2&gt;=80,5,IF((E320+F320)/2&gt;=70,4,IF((E320+F320)/2&gt;=60,3.5,IF((E320+F320)/2&gt;=50,3,IF((E320+F320)/2&gt;=40,2,IF((E320+F320)/2&gt;=33,1,0)))))))</f>
        <v/>
      </c>
      <c r="AE320">
        <f>IF(G320&lt;33,0,IF(G320&gt;=80,5,IF(G320&gt;=70,4,IF(G320&gt;=60,3.5,IF(G320&gt;=50,3,IF(G320&gt;=40,2,IF(G320&gt;=33,1,0)))))))</f>
        <v/>
      </c>
      <c r="AF320">
        <f>IF(H320+I320&lt;66,0,IF((H320+I320)/2&gt;=80,5,IF((H320+I320)/2&gt;=70,4,IF((H320+I320)/2&gt;=60,3.5,IF((H320+I320)/2&gt;=50,3,IF((H320+I320)/2&gt;=40,2,IF((H320+I320)/2&gt;=33,1,0)))))))</f>
        <v/>
      </c>
      <c r="AG320">
        <f>IF(Y320,0,IF((J320+K320+L320+M320)/2&gt;=80,5,IF((J320+K320+L320+M320)/2&gt;=70,4,IF((J320+K320+L320+M320)/2&gt;=60,3.5,IF((J320+K320+L320+M320)/2&gt;=50,3,IF((J320+K320+L320+M320)/2&gt;=40,2,IF((J320+K320+L320+M320)/2&gt;=33,1,0)))))))</f>
        <v/>
      </c>
      <c r="AH320">
        <f>IF(Z320,0,IF(N320+O320&gt;=80,5,IF(N320+O320&gt;=70,4,IF(N320+O320&gt;=60,3.5,IF(N320+O320&gt;=50,3,IF(N320+O320&gt;=40,2,IF(N320+O320&gt;=33,1,0)))))))</f>
        <v/>
      </c>
      <c r="AI320">
        <f>IF(AA320,0,IF(P320+Q320&gt;=80,5,IF(P320+Q320&gt;=70,4,IF(P320+Q320&gt;=60,3.5,IF(P320+Q320&gt;=50,3,IF(P320+Q320&gt;=40,2,IF(P320+Q320&gt;=33,1,0)))))))</f>
        <v/>
      </c>
      <c r="AJ320">
        <f>IF(R320&lt;8.25,0,IF(R320*2&gt;=80,5,IF(R320*2&gt;=70,4,IF(R320*2&gt;=60,3.5,IF(R320*2&gt;=50,3,IF(R320*2&gt;=40,2,IF(R320*2&gt;=33,1,0)))))))</f>
        <v/>
      </c>
      <c r="AK320">
        <f>IF(S320&lt;33,0,IF(S320&gt;=80,5,IF(S320&gt;=70,4,IF(S320&gt;=60,3.5,IF(S320&gt;=50,3,IF(S320&gt;=40,2,IF(S320&gt;=33,1,0)))))))</f>
        <v/>
      </c>
      <c r="AL320">
        <f>(AC320+AD320+AE320+AF320+AG320+AH320+AI320+AJ320)/8</f>
        <v/>
      </c>
      <c r="AM320">
        <f>IF(AK320&gt;=2,(AK320-2)/8,0)</f>
        <v/>
      </c>
    </row>
    <row r="321">
      <c r="T321">
        <f>SUM(C321:R321)</f>
        <v/>
      </c>
      <c r="U321" s="6">
        <f>ROUND(T321/11.5,2)</f>
        <v/>
      </c>
      <c r="V321" s="7">
        <f>IF(B321="","",IF(AB321,0,ROUND(AL321,2)))</f>
        <v/>
      </c>
      <c r="W321" s="7">
        <f>IF(B321="","",IF(AB321,0,MIN(5,ROUND(AL321+AM321,2))))</f>
        <v/>
      </c>
      <c r="X321" s="8">
        <f>IF(B321="","",IF(W321&gt;=5,"A+",IF(W321&gt;=4,"A",IF(W321&gt;=3.5,"A-",IF(W321&gt;=3,"B",IF(W321&gt;=2,"C",IF(W321&gt;=1,"D","F")))))))</f>
        <v/>
      </c>
      <c r="Y321">
        <f>NOT(OR(AND(J321&gt;=10,K321&gt;=23,L321&gt;=10,M321&gt;=23),AND(J321+L321&gt;=20,K321+M321&gt;=46)))</f>
        <v/>
      </c>
      <c r="Z321">
        <f>OR(N321&lt;10,O321&lt;23)</f>
        <v/>
      </c>
      <c r="AA321">
        <f>OR(P321&lt;10,Q321&lt;23)</f>
        <v/>
      </c>
      <c r="AB321">
        <f>OR((C321+D321)&lt;66,(E321+F321)&lt;66,G321&lt;33,(H321+I321)&lt;66,Y321,Z321,AA321,R321&lt;8.25)</f>
        <v/>
      </c>
      <c r="AC321">
        <f>IF(C321+D321&lt;66,0,IF((C321+D321)/2&gt;=80,5,IF((C321+D321)/2&gt;=70,4,IF((C321+D321)/2&gt;=60,3.5,IF((C321+D321)/2&gt;=50,3,IF((C321+D321)/2&gt;=40,2,IF((C321+D321)/2&gt;=33,1,0)))))))</f>
        <v/>
      </c>
      <c r="AD321">
        <f>IF(E321+F321&lt;66,0,IF((E321+F321)/2&gt;=80,5,IF((E321+F321)/2&gt;=70,4,IF((E321+F321)/2&gt;=60,3.5,IF((E321+F321)/2&gt;=50,3,IF((E321+F321)/2&gt;=40,2,IF((E321+F321)/2&gt;=33,1,0)))))))</f>
        <v/>
      </c>
      <c r="AE321">
        <f>IF(G321&lt;33,0,IF(G321&gt;=80,5,IF(G321&gt;=70,4,IF(G321&gt;=60,3.5,IF(G321&gt;=50,3,IF(G321&gt;=40,2,IF(G321&gt;=33,1,0)))))))</f>
        <v/>
      </c>
      <c r="AF321">
        <f>IF(H321+I321&lt;66,0,IF((H321+I321)/2&gt;=80,5,IF((H321+I321)/2&gt;=70,4,IF((H321+I321)/2&gt;=60,3.5,IF((H321+I321)/2&gt;=50,3,IF((H321+I321)/2&gt;=40,2,IF((H321+I321)/2&gt;=33,1,0)))))))</f>
        <v/>
      </c>
      <c r="AG321">
        <f>IF(Y321,0,IF((J321+K321+L321+M321)/2&gt;=80,5,IF((J321+K321+L321+M321)/2&gt;=70,4,IF((J321+K321+L321+M321)/2&gt;=60,3.5,IF((J321+K321+L321+M321)/2&gt;=50,3,IF((J321+K321+L321+M321)/2&gt;=40,2,IF((J321+K321+L321+M321)/2&gt;=33,1,0)))))))</f>
        <v/>
      </c>
      <c r="AH321">
        <f>IF(Z321,0,IF(N321+O321&gt;=80,5,IF(N321+O321&gt;=70,4,IF(N321+O321&gt;=60,3.5,IF(N321+O321&gt;=50,3,IF(N321+O321&gt;=40,2,IF(N321+O321&gt;=33,1,0)))))))</f>
        <v/>
      </c>
      <c r="AI321">
        <f>IF(AA321,0,IF(P321+Q321&gt;=80,5,IF(P321+Q321&gt;=70,4,IF(P321+Q321&gt;=60,3.5,IF(P321+Q321&gt;=50,3,IF(P321+Q321&gt;=40,2,IF(P321+Q321&gt;=33,1,0)))))))</f>
        <v/>
      </c>
      <c r="AJ321">
        <f>IF(R321&lt;8.25,0,IF(R321*2&gt;=80,5,IF(R321*2&gt;=70,4,IF(R321*2&gt;=60,3.5,IF(R321*2&gt;=50,3,IF(R321*2&gt;=40,2,IF(R321*2&gt;=33,1,0)))))))</f>
        <v/>
      </c>
      <c r="AK321">
        <f>IF(S321&lt;33,0,IF(S321&gt;=80,5,IF(S321&gt;=70,4,IF(S321&gt;=60,3.5,IF(S321&gt;=50,3,IF(S321&gt;=40,2,IF(S321&gt;=33,1,0)))))))</f>
        <v/>
      </c>
      <c r="AL321">
        <f>(AC321+AD321+AE321+AF321+AG321+AH321+AI321+AJ321)/8</f>
        <v/>
      </c>
      <c r="AM321">
        <f>IF(AK321&gt;=2,(AK321-2)/8,0)</f>
        <v/>
      </c>
    </row>
    <row r="322">
      <c r="T322">
        <f>SUM(C322:R322)</f>
        <v/>
      </c>
      <c r="U322" s="6">
        <f>ROUND(T322/11.5,2)</f>
        <v/>
      </c>
      <c r="V322" s="7">
        <f>IF(B322="","",IF(AB322,0,ROUND(AL322,2)))</f>
        <v/>
      </c>
      <c r="W322" s="7">
        <f>IF(B322="","",IF(AB322,0,MIN(5,ROUND(AL322+AM322,2))))</f>
        <v/>
      </c>
      <c r="X322" s="8">
        <f>IF(B322="","",IF(W322&gt;=5,"A+",IF(W322&gt;=4,"A",IF(W322&gt;=3.5,"A-",IF(W322&gt;=3,"B",IF(W322&gt;=2,"C",IF(W322&gt;=1,"D","F")))))))</f>
        <v/>
      </c>
      <c r="Y322">
        <f>NOT(OR(AND(J322&gt;=10,K322&gt;=23,L322&gt;=10,M322&gt;=23),AND(J322+L322&gt;=20,K322+M322&gt;=46)))</f>
        <v/>
      </c>
      <c r="Z322">
        <f>OR(N322&lt;10,O322&lt;23)</f>
        <v/>
      </c>
      <c r="AA322">
        <f>OR(P322&lt;10,Q322&lt;23)</f>
        <v/>
      </c>
      <c r="AB322">
        <f>OR((C322+D322)&lt;66,(E322+F322)&lt;66,G322&lt;33,(H322+I322)&lt;66,Y322,Z322,AA322,R322&lt;8.25)</f>
        <v/>
      </c>
      <c r="AC322">
        <f>IF(C322+D322&lt;66,0,IF((C322+D322)/2&gt;=80,5,IF((C322+D322)/2&gt;=70,4,IF((C322+D322)/2&gt;=60,3.5,IF((C322+D322)/2&gt;=50,3,IF((C322+D322)/2&gt;=40,2,IF((C322+D322)/2&gt;=33,1,0)))))))</f>
        <v/>
      </c>
      <c r="AD322">
        <f>IF(E322+F322&lt;66,0,IF((E322+F322)/2&gt;=80,5,IF((E322+F322)/2&gt;=70,4,IF((E322+F322)/2&gt;=60,3.5,IF((E322+F322)/2&gt;=50,3,IF((E322+F322)/2&gt;=40,2,IF((E322+F322)/2&gt;=33,1,0)))))))</f>
        <v/>
      </c>
      <c r="AE322">
        <f>IF(G322&lt;33,0,IF(G322&gt;=80,5,IF(G322&gt;=70,4,IF(G322&gt;=60,3.5,IF(G322&gt;=50,3,IF(G322&gt;=40,2,IF(G322&gt;=33,1,0)))))))</f>
        <v/>
      </c>
      <c r="AF322">
        <f>IF(H322+I322&lt;66,0,IF((H322+I322)/2&gt;=80,5,IF((H322+I322)/2&gt;=70,4,IF((H322+I322)/2&gt;=60,3.5,IF((H322+I322)/2&gt;=50,3,IF((H322+I322)/2&gt;=40,2,IF((H322+I322)/2&gt;=33,1,0)))))))</f>
        <v/>
      </c>
      <c r="AG322">
        <f>IF(Y322,0,IF((J322+K322+L322+M322)/2&gt;=80,5,IF((J322+K322+L322+M322)/2&gt;=70,4,IF((J322+K322+L322+M322)/2&gt;=60,3.5,IF((J322+K322+L322+M322)/2&gt;=50,3,IF((J322+K322+L322+M322)/2&gt;=40,2,IF((J322+K322+L322+M322)/2&gt;=33,1,0)))))))</f>
        <v/>
      </c>
      <c r="AH322">
        <f>IF(Z322,0,IF(N322+O322&gt;=80,5,IF(N322+O322&gt;=70,4,IF(N322+O322&gt;=60,3.5,IF(N322+O322&gt;=50,3,IF(N322+O322&gt;=40,2,IF(N322+O322&gt;=33,1,0)))))))</f>
        <v/>
      </c>
      <c r="AI322">
        <f>IF(AA322,0,IF(P322+Q322&gt;=80,5,IF(P322+Q322&gt;=70,4,IF(P322+Q322&gt;=60,3.5,IF(P322+Q322&gt;=50,3,IF(P322+Q322&gt;=40,2,IF(P322+Q322&gt;=33,1,0)))))))</f>
        <v/>
      </c>
      <c r="AJ322">
        <f>IF(R322&lt;8.25,0,IF(R322*2&gt;=80,5,IF(R322*2&gt;=70,4,IF(R322*2&gt;=60,3.5,IF(R322*2&gt;=50,3,IF(R322*2&gt;=40,2,IF(R322*2&gt;=33,1,0)))))))</f>
        <v/>
      </c>
      <c r="AK322">
        <f>IF(S322&lt;33,0,IF(S322&gt;=80,5,IF(S322&gt;=70,4,IF(S322&gt;=60,3.5,IF(S322&gt;=50,3,IF(S322&gt;=40,2,IF(S322&gt;=33,1,0)))))))</f>
        <v/>
      </c>
      <c r="AL322">
        <f>(AC322+AD322+AE322+AF322+AG322+AH322+AI322+AJ322)/8</f>
        <v/>
      </c>
      <c r="AM322">
        <f>IF(AK322&gt;=2,(AK322-2)/8,0)</f>
        <v/>
      </c>
    </row>
    <row r="323">
      <c r="T323">
        <f>SUM(C323:R323)</f>
        <v/>
      </c>
      <c r="U323" s="6">
        <f>ROUND(T323/11.5,2)</f>
        <v/>
      </c>
      <c r="V323" s="7">
        <f>IF(B323="","",IF(AB323,0,ROUND(AL323,2)))</f>
        <v/>
      </c>
      <c r="W323" s="7">
        <f>IF(B323="","",IF(AB323,0,MIN(5,ROUND(AL323+AM323,2))))</f>
        <v/>
      </c>
      <c r="X323" s="8">
        <f>IF(B323="","",IF(W323&gt;=5,"A+",IF(W323&gt;=4,"A",IF(W323&gt;=3.5,"A-",IF(W323&gt;=3,"B",IF(W323&gt;=2,"C",IF(W323&gt;=1,"D","F")))))))</f>
        <v/>
      </c>
      <c r="Y323">
        <f>NOT(OR(AND(J323&gt;=10,K323&gt;=23,L323&gt;=10,M323&gt;=23),AND(J323+L323&gt;=20,K323+M323&gt;=46)))</f>
        <v/>
      </c>
      <c r="Z323">
        <f>OR(N323&lt;10,O323&lt;23)</f>
        <v/>
      </c>
      <c r="AA323">
        <f>OR(P323&lt;10,Q323&lt;23)</f>
        <v/>
      </c>
      <c r="AB323">
        <f>OR((C323+D323)&lt;66,(E323+F323)&lt;66,G323&lt;33,(H323+I323)&lt;66,Y323,Z323,AA323,R323&lt;8.25)</f>
        <v/>
      </c>
      <c r="AC323">
        <f>IF(C323+D323&lt;66,0,IF((C323+D323)/2&gt;=80,5,IF((C323+D323)/2&gt;=70,4,IF((C323+D323)/2&gt;=60,3.5,IF((C323+D323)/2&gt;=50,3,IF((C323+D323)/2&gt;=40,2,IF((C323+D323)/2&gt;=33,1,0)))))))</f>
        <v/>
      </c>
      <c r="AD323">
        <f>IF(E323+F323&lt;66,0,IF((E323+F323)/2&gt;=80,5,IF((E323+F323)/2&gt;=70,4,IF((E323+F323)/2&gt;=60,3.5,IF((E323+F323)/2&gt;=50,3,IF((E323+F323)/2&gt;=40,2,IF((E323+F323)/2&gt;=33,1,0)))))))</f>
        <v/>
      </c>
      <c r="AE323">
        <f>IF(G323&lt;33,0,IF(G323&gt;=80,5,IF(G323&gt;=70,4,IF(G323&gt;=60,3.5,IF(G323&gt;=50,3,IF(G323&gt;=40,2,IF(G323&gt;=33,1,0)))))))</f>
        <v/>
      </c>
      <c r="AF323">
        <f>IF(H323+I323&lt;66,0,IF((H323+I323)/2&gt;=80,5,IF((H323+I323)/2&gt;=70,4,IF((H323+I323)/2&gt;=60,3.5,IF((H323+I323)/2&gt;=50,3,IF((H323+I323)/2&gt;=40,2,IF((H323+I323)/2&gt;=33,1,0)))))))</f>
        <v/>
      </c>
      <c r="AG323">
        <f>IF(Y323,0,IF((J323+K323+L323+M323)/2&gt;=80,5,IF((J323+K323+L323+M323)/2&gt;=70,4,IF((J323+K323+L323+M323)/2&gt;=60,3.5,IF((J323+K323+L323+M323)/2&gt;=50,3,IF((J323+K323+L323+M323)/2&gt;=40,2,IF((J323+K323+L323+M323)/2&gt;=33,1,0)))))))</f>
        <v/>
      </c>
      <c r="AH323">
        <f>IF(Z323,0,IF(N323+O323&gt;=80,5,IF(N323+O323&gt;=70,4,IF(N323+O323&gt;=60,3.5,IF(N323+O323&gt;=50,3,IF(N323+O323&gt;=40,2,IF(N323+O323&gt;=33,1,0)))))))</f>
        <v/>
      </c>
      <c r="AI323">
        <f>IF(AA323,0,IF(P323+Q323&gt;=80,5,IF(P323+Q323&gt;=70,4,IF(P323+Q323&gt;=60,3.5,IF(P323+Q323&gt;=50,3,IF(P323+Q323&gt;=40,2,IF(P323+Q323&gt;=33,1,0)))))))</f>
        <v/>
      </c>
      <c r="AJ323">
        <f>IF(R323&lt;8.25,0,IF(R323*2&gt;=80,5,IF(R323*2&gt;=70,4,IF(R323*2&gt;=60,3.5,IF(R323*2&gt;=50,3,IF(R323*2&gt;=40,2,IF(R323*2&gt;=33,1,0)))))))</f>
        <v/>
      </c>
      <c r="AK323">
        <f>IF(S323&lt;33,0,IF(S323&gt;=80,5,IF(S323&gt;=70,4,IF(S323&gt;=60,3.5,IF(S323&gt;=50,3,IF(S323&gt;=40,2,IF(S323&gt;=33,1,0)))))))</f>
        <v/>
      </c>
      <c r="AL323">
        <f>(AC323+AD323+AE323+AF323+AG323+AH323+AI323+AJ323)/8</f>
        <v/>
      </c>
      <c r="AM323">
        <f>IF(AK323&gt;=2,(AK323-2)/8,0)</f>
        <v/>
      </c>
    </row>
    <row r="324">
      <c r="T324">
        <f>SUM(C324:R324)</f>
        <v/>
      </c>
      <c r="U324" s="6">
        <f>ROUND(T324/11.5,2)</f>
        <v/>
      </c>
      <c r="V324" s="7">
        <f>IF(B324="","",IF(AB324,0,ROUND(AL324,2)))</f>
        <v/>
      </c>
      <c r="W324" s="7">
        <f>IF(B324="","",IF(AB324,0,MIN(5,ROUND(AL324+AM324,2))))</f>
        <v/>
      </c>
      <c r="X324" s="8">
        <f>IF(B324="","",IF(W324&gt;=5,"A+",IF(W324&gt;=4,"A",IF(W324&gt;=3.5,"A-",IF(W324&gt;=3,"B",IF(W324&gt;=2,"C",IF(W324&gt;=1,"D","F")))))))</f>
        <v/>
      </c>
      <c r="Y324">
        <f>NOT(OR(AND(J324&gt;=10,K324&gt;=23,L324&gt;=10,M324&gt;=23),AND(J324+L324&gt;=20,K324+M324&gt;=46)))</f>
        <v/>
      </c>
      <c r="Z324">
        <f>OR(N324&lt;10,O324&lt;23)</f>
        <v/>
      </c>
      <c r="AA324">
        <f>OR(P324&lt;10,Q324&lt;23)</f>
        <v/>
      </c>
      <c r="AB324">
        <f>OR((C324+D324)&lt;66,(E324+F324)&lt;66,G324&lt;33,(H324+I324)&lt;66,Y324,Z324,AA324,R324&lt;8.25)</f>
        <v/>
      </c>
      <c r="AC324">
        <f>IF(C324+D324&lt;66,0,IF((C324+D324)/2&gt;=80,5,IF((C324+D324)/2&gt;=70,4,IF((C324+D324)/2&gt;=60,3.5,IF((C324+D324)/2&gt;=50,3,IF((C324+D324)/2&gt;=40,2,IF((C324+D324)/2&gt;=33,1,0)))))))</f>
        <v/>
      </c>
      <c r="AD324">
        <f>IF(E324+F324&lt;66,0,IF((E324+F324)/2&gt;=80,5,IF((E324+F324)/2&gt;=70,4,IF((E324+F324)/2&gt;=60,3.5,IF((E324+F324)/2&gt;=50,3,IF((E324+F324)/2&gt;=40,2,IF((E324+F324)/2&gt;=33,1,0)))))))</f>
        <v/>
      </c>
      <c r="AE324">
        <f>IF(G324&lt;33,0,IF(G324&gt;=80,5,IF(G324&gt;=70,4,IF(G324&gt;=60,3.5,IF(G324&gt;=50,3,IF(G324&gt;=40,2,IF(G324&gt;=33,1,0)))))))</f>
        <v/>
      </c>
      <c r="AF324">
        <f>IF(H324+I324&lt;66,0,IF((H324+I324)/2&gt;=80,5,IF((H324+I324)/2&gt;=70,4,IF((H324+I324)/2&gt;=60,3.5,IF((H324+I324)/2&gt;=50,3,IF((H324+I324)/2&gt;=40,2,IF((H324+I324)/2&gt;=33,1,0)))))))</f>
        <v/>
      </c>
      <c r="AG324">
        <f>IF(Y324,0,IF((J324+K324+L324+M324)/2&gt;=80,5,IF((J324+K324+L324+M324)/2&gt;=70,4,IF((J324+K324+L324+M324)/2&gt;=60,3.5,IF((J324+K324+L324+M324)/2&gt;=50,3,IF((J324+K324+L324+M324)/2&gt;=40,2,IF((J324+K324+L324+M324)/2&gt;=33,1,0)))))))</f>
        <v/>
      </c>
      <c r="AH324">
        <f>IF(Z324,0,IF(N324+O324&gt;=80,5,IF(N324+O324&gt;=70,4,IF(N324+O324&gt;=60,3.5,IF(N324+O324&gt;=50,3,IF(N324+O324&gt;=40,2,IF(N324+O324&gt;=33,1,0)))))))</f>
        <v/>
      </c>
      <c r="AI324">
        <f>IF(AA324,0,IF(P324+Q324&gt;=80,5,IF(P324+Q324&gt;=70,4,IF(P324+Q324&gt;=60,3.5,IF(P324+Q324&gt;=50,3,IF(P324+Q324&gt;=40,2,IF(P324+Q324&gt;=33,1,0)))))))</f>
        <v/>
      </c>
      <c r="AJ324">
        <f>IF(R324&lt;8.25,0,IF(R324*2&gt;=80,5,IF(R324*2&gt;=70,4,IF(R324*2&gt;=60,3.5,IF(R324*2&gt;=50,3,IF(R324*2&gt;=40,2,IF(R324*2&gt;=33,1,0)))))))</f>
        <v/>
      </c>
      <c r="AK324">
        <f>IF(S324&lt;33,0,IF(S324&gt;=80,5,IF(S324&gt;=70,4,IF(S324&gt;=60,3.5,IF(S324&gt;=50,3,IF(S324&gt;=40,2,IF(S324&gt;=33,1,0)))))))</f>
        <v/>
      </c>
      <c r="AL324">
        <f>(AC324+AD324+AE324+AF324+AG324+AH324+AI324+AJ324)/8</f>
        <v/>
      </c>
      <c r="AM324">
        <f>IF(AK324&gt;=2,(AK324-2)/8,0)</f>
        <v/>
      </c>
    </row>
    <row r="325">
      <c r="T325">
        <f>SUM(C325:R325)</f>
        <v/>
      </c>
      <c r="U325" s="6">
        <f>ROUND(T325/11.5,2)</f>
        <v/>
      </c>
      <c r="V325" s="7">
        <f>IF(B325="","",IF(AB325,0,ROUND(AL325,2)))</f>
        <v/>
      </c>
      <c r="W325" s="7">
        <f>IF(B325="","",IF(AB325,0,MIN(5,ROUND(AL325+AM325,2))))</f>
        <v/>
      </c>
      <c r="X325" s="8">
        <f>IF(B325="","",IF(W325&gt;=5,"A+",IF(W325&gt;=4,"A",IF(W325&gt;=3.5,"A-",IF(W325&gt;=3,"B",IF(W325&gt;=2,"C",IF(W325&gt;=1,"D","F")))))))</f>
        <v/>
      </c>
      <c r="Y325">
        <f>NOT(OR(AND(J325&gt;=10,K325&gt;=23,L325&gt;=10,M325&gt;=23),AND(J325+L325&gt;=20,K325+M325&gt;=46)))</f>
        <v/>
      </c>
      <c r="Z325">
        <f>OR(N325&lt;10,O325&lt;23)</f>
        <v/>
      </c>
      <c r="AA325">
        <f>OR(P325&lt;10,Q325&lt;23)</f>
        <v/>
      </c>
      <c r="AB325">
        <f>OR((C325+D325)&lt;66,(E325+F325)&lt;66,G325&lt;33,(H325+I325)&lt;66,Y325,Z325,AA325,R325&lt;8.25)</f>
        <v/>
      </c>
      <c r="AC325">
        <f>IF(C325+D325&lt;66,0,IF((C325+D325)/2&gt;=80,5,IF((C325+D325)/2&gt;=70,4,IF((C325+D325)/2&gt;=60,3.5,IF((C325+D325)/2&gt;=50,3,IF((C325+D325)/2&gt;=40,2,IF((C325+D325)/2&gt;=33,1,0)))))))</f>
        <v/>
      </c>
      <c r="AD325">
        <f>IF(E325+F325&lt;66,0,IF((E325+F325)/2&gt;=80,5,IF((E325+F325)/2&gt;=70,4,IF((E325+F325)/2&gt;=60,3.5,IF((E325+F325)/2&gt;=50,3,IF((E325+F325)/2&gt;=40,2,IF((E325+F325)/2&gt;=33,1,0)))))))</f>
        <v/>
      </c>
      <c r="AE325">
        <f>IF(G325&lt;33,0,IF(G325&gt;=80,5,IF(G325&gt;=70,4,IF(G325&gt;=60,3.5,IF(G325&gt;=50,3,IF(G325&gt;=40,2,IF(G325&gt;=33,1,0)))))))</f>
        <v/>
      </c>
      <c r="AF325">
        <f>IF(H325+I325&lt;66,0,IF((H325+I325)/2&gt;=80,5,IF((H325+I325)/2&gt;=70,4,IF((H325+I325)/2&gt;=60,3.5,IF((H325+I325)/2&gt;=50,3,IF((H325+I325)/2&gt;=40,2,IF((H325+I325)/2&gt;=33,1,0)))))))</f>
        <v/>
      </c>
      <c r="AG325">
        <f>IF(Y325,0,IF((J325+K325+L325+M325)/2&gt;=80,5,IF((J325+K325+L325+M325)/2&gt;=70,4,IF((J325+K325+L325+M325)/2&gt;=60,3.5,IF((J325+K325+L325+M325)/2&gt;=50,3,IF((J325+K325+L325+M325)/2&gt;=40,2,IF((J325+K325+L325+M325)/2&gt;=33,1,0)))))))</f>
        <v/>
      </c>
      <c r="AH325">
        <f>IF(Z325,0,IF(N325+O325&gt;=80,5,IF(N325+O325&gt;=70,4,IF(N325+O325&gt;=60,3.5,IF(N325+O325&gt;=50,3,IF(N325+O325&gt;=40,2,IF(N325+O325&gt;=33,1,0)))))))</f>
        <v/>
      </c>
      <c r="AI325">
        <f>IF(AA325,0,IF(P325+Q325&gt;=80,5,IF(P325+Q325&gt;=70,4,IF(P325+Q325&gt;=60,3.5,IF(P325+Q325&gt;=50,3,IF(P325+Q325&gt;=40,2,IF(P325+Q325&gt;=33,1,0)))))))</f>
        <v/>
      </c>
      <c r="AJ325">
        <f>IF(R325&lt;8.25,0,IF(R325*2&gt;=80,5,IF(R325*2&gt;=70,4,IF(R325*2&gt;=60,3.5,IF(R325*2&gt;=50,3,IF(R325*2&gt;=40,2,IF(R325*2&gt;=33,1,0)))))))</f>
        <v/>
      </c>
      <c r="AK325">
        <f>IF(S325&lt;33,0,IF(S325&gt;=80,5,IF(S325&gt;=70,4,IF(S325&gt;=60,3.5,IF(S325&gt;=50,3,IF(S325&gt;=40,2,IF(S325&gt;=33,1,0)))))))</f>
        <v/>
      </c>
      <c r="AL325">
        <f>(AC325+AD325+AE325+AF325+AG325+AH325+AI325+AJ325)/8</f>
        <v/>
      </c>
      <c r="AM325">
        <f>IF(AK325&gt;=2,(AK325-2)/8,0)</f>
        <v/>
      </c>
    </row>
    <row r="326">
      <c r="T326">
        <f>SUM(C326:R326)</f>
        <v/>
      </c>
      <c r="U326" s="6">
        <f>ROUND(T326/11.5,2)</f>
        <v/>
      </c>
      <c r="V326" s="7">
        <f>IF(B326="","",IF(AB326,0,ROUND(AL326,2)))</f>
        <v/>
      </c>
      <c r="W326" s="7">
        <f>IF(B326="","",IF(AB326,0,MIN(5,ROUND(AL326+AM326,2))))</f>
        <v/>
      </c>
      <c r="X326" s="8">
        <f>IF(B326="","",IF(W326&gt;=5,"A+",IF(W326&gt;=4,"A",IF(W326&gt;=3.5,"A-",IF(W326&gt;=3,"B",IF(W326&gt;=2,"C",IF(W326&gt;=1,"D","F")))))))</f>
        <v/>
      </c>
      <c r="Y326">
        <f>NOT(OR(AND(J326&gt;=10,K326&gt;=23,L326&gt;=10,M326&gt;=23),AND(J326+L326&gt;=20,K326+M326&gt;=46)))</f>
        <v/>
      </c>
      <c r="Z326">
        <f>OR(N326&lt;10,O326&lt;23)</f>
        <v/>
      </c>
      <c r="AA326">
        <f>OR(P326&lt;10,Q326&lt;23)</f>
        <v/>
      </c>
      <c r="AB326">
        <f>OR((C326+D326)&lt;66,(E326+F326)&lt;66,G326&lt;33,(H326+I326)&lt;66,Y326,Z326,AA326,R326&lt;8.25)</f>
        <v/>
      </c>
      <c r="AC326">
        <f>IF(C326+D326&lt;66,0,IF((C326+D326)/2&gt;=80,5,IF((C326+D326)/2&gt;=70,4,IF((C326+D326)/2&gt;=60,3.5,IF((C326+D326)/2&gt;=50,3,IF((C326+D326)/2&gt;=40,2,IF((C326+D326)/2&gt;=33,1,0)))))))</f>
        <v/>
      </c>
      <c r="AD326">
        <f>IF(E326+F326&lt;66,0,IF((E326+F326)/2&gt;=80,5,IF((E326+F326)/2&gt;=70,4,IF((E326+F326)/2&gt;=60,3.5,IF((E326+F326)/2&gt;=50,3,IF((E326+F326)/2&gt;=40,2,IF((E326+F326)/2&gt;=33,1,0)))))))</f>
        <v/>
      </c>
      <c r="AE326">
        <f>IF(G326&lt;33,0,IF(G326&gt;=80,5,IF(G326&gt;=70,4,IF(G326&gt;=60,3.5,IF(G326&gt;=50,3,IF(G326&gt;=40,2,IF(G326&gt;=33,1,0)))))))</f>
        <v/>
      </c>
      <c r="AF326">
        <f>IF(H326+I326&lt;66,0,IF((H326+I326)/2&gt;=80,5,IF((H326+I326)/2&gt;=70,4,IF((H326+I326)/2&gt;=60,3.5,IF((H326+I326)/2&gt;=50,3,IF((H326+I326)/2&gt;=40,2,IF((H326+I326)/2&gt;=33,1,0)))))))</f>
        <v/>
      </c>
      <c r="AG326">
        <f>IF(Y326,0,IF((J326+K326+L326+M326)/2&gt;=80,5,IF((J326+K326+L326+M326)/2&gt;=70,4,IF((J326+K326+L326+M326)/2&gt;=60,3.5,IF((J326+K326+L326+M326)/2&gt;=50,3,IF((J326+K326+L326+M326)/2&gt;=40,2,IF((J326+K326+L326+M326)/2&gt;=33,1,0)))))))</f>
        <v/>
      </c>
      <c r="AH326">
        <f>IF(Z326,0,IF(N326+O326&gt;=80,5,IF(N326+O326&gt;=70,4,IF(N326+O326&gt;=60,3.5,IF(N326+O326&gt;=50,3,IF(N326+O326&gt;=40,2,IF(N326+O326&gt;=33,1,0)))))))</f>
        <v/>
      </c>
      <c r="AI326">
        <f>IF(AA326,0,IF(P326+Q326&gt;=80,5,IF(P326+Q326&gt;=70,4,IF(P326+Q326&gt;=60,3.5,IF(P326+Q326&gt;=50,3,IF(P326+Q326&gt;=40,2,IF(P326+Q326&gt;=33,1,0)))))))</f>
        <v/>
      </c>
      <c r="AJ326">
        <f>IF(R326&lt;8.25,0,IF(R326*2&gt;=80,5,IF(R326*2&gt;=70,4,IF(R326*2&gt;=60,3.5,IF(R326*2&gt;=50,3,IF(R326*2&gt;=40,2,IF(R326*2&gt;=33,1,0)))))))</f>
        <v/>
      </c>
      <c r="AK326">
        <f>IF(S326&lt;33,0,IF(S326&gt;=80,5,IF(S326&gt;=70,4,IF(S326&gt;=60,3.5,IF(S326&gt;=50,3,IF(S326&gt;=40,2,IF(S326&gt;=33,1,0)))))))</f>
        <v/>
      </c>
      <c r="AL326">
        <f>(AC326+AD326+AE326+AF326+AG326+AH326+AI326+AJ326)/8</f>
        <v/>
      </c>
      <c r="AM326">
        <f>IF(AK326&gt;=2,(AK326-2)/8,0)</f>
        <v/>
      </c>
    </row>
    <row r="327">
      <c r="T327">
        <f>SUM(C327:R327)</f>
        <v/>
      </c>
      <c r="U327" s="6">
        <f>ROUND(T327/11.5,2)</f>
        <v/>
      </c>
      <c r="V327" s="7">
        <f>IF(B327="","",IF(AB327,0,ROUND(AL327,2)))</f>
        <v/>
      </c>
      <c r="W327" s="7">
        <f>IF(B327="","",IF(AB327,0,MIN(5,ROUND(AL327+AM327,2))))</f>
        <v/>
      </c>
      <c r="X327" s="8">
        <f>IF(B327="","",IF(W327&gt;=5,"A+",IF(W327&gt;=4,"A",IF(W327&gt;=3.5,"A-",IF(W327&gt;=3,"B",IF(W327&gt;=2,"C",IF(W327&gt;=1,"D","F")))))))</f>
        <v/>
      </c>
      <c r="Y327">
        <f>NOT(OR(AND(J327&gt;=10,K327&gt;=23,L327&gt;=10,M327&gt;=23),AND(J327+L327&gt;=20,K327+M327&gt;=46)))</f>
        <v/>
      </c>
      <c r="Z327">
        <f>OR(N327&lt;10,O327&lt;23)</f>
        <v/>
      </c>
      <c r="AA327">
        <f>OR(P327&lt;10,Q327&lt;23)</f>
        <v/>
      </c>
      <c r="AB327">
        <f>OR((C327+D327)&lt;66,(E327+F327)&lt;66,G327&lt;33,(H327+I327)&lt;66,Y327,Z327,AA327,R327&lt;8.25)</f>
        <v/>
      </c>
      <c r="AC327">
        <f>IF(C327+D327&lt;66,0,IF((C327+D327)/2&gt;=80,5,IF((C327+D327)/2&gt;=70,4,IF((C327+D327)/2&gt;=60,3.5,IF((C327+D327)/2&gt;=50,3,IF((C327+D327)/2&gt;=40,2,IF((C327+D327)/2&gt;=33,1,0)))))))</f>
        <v/>
      </c>
      <c r="AD327">
        <f>IF(E327+F327&lt;66,0,IF((E327+F327)/2&gt;=80,5,IF((E327+F327)/2&gt;=70,4,IF((E327+F327)/2&gt;=60,3.5,IF((E327+F327)/2&gt;=50,3,IF((E327+F327)/2&gt;=40,2,IF((E327+F327)/2&gt;=33,1,0)))))))</f>
        <v/>
      </c>
      <c r="AE327">
        <f>IF(G327&lt;33,0,IF(G327&gt;=80,5,IF(G327&gt;=70,4,IF(G327&gt;=60,3.5,IF(G327&gt;=50,3,IF(G327&gt;=40,2,IF(G327&gt;=33,1,0)))))))</f>
        <v/>
      </c>
      <c r="AF327">
        <f>IF(H327+I327&lt;66,0,IF((H327+I327)/2&gt;=80,5,IF((H327+I327)/2&gt;=70,4,IF((H327+I327)/2&gt;=60,3.5,IF((H327+I327)/2&gt;=50,3,IF((H327+I327)/2&gt;=40,2,IF((H327+I327)/2&gt;=33,1,0)))))))</f>
        <v/>
      </c>
      <c r="AG327">
        <f>IF(Y327,0,IF((J327+K327+L327+M327)/2&gt;=80,5,IF((J327+K327+L327+M327)/2&gt;=70,4,IF((J327+K327+L327+M327)/2&gt;=60,3.5,IF((J327+K327+L327+M327)/2&gt;=50,3,IF((J327+K327+L327+M327)/2&gt;=40,2,IF((J327+K327+L327+M327)/2&gt;=33,1,0)))))))</f>
        <v/>
      </c>
      <c r="AH327">
        <f>IF(Z327,0,IF(N327+O327&gt;=80,5,IF(N327+O327&gt;=70,4,IF(N327+O327&gt;=60,3.5,IF(N327+O327&gt;=50,3,IF(N327+O327&gt;=40,2,IF(N327+O327&gt;=33,1,0)))))))</f>
        <v/>
      </c>
      <c r="AI327">
        <f>IF(AA327,0,IF(P327+Q327&gt;=80,5,IF(P327+Q327&gt;=70,4,IF(P327+Q327&gt;=60,3.5,IF(P327+Q327&gt;=50,3,IF(P327+Q327&gt;=40,2,IF(P327+Q327&gt;=33,1,0)))))))</f>
        <v/>
      </c>
      <c r="AJ327">
        <f>IF(R327&lt;8.25,0,IF(R327*2&gt;=80,5,IF(R327*2&gt;=70,4,IF(R327*2&gt;=60,3.5,IF(R327*2&gt;=50,3,IF(R327*2&gt;=40,2,IF(R327*2&gt;=33,1,0)))))))</f>
        <v/>
      </c>
      <c r="AK327">
        <f>IF(S327&lt;33,0,IF(S327&gt;=80,5,IF(S327&gt;=70,4,IF(S327&gt;=60,3.5,IF(S327&gt;=50,3,IF(S327&gt;=40,2,IF(S327&gt;=33,1,0)))))))</f>
        <v/>
      </c>
      <c r="AL327">
        <f>(AC327+AD327+AE327+AF327+AG327+AH327+AI327+AJ327)/8</f>
        <v/>
      </c>
      <c r="AM327">
        <f>IF(AK327&gt;=2,(AK327-2)/8,0)</f>
        <v/>
      </c>
    </row>
    <row r="328">
      <c r="T328">
        <f>SUM(C328:R328)</f>
        <v/>
      </c>
      <c r="U328" s="6">
        <f>ROUND(T328/11.5,2)</f>
        <v/>
      </c>
      <c r="V328" s="7">
        <f>IF(B328="","",IF(AB328,0,ROUND(AL328,2)))</f>
        <v/>
      </c>
      <c r="W328" s="7">
        <f>IF(B328="","",IF(AB328,0,MIN(5,ROUND(AL328+AM328,2))))</f>
        <v/>
      </c>
      <c r="X328" s="8">
        <f>IF(B328="","",IF(W328&gt;=5,"A+",IF(W328&gt;=4,"A",IF(W328&gt;=3.5,"A-",IF(W328&gt;=3,"B",IF(W328&gt;=2,"C",IF(W328&gt;=1,"D","F")))))))</f>
        <v/>
      </c>
      <c r="Y328">
        <f>NOT(OR(AND(J328&gt;=10,K328&gt;=23,L328&gt;=10,M328&gt;=23),AND(J328+L328&gt;=20,K328+M328&gt;=46)))</f>
        <v/>
      </c>
      <c r="Z328">
        <f>OR(N328&lt;10,O328&lt;23)</f>
        <v/>
      </c>
      <c r="AA328">
        <f>OR(P328&lt;10,Q328&lt;23)</f>
        <v/>
      </c>
      <c r="AB328">
        <f>OR((C328+D328)&lt;66,(E328+F328)&lt;66,G328&lt;33,(H328+I328)&lt;66,Y328,Z328,AA328,R328&lt;8.25)</f>
        <v/>
      </c>
      <c r="AC328">
        <f>IF(C328+D328&lt;66,0,IF((C328+D328)/2&gt;=80,5,IF((C328+D328)/2&gt;=70,4,IF((C328+D328)/2&gt;=60,3.5,IF((C328+D328)/2&gt;=50,3,IF((C328+D328)/2&gt;=40,2,IF((C328+D328)/2&gt;=33,1,0)))))))</f>
        <v/>
      </c>
      <c r="AD328">
        <f>IF(E328+F328&lt;66,0,IF((E328+F328)/2&gt;=80,5,IF((E328+F328)/2&gt;=70,4,IF((E328+F328)/2&gt;=60,3.5,IF((E328+F328)/2&gt;=50,3,IF((E328+F328)/2&gt;=40,2,IF((E328+F328)/2&gt;=33,1,0)))))))</f>
        <v/>
      </c>
      <c r="AE328">
        <f>IF(G328&lt;33,0,IF(G328&gt;=80,5,IF(G328&gt;=70,4,IF(G328&gt;=60,3.5,IF(G328&gt;=50,3,IF(G328&gt;=40,2,IF(G328&gt;=33,1,0)))))))</f>
        <v/>
      </c>
      <c r="AF328">
        <f>IF(H328+I328&lt;66,0,IF((H328+I328)/2&gt;=80,5,IF((H328+I328)/2&gt;=70,4,IF((H328+I328)/2&gt;=60,3.5,IF((H328+I328)/2&gt;=50,3,IF((H328+I328)/2&gt;=40,2,IF((H328+I328)/2&gt;=33,1,0)))))))</f>
        <v/>
      </c>
      <c r="AG328">
        <f>IF(Y328,0,IF((J328+K328+L328+M328)/2&gt;=80,5,IF((J328+K328+L328+M328)/2&gt;=70,4,IF((J328+K328+L328+M328)/2&gt;=60,3.5,IF((J328+K328+L328+M328)/2&gt;=50,3,IF((J328+K328+L328+M328)/2&gt;=40,2,IF((J328+K328+L328+M328)/2&gt;=33,1,0)))))))</f>
        <v/>
      </c>
      <c r="AH328">
        <f>IF(Z328,0,IF(N328+O328&gt;=80,5,IF(N328+O328&gt;=70,4,IF(N328+O328&gt;=60,3.5,IF(N328+O328&gt;=50,3,IF(N328+O328&gt;=40,2,IF(N328+O328&gt;=33,1,0)))))))</f>
        <v/>
      </c>
      <c r="AI328">
        <f>IF(AA328,0,IF(P328+Q328&gt;=80,5,IF(P328+Q328&gt;=70,4,IF(P328+Q328&gt;=60,3.5,IF(P328+Q328&gt;=50,3,IF(P328+Q328&gt;=40,2,IF(P328+Q328&gt;=33,1,0)))))))</f>
        <v/>
      </c>
      <c r="AJ328">
        <f>IF(R328&lt;8.25,0,IF(R328*2&gt;=80,5,IF(R328*2&gt;=70,4,IF(R328*2&gt;=60,3.5,IF(R328*2&gt;=50,3,IF(R328*2&gt;=40,2,IF(R328*2&gt;=33,1,0)))))))</f>
        <v/>
      </c>
      <c r="AK328">
        <f>IF(S328&lt;33,0,IF(S328&gt;=80,5,IF(S328&gt;=70,4,IF(S328&gt;=60,3.5,IF(S328&gt;=50,3,IF(S328&gt;=40,2,IF(S328&gt;=33,1,0)))))))</f>
        <v/>
      </c>
      <c r="AL328">
        <f>(AC328+AD328+AE328+AF328+AG328+AH328+AI328+AJ328)/8</f>
        <v/>
      </c>
      <c r="AM328">
        <f>IF(AK328&gt;=2,(AK328-2)/8,0)</f>
        <v/>
      </c>
    </row>
    <row r="329">
      <c r="T329">
        <f>SUM(C329:R329)</f>
        <v/>
      </c>
      <c r="U329" s="6">
        <f>ROUND(T329/11.5,2)</f>
        <v/>
      </c>
      <c r="V329" s="7">
        <f>IF(B329="","",IF(AB329,0,ROUND(AL329,2)))</f>
        <v/>
      </c>
      <c r="W329" s="7">
        <f>IF(B329="","",IF(AB329,0,MIN(5,ROUND(AL329+AM329,2))))</f>
        <v/>
      </c>
      <c r="X329" s="8">
        <f>IF(B329="","",IF(W329&gt;=5,"A+",IF(W329&gt;=4,"A",IF(W329&gt;=3.5,"A-",IF(W329&gt;=3,"B",IF(W329&gt;=2,"C",IF(W329&gt;=1,"D","F")))))))</f>
        <v/>
      </c>
      <c r="Y329">
        <f>NOT(OR(AND(J329&gt;=10,K329&gt;=23,L329&gt;=10,M329&gt;=23),AND(J329+L329&gt;=20,K329+M329&gt;=46)))</f>
        <v/>
      </c>
      <c r="Z329">
        <f>OR(N329&lt;10,O329&lt;23)</f>
        <v/>
      </c>
      <c r="AA329">
        <f>OR(P329&lt;10,Q329&lt;23)</f>
        <v/>
      </c>
      <c r="AB329">
        <f>OR((C329+D329)&lt;66,(E329+F329)&lt;66,G329&lt;33,(H329+I329)&lt;66,Y329,Z329,AA329,R329&lt;8.25)</f>
        <v/>
      </c>
      <c r="AC329">
        <f>IF(C329+D329&lt;66,0,IF((C329+D329)/2&gt;=80,5,IF((C329+D329)/2&gt;=70,4,IF((C329+D329)/2&gt;=60,3.5,IF((C329+D329)/2&gt;=50,3,IF((C329+D329)/2&gt;=40,2,IF((C329+D329)/2&gt;=33,1,0)))))))</f>
        <v/>
      </c>
      <c r="AD329">
        <f>IF(E329+F329&lt;66,0,IF((E329+F329)/2&gt;=80,5,IF((E329+F329)/2&gt;=70,4,IF((E329+F329)/2&gt;=60,3.5,IF((E329+F329)/2&gt;=50,3,IF((E329+F329)/2&gt;=40,2,IF((E329+F329)/2&gt;=33,1,0)))))))</f>
        <v/>
      </c>
      <c r="AE329">
        <f>IF(G329&lt;33,0,IF(G329&gt;=80,5,IF(G329&gt;=70,4,IF(G329&gt;=60,3.5,IF(G329&gt;=50,3,IF(G329&gt;=40,2,IF(G329&gt;=33,1,0)))))))</f>
        <v/>
      </c>
      <c r="AF329">
        <f>IF(H329+I329&lt;66,0,IF((H329+I329)/2&gt;=80,5,IF((H329+I329)/2&gt;=70,4,IF((H329+I329)/2&gt;=60,3.5,IF((H329+I329)/2&gt;=50,3,IF((H329+I329)/2&gt;=40,2,IF((H329+I329)/2&gt;=33,1,0)))))))</f>
        <v/>
      </c>
      <c r="AG329">
        <f>IF(Y329,0,IF((J329+K329+L329+M329)/2&gt;=80,5,IF((J329+K329+L329+M329)/2&gt;=70,4,IF((J329+K329+L329+M329)/2&gt;=60,3.5,IF((J329+K329+L329+M329)/2&gt;=50,3,IF((J329+K329+L329+M329)/2&gt;=40,2,IF((J329+K329+L329+M329)/2&gt;=33,1,0)))))))</f>
        <v/>
      </c>
      <c r="AH329">
        <f>IF(Z329,0,IF(N329+O329&gt;=80,5,IF(N329+O329&gt;=70,4,IF(N329+O329&gt;=60,3.5,IF(N329+O329&gt;=50,3,IF(N329+O329&gt;=40,2,IF(N329+O329&gt;=33,1,0)))))))</f>
        <v/>
      </c>
      <c r="AI329">
        <f>IF(AA329,0,IF(P329+Q329&gt;=80,5,IF(P329+Q329&gt;=70,4,IF(P329+Q329&gt;=60,3.5,IF(P329+Q329&gt;=50,3,IF(P329+Q329&gt;=40,2,IF(P329+Q329&gt;=33,1,0)))))))</f>
        <v/>
      </c>
      <c r="AJ329">
        <f>IF(R329&lt;8.25,0,IF(R329*2&gt;=80,5,IF(R329*2&gt;=70,4,IF(R329*2&gt;=60,3.5,IF(R329*2&gt;=50,3,IF(R329*2&gt;=40,2,IF(R329*2&gt;=33,1,0)))))))</f>
        <v/>
      </c>
      <c r="AK329">
        <f>IF(S329&lt;33,0,IF(S329&gt;=80,5,IF(S329&gt;=70,4,IF(S329&gt;=60,3.5,IF(S329&gt;=50,3,IF(S329&gt;=40,2,IF(S329&gt;=33,1,0)))))))</f>
        <v/>
      </c>
      <c r="AL329">
        <f>(AC329+AD329+AE329+AF329+AG329+AH329+AI329+AJ329)/8</f>
        <v/>
      </c>
      <c r="AM329">
        <f>IF(AK329&gt;=2,(AK329-2)/8,0)</f>
        <v/>
      </c>
    </row>
    <row r="330">
      <c r="T330">
        <f>SUM(C330:R330)</f>
        <v/>
      </c>
      <c r="U330" s="6">
        <f>ROUND(T330/11.5,2)</f>
        <v/>
      </c>
      <c r="V330" s="7">
        <f>IF(B330="","",IF(AB330,0,ROUND(AL330,2)))</f>
        <v/>
      </c>
      <c r="W330" s="7">
        <f>IF(B330="","",IF(AB330,0,MIN(5,ROUND(AL330+AM330,2))))</f>
        <v/>
      </c>
      <c r="X330" s="8">
        <f>IF(B330="","",IF(W330&gt;=5,"A+",IF(W330&gt;=4,"A",IF(W330&gt;=3.5,"A-",IF(W330&gt;=3,"B",IF(W330&gt;=2,"C",IF(W330&gt;=1,"D","F")))))))</f>
        <v/>
      </c>
      <c r="Y330">
        <f>NOT(OR(AND(J330&gt;=10,K330&gt;=23,L330&gt;=10,M330&gt;=23),AND(J330+L330&gt;=20,K330+M330&gt;=46)))</f>
        <v/>
      </c>
      <c r="Z330">
        <f>OR(N330&lt;10,O330&lt;23)</f>
        <v/>
      </c>
      <c r="AA330">
        <f>OR(P330&lt;10,Q330&lt;23)</f>
        <v/>
      </c>
      <c r="AB330">
        <f>OR((C330+D330)&lt;66,(E330+F330)&lt;66,G330&lt;33,(H330+I330)&lt;66,Y330,Z330,AA330,R330&lt;8.25)</f>
        <v/>
      </c>
      <c r="AC330">
        <f>IF(C330+D330&lt;66,0,IF((C330+D330)/2&gt;=80,5,IF((C330+D330)/2&gt;=70,4,IF((C330+D330)/2&gt;=60,3.5,IF((C330+D330)/2&gt;=50,3,IF((C330+D330)/2&gt;=40,2,IF((C330+D330)/2&gt;=33,1,0)))))))</f>
        <v/>
      </c>
      <c r="AD330">
        <f>IF(E330+F330&lt;66,0,IF((E330+F330)/2&gt;=80,5,IF((E330+F330)/2&gt;=70,4,IF((E330+F330)/2&gt;=60,3.5,IF((E330+F330)/2&gt;=50,3,IF((E330+F330)/2&gt;=40,2,IF((E330+F330)/2&gt;=33,1,0)))))))</f>
        <v/>
      </c>
      <c r="AE330">
        <f>IF(G330&lt;33,0,IF(G330&gt;=80,5,IF(G330&gt;=70,4,IF(G330&gt;=60,3.5,IF(G330&gt;=50,3,IF(G330&gt;=40,2,IF(G330&gt;=33,1,0)))))))</f>
        <v/>
      </c>
      <c r="AF330">
        <f>IF(H330+I330&lt;66,0,IF((H330+I330)/2&gt;=80,5,IF((H330+I330)/2&gt;=70,4,IF((H330+I330)/2&gt;=60,3.5,IF((H330+I330)/2&gt;=50,3,IF((H330+I330)/2&gt;=40,2,IF((H330+I330)/2&gt;=33,1,0)))))))</f>
        <v/>
      </c>
      <c r="AG330">
        <f>IF(Y330,0,IF((J330+K330+L330+M330)/2&gt;=80,5,IF((J330+K330+L330+M330)/2&gt;=70,4,IF((J330+K330+L330+M330)/2&gt;=60,3.5,IF((J330+K330+L330+M330)/2&gt;=50,3,IF((J330+K330+L330+M330)/2&gt;=40,2,IF((J330+K330+L330+M330)/2&gt;=33,1,0)))))))</f>
        <v/>
      </c>
      <c r="AH330">
        <f>IF(Z330,0,IF(N330+O330&gt;=80,5,IF(N330+O330&gt;=70,4,IF(N330+O330&gt;=60,3.5,IF(N330+O330&gt;=50,3,IF(N330+O330&gt;=40,2,IF(N330+O330&gt;=33,1,0)))))))</f>
        <v/>
      </c>
      <c r="AI330">
        <f>IF(AA330,0,IF(P330+Q330&gt;=80,5,IF(P330+Q330&gt;=70,4,IF(P330+Q330&gt;=60,3.5,IF(P330+Q330&gt;=50,3,IF(P330+Q330&gt;=40,2,IF(P330+Q330&gt;=33,1,0)))))))</f>
        <v/>
      </c>
      <c r="AJ330">
        <f>IF(R330&lt;8.25,0,IF(R330*2&gt;=80,5,IF(R330*2&gt;=70,4,IF(R330*2&gt;=60,3.5,IF(R330*2&gt;=50,3,IF(R330*2&gt;=40,2,IF(R330*2&gt;=33,1,0)))))))</f>
        <v/>
      </c>
      <c r="AK330">
        <f>IF(S330&lt;33,0,IF(S330&gt;=80,5,IF(S330&gt;=70,4,IF(S330&gt;=60,3.5,IF(S330&gt;=50,3,IF(S330&gt;=40,2,IF(S330&gt;=33,1,0)))))))</f>
        <v/>
      </c>
      <c r="AL330">
        <f>(AC330+AD330+AE330+AF330+AG330+AH330+AI330+AJ330)/8</f>
        <v/>
      </c>
      <c r="AM330">
        <f>IF(AK330&gt;=2,(AK330-2)/8,0)</f>
        <v/>
      </c>
    </row>
    <row r="331">
      <c r="T331">
        <f>SUM(C331:R331)</f>
        <v/>
      </c>
      <c r="U331" s="6">
        <f>ROUND(T331/11.5,2)</f>
        <v/>
      </c>
      <c r="V331" s="7">
        <f>IF(B331="","",IF(AB331,0,ROUND(AL331,2)))</f>
        <v/>
      </c>
      <c r="W331" s="7">
        <f>IF(B331="","",IF(AB331,0,MIN(5,ROUND(AL331+AM331,2))))</f>
        <v/>
      </c>
      <c r="X331" s="8">
        <f>IF(B331="","",IF(W331&gt;=5,"A+",IF(W331&gt;=4,"A",IF(W331&gt;=3.5,"A-",IF(W331&gt;=3,"B",IF(W331&gt;=2,"C",IF(W331&gt;=1,"D","F")))))))</f>
        <v/>
      </c>
      <c r="Y331">
        <f>NOT(OR(AND(J331&gt;=10,K331&gt;=23,L331&gt;=10,M331&gt;=23),AND(J331+L331&gt;=20,K331+M331&gt;=46)))</f>
        <v/>
      </c>
      <c r="Z331">
        <f>OR(N331&lt;10,O331&lt;23)</f>
        <v/>
      </c>
      <c r="AA331">
        <f>OR(P331&lt;10,Q331&lt;23)</f>
        <v/>
      </c>
      <c r="AB331">
        <f>OR((C331+D331)&lt;66,(E331+F331)&lt;66,G331&lt;33,(H331+I331)&lt;66,Y331,Z331,AA331,R331&lt;8.25)</f>
        <v/>
      </c>
      <c r="AC331">
        <f>IF(C331+D331&lt;66,0,IF((C331+D331)/2&gt;=80,5,IF((C331+D331)/2&gt;=70,4,IF((C331+D331)/2&gt;=60,3.5,IF((C331+D331)/2&gt;=50,3,IF((C331+D331)/2&gt;=40,2,IF((C331+D331)/2&gt;=33,1,0)))))))</f>
        <v/>
      </c>
      <c r="AD331">
        <f>IF(E331+F331&lt;66,0,IF((E331+F331)/2&gt;=80,5,IF((E331+F331)/2&gt;=70,4,IF((E331+F331)/2&gt;=60,3.5,IF((E331+F331)/2&gt;=50,3,IF((E331+F331)/2&gt;=40,2,IF((E331+F331)/2&gt;=33,1,0)))))))</f>
        <v/>
      </c>
      <c r="AE331">
        <f>IF(G331&lt;33,0,IF(G331&gt;=80,5,IF(G331&gt;=70,4,IF(G331&gt;=60,3.5,IF(G331&gt;=50,3,IF(G331&gt;=40,2,IF(G331&gt;=33,1,0)))))))</f>
        <v/>
      </c>
      <c r="AF331">
        <f>IF(H331+I331&lt;66,0,IF((H331+I331)/2&gt;=80,5,IF((H331+I331)/2&gt;=70,4,IF((H331+I331)/2&gt;=60,3.5,IF((H331+I331)/2&gt;=50,3,IF((H331+I331)/2&gt;=40,2,IF((H331+I331)/2&gt;=33,1,0)))))))</f>
        <v/>
      </c>
      <c r="AG331">
        <f>IF(Y331,0,IF((J331+K331+L331+M331)/2&gt;=80,5,IF((J331+K331+L331+M331)/2&gt;=70,4,IF((J331+K331+L331+M331)/2&gt;=60,3.5,IF((J331+K331+L331+M331)/2&gt;=50,3,IF((J331+K331+L331+M331)/2&gt;=40,2,IF((J331+K331+L331+M331)/2&gt;=33,1,0)))))))</f>
        <v/>
      </c>
      <c r="AH331">
        <f>IF(Z331,0,IF(N331+O331&gt;=80,5,IF(N331+O331&gt;=70,4,IF(N331+O331&gt;=60,3.5,IF(N331+O331&gt;=50,3,IF(N331+O331&gt;=40,2,IF(N331+O331&gt;=33,1,0)))))))</f>
        <v/>
      </c>
      <c r="AI331">
        <f>IF(AA331,0,IF(P331+Q331&gt;=80,5,IF(P331+Q331&gt;=70,4,IF(P331+Q331&gt;=60,3.5,IF(P331+Q331&gt;=50,3,IF(P331+Q331&gt;=40,2,IF(P331+Q331&gt;=33,1,0)))))))</f>
        <v/>
      </c>
      <c r="AJ331">
        <f>IF(R331&lt;8.25,0,IF(R331*2&gt;=80,5,IF(R331*2&gt;=70,4,IF(R331*2&gt;=60,3.5,IF(R331*2&gt;=50,3,IF(R331*2&gt;=40,2,IF(R331*2&gt;=33,1,0)))))))</f>
        <v/>
      </c>
      <c r="AK331">
        <f>IF(S331&lt;33,0,IF(S331&gt;=80,5,IF(S331&gt;=70,4,IF(S331&gt;=60,3.5,IF(S331&gt;=50,3,IF(S331&gt;=40,2,IF(S331&gt;=33,1,0)))))))</f>
        <v/>
      </c>
      <c r="AL331">
        <f>(AC331+AD331+AE331+AF331+AG331+AH331+AI331+AJ331)/8</f>
        <v/>
      </c>
      <c r="AM331">
        <f>IF(AK331&gt;=2,(AK331-2)/8,0)</f>
        <v/>
      </c>
    </row>
    <row r="332">
      <c r="T332">
        <f>SUM(C332:R332)</f>
        <v/>
      </c>
      <c r="U332" s="6">
        <f>ROUND(T332/11.5,2)</f>
        <v/>
      </c>
      <c r="V332" s="7">
        <f>IF(B332="","",IF(AB332,0,ROUND(AL332,2)))</f>
        <v/>
      </c>
      <c r="W332" s="7">
        <f>IF(B332="","",IF(AB332,0,MIN(5,ROUND(AL332+AM332,2))))</f>
        <v/>
      </c>
      <c r="X332" s="8">
        <f>IF(B332="","",IF(W332&gt;=5,"A+",IF(W332&gt;=4,"A",IF(W332&gt;=3.5,"A-",IF(W332&gt;=3,"B",IF(W332&gt;=2,"C",IF(W332&gt;=1,"D","F")))))))</f>
        <v/>
      </c>
      <c r="Y332">
        <f>NOT(OR(AND(J332&gt;=10,K332&gt;=23,L332&gt;=10,M332&gt;=23),AND(J332+L332&gt;=20,K332+M332&gt;=46)))</f>
        <v/>
      </c>
      <c r="Z332">
        <f>OR(N332&lt;10,O332&lt;23)</f>
        <v/>
      </c>
      <c r="AA332">
        <f>OR(P332&lt;10,Q332&lt;23)</f>
        <v/>
      </c>
      <c r="AB332">
        <f>OR((C332+D332)&lt;66,(E332+F332)&lt;66,G332&lt;33,(H332+I332)&lt;66,Y332,Z332,AA332,R332&lt;8.25)</f>
        <v/>
      </c>
      <c r="AC332">
        <f>IF(C332+D332&lt;66,0,IF((C332+D332)/2&gt;=80,5,IF((C332+D332)/2&gt;=70,4,IF((C332+D332)/2&gt;=60,3.5,IF((C332+D332)/2&gt;=50,3,IF((C332+D332)/2&gt;=40,2,IF((C332+D332)/2&gt;=33,1,0)))))))</f>
        <v/>
      </c>
      <c r="AD332">
        <f>IF(E332+F332&lt;66,0,IF((E332+F332)/2&gt;=80,5,IF((E332+F332)/2&gt;=70,4,IF((E332+F332)/2&gt;=60,3.5,IF((E332+F332)/2&gt;=50,3,IF((E332+F332)/2&gt;=40,2,IF((E332+F332)/2&gt;=33,1,0)))))))</f>
        <v/>
      </c>
      <c r="AE332">
        <f>IF(G332&lt;33,0,IF(G332&gt;=80,5,IF(G332&gt;=70,4,IF(G332&gt;=60,3.5,IF(G332&gt;=50,3,IF(G332&gt;=40,2,IF(G332&gt;=33,1,0)))))))</f>
        <v/>
      </c>
      <c r="AF332">
        <f>IF(H332+I332&lt;66,0,IF((H332+I332)/2&gt;=80,5,IF((H332+I332)/2&gt;=70,4,IF((H332+I332)/2&gt;=60,3.5,IF((H332+I332)/2&gt;=50,3,IF((H332+I332)/2&gt;=40,2,IF((H332+I332)/2&gt;=33,1,0)))))))</f>
        <v/>
      </c>
      <c r="AG332">
        <f>IF(Y332,0,IF((J332+K332+L332+M332)/2&gt;=80,5,IF((J332+K332+L332+M332)/2&gt;=70,4,IF((J332+K332+L332+M332)/2&gt;=60,3.5,IF((J332+K332+L332+M332)/2&gt;=50,3,IF((J332+K332+L332+M332)/2&gt;=40,2,IF((J332+K332+L332+M332)/2&gt;=33,1,0)))))))</f>
        <v/>
      </c>
      <c r="AH332">
        <f>IF(Z332,0,IF(N332+O332&gt;=80,5,IF(N332+O332&gt;=70,4,IF(N332+O332&gt;=60,3.5,IF(N332+O332&gt;=50,3,IF(N332+O332&gt;=40,2,IF(N332+O332&gt;=33,1,0)))))))</f>
        <v/>
      </c>
      <c r="AI332">
        <f>IF(AA332,0,IF(P332+Q332&gt;=80,5,IF(P332+Q332&gt;=70,4,IF(P332+Q332&gt;=60,3.5,IF(P332+Q332&gt;=50,3,IF(P332+Q332&gt;=40,2,IF(P332+Q332&gt;=33,1,0)))))))</f>
        <v/>
      </c>
      <c r="AJ332">
        <f>IF(R332&lt;8.25,0,IF(R332*2&gt;=80,5,IF(R332*2&gt;=70,4,IF(R332*2&gt;=60,3.5,IF(R332*2&gt;=50,3,IF(R332*2&gt;=40,2,IF(R332*2&gt;=33,1,0)))))))</f>
        <v/>
      </c>
      <c r="AK332">
        <f>IF(S332&lt;33,0,IF(S332&gt;=80,5,IF(S332&gt;=70,4,IF(S332&gt;=60,3.5,IF(S332&gt;=50,3,IF(S332&gt;=40,2,IF(S332&gt;=33,1,0)))))))</f>
        <v/>
      </c>
      <c r="AL332">
        <f>(AC332+AD332+AE332+AF332+AG332+AH332+AI332+AJ332)/8</f>
        <v/>
      </c>
      <c r="AM332">
        <f>IF(AK332&gt;=2,(AK332-2)/8,0)</f>
        <v/>
      </c>
    </row>
    <row r="333">
      <c r="T333">
        <f>SUM(C333:R333)</f>
        <v/>
      </c>
      <c r="U333" s="6">
        <f>ROUND(T333/11.5,2)</f>
        <v/>
      </c>
      <c r="V333" s="7">
        <f>IF(B333="","",IF(AB333,0,ROUND(AL333,2)))</f>
        <v/>
      </c>
      <c r="W333" s="7">
        <f>IF(B333="","",IF(AB333,0,MIN(5,ROUND(AL333+AM333,2))))</f>
        <v/>
      </c>
      <c r="X333" s="8">
        <f>IF(B333="","",IF(W333&gt;=5,"A+",IF(W333&gt;=4,"A",IF(W333&gt;=3.5,"A-",IF(W333&gt;=3,"B",IF(W333&gt;=2,"C",IF(W333&gt;=1,"D","F")))))))</f>
        <v/>
      </c>
      <c r="Y333">
        <f>NOT(OR(AND(J333&gt;=10,K333&gt;=23,L333&gt;=10,M333&gt;=23),AND(J333+L333&gt;=20,K333+M333&gt;=46)))</f>
        <v/>
      </c>
      <c r="Z333">
        <f>OR(N333&lt;10,O333&lt;23)</f>
        <v/>
      </c>
      <c r="AA333">
        <f>OR(P333&lt;10,Q333&lt;23)</f>
        <v/>
      </c>
      <c r="AB333">
        <f>OR((C333+D333)&lt;66,(E333+F333)&lt;66,G333&lt;33,(H333+I333)&lt;66,Y333,Z333,AA333,R333&lt;8.25)</f>
        <v/>
      </c>
      <c r="AC333">
        <f>IF(C333+D333&lt;66,0,IF((C333+D333)/2&gt;=80,5,IF((C333+D333)/2&gt;=70,4,IF((C333+D333)/2&gt;=60,3.5,IF((C333+D333)/2&gt;=50,3,IF((C333+D333)/2&gt;=40,2,IF((C333+D333)/2&gt;=33,1,0)))))))</f>
        <v/>
      </c>
      <c r="AD333">
        <f>IF(E333+F333&lt;66,0,IF((E333+F333)/2&gt;=80,5,IF((E333+F333)/2&gt;=70,4,IF((E333+F333)/2&gt;=60,3.5,IF((E333+F333)/2&gt;=50,3,IF((E333+F333)/2&gt;=40,2,IF((E333+F333)/2&gt;=33,1,0)))))))</f>
        <v/>
      </c>
      <c r="AE333">
        <f>IF(G333&lt;33,0,IF(G333&gt;=80,5,IF(G333&gt;=70,4,IF(G333&gt;=60,3.5,IF(G333&gt;=50,3,IF(G333&gt;=40,2,IF(G333&gt;=33,1,0)))))))</f>
        <v/>
      </c>
      <c r="AF333">
        <f>IF(H333+I333&lt;66,0,IF((H333+I333)/2&gt;=80,5,IF((H333+I333)/2&gt;=70,4,IF((H333+I333)/2&gt;=60,3.5,IF((H333+I333)/2&gt;=50,3,IF((H333+I333)/2&gt;=40,2,IF((H333+I333)/2&gt;=33,1,0)))))))</f>
        <v/>
      </c>
      <c r="AG333">
        <f>IF(Y333,0,IF((J333+K333+L333+M333)/2&gt;=80,5,IF((J333+K333+L333+M333)/2&gt;=70,4,IF((J333+K333+L333+M333)/2&gt;=60,3.5,IF((J333+K333+L333+M333)/2&gt;=50,3,IF((J333+K333+L333+M333)/2&gt;=40,2,IF((J333+K333+L333+M333)/2&gt;=33,1,0)))))))</f>
        <v/>
      </c>
      <c r="AH333">
        <f>IF(Z333,0,IF(N333+O333&gt;=80,5,IF(N333+O333&gt;=70,4,IF(N333+O333&gt;=60,3.5,IF(N333+O333&gt;=50,3,IF(N333+O333&gt;=40,2,IF(N333+O333&gt;=33,1,0)))))))</f>
        <v/>
      </c>
      <c r="AI333">
        <f>IF(AA333,0,IF(P333+Q333&gt;=80,5,IF(P333+Q333&gt;=70,4,IF(P333+Q333&gt;=60,3.5,IF(P333+Q333&gt;=50,3,IF(P333+Q333&gt;=40,2,IF(P333+Q333&gt;=33,1,0)))))))</f>
        <v/>
      </c>
      <c r="AJ333">
        <f>IF(R333&lt;8.25,0,IF(R333*2&gt;=80,5,IF(R333*2&gt;=70,4,IF(R333*2&gt;=60,3.5,IF(R333*2&gt;=50,3,IF(R333*2&gt;=40,2,IF(R333*2&gt;=33,1,0)))))))</f>
        <v/>
      </c>
      <c r="AK333">
        <f>IF(S333&lt;33,0,IF(S333&gt;=80,5,IF(S333&gt;=70,4,IF(S333&gt;=60,3.5,IF(S333&gt;=50,3,IF(S333&gt;=40,2,IF(S333&gt;=33,1,0)))))))</f>
        <v/>
      </c>
      <c r="AL333">
        <f>(AC333+AD333+AE333+AF333+AG333+AH333+AI333+AJ333)/8</f>
        <v/>
      </c>
      <c r="AM333">
        <f>IF(AK333&gt;=2,(AK333-2)/8,0)</f>
        <v/>
      </c>
    </row>
    <row r="334">
      <c r="T334">
        <f>SUM(C334:R334)</f>
        <v/>
      </c>
      <c r="U334" s="6">
        <f>ROUND(T334/11.5,2)</f>
        <v/>
      </c>
      <c r="V334" s="7">
        <f>IF(B334="","",IF(AB334,0,ROUND(AL334,2)))</f>
        <v/>
      </c>
      <c r="W334" s="7">
        <f>IF(B334="","",IF(AB334,0,MIN(5,ROUND(AL334+AM334,2))))</f>
        <v/>
      </c>
      <c r="X334" s="8">
        <f>IF(B334="","",IF(W334&gt;=5,"A+",IF(W334&gt;=4,"A",IF(W334&gt;=3.5,"A-",IF(W334&gt;=3,"B",IF(W334&gt;=2,"C",IF(W334&gt;=1,"D","F")))))))</f>
        <v/>
      </c>
      <c r="Y334">
        <f>NOT(OR(AND(J334&gt;=10,K334&gt;=23,L334&gt;=10,M334&gt;=23),AND(J334+L334&gt;=20,K334+M334&gt;=46)))</f>
        <v/>
      </c>
      <c r="Z334">
        <f>OR(N334&lt;10,O334&lt;23)</f>
        <v/>
      </c>
      <c r="AA334">
        <f>OR(P334&lt;10,Q334&lt;23)</f>
        <v/>
      </c>
      <c r="AB334">
        <f>OR((C334+D334)&lt;66,(E334+F334)&lt;66,G334&lt;33,(H334+I334)&lt;66,Y334,Z334,AA334,R334&lt;8.25)</f>
        <v/>
      </c>
      <c r="AC334">
        <f>IF(C334+D334&lt;66,0,IF((C334+D334)/2&gt;=80,5,IF((C334+D334)/2&gt;=70,4,IF((C334+D334)/2&gt;=60,3.5,IF((C334+D334)/2&gt;=50,3,IF((C334+D334)/2&gt;=40,2,IF((C334+D334)/2&gt;=33,1,0)))))))</f>
        <v/>
      </c>
      <c r="AD334">
        <f>IF(E334+F334&lt;66,0,IF((E334+F334)/2&gt;=80,5,IF((E334+F334)/2&gt;=70,4,IF((E334+F334)/2&gt;=60,3.5,IF((E334+F334)/2&gt;=50,3,IF((E334+F334)/2&gt;=40,2,IF((E334+F334)/2&gt;=33,1,0)))))))</f>
        <v/>
      </c>
      <c r="AE334">
        <f>IF(G334&lt;33,0,IF(G334&gt;=80,5,IF(G334&gt;=70,4,IF(G334&gt;=60,3.5,IF(G334&gt;=50,3,IF(G334&gt;=40,2,IF(G334&gt;=33,1,0)))))))</f>
        <v/>
      </c>
      <c r="AF334">
        <f>IF(H334+I334&lt;66,0,IF((H334+I334)/2&gt;=80,5,IF((H334+I334)/2&gt;=70,4,IF((H334+I334)/2&gt;=60,3.5,IF((H334+I334)/2&gt;=50,3,IF((H334+I334)/2&gt;=40,2,IF((H334+I334)/2&gt;=33,1,0)))))))</f>
        <v/>
      </c>
      <c r="AG334">
        <f>IF(Y334,0,IF((J334+K334+L334+M334)/2&gt;=80,5,IF((J334+K334+L334+M334)/2&gt;=70,4,IF((J334+K334+L334+M334)/2&gt;=60,3.5,IF((J334+K334+L334+M334)/2&gt;=50,3,IF((J334+K334+L334+M334)/2&gt;=40,2,IF((J334+K334+L334+M334)/2&gt;=33,1,0)))))))</f>
        <v/>
      </c>
      <c r="AH334">
        <f>IF(Z334,0,IF(N334+O334&gt;=80,5,IF(N334+O334&gt;=70,4,IF(N334+O334&gt;=60,3.5,IF(N334+O334&gt;=50,3,IF(N334+O334&gt;=40,2,IF(N334+O334&gt;=33,1,0)))))))</f>
        <v/>
      </c>
      <c r="AI334">
        <f>IF(AA334,0,IF(P334+Q334&gt;=80,5,IF(P334+Q334&gt;=70,4,IF(P334+Q334&gt;=60,3.5,IF(P334+Q334&gt;=50,3,IF(P334+Q334&gt;=40,2,IF(P334+Q334&gt;=33,1,0)))))))</f>
        <v/>
      </c>
      <c r="AJ334">
        <f>IF(R334&lt;8.25,0,IF(R334*2&gt;=80,5,IF(R334*2&gt;=70,4,IF(R334*2&gt;=60,3.5,IF(R334*2&gt;=50,3,IF(R334*2&gt;=40,2,IF(R334*2&gt;=33,1,0)))))))</f>
        <v/>
      </c>
      <c r="AK334">
        <f>IF(S334&lt;33,0,IF(S334&gt;=80,5,IF(S334&gt;=70,4,IF(S334&gt;=60,3.5,IF(S334&gt;=50,3,IF(S334&gt;=40,2,IF(S334&gt;=33,1,0)))))))</f>
        <v/>
      </c>
      <c r="AL334">
        <f>(AC334+AD334+AE334+AF334+AG334+AH334+AI334+AJ334)/8</f>
        <v/>
      </c>
      <c r="AM334">
        <f>IF(AK334&gt;=2,(AK334-2)/8,0)</f>
        <v/>
      </c>
    </row>
    <row r="335">
      <c r="T335">
        <f>SUM(C335:R335)</f>
        <v/>
      </c>
      <c r="U335" s="6">
        <f>ROUND(T335/11.5,2)</f>
        <v/>
      </c>
      <c r="V335" s="7">
        <f>IF(B335="","",IF(AB335,0,ROUND(AL335,2)))</f>
        <v/>
      </c>
      <c r="W335" s="7">
        <f>IF(B335="","",IF(AB335,0,MIN(5,ROUND(AL335+AM335,2))))</f>
        <v/>
      </c>
      <c r="X335" s="8">
        <f>IF(B335="","",IF(W335&gt;=5,"A+",IF(W335&gt;=4,"A",IF(W335&gt;=3.5,"A-",IF(W335&gt;=3,"B",IF(W335&gt;=2,"C",IF(W335&gt;=1,"D","F")))))))</f>
        <v/>
      </c>
      <c r="Y335">
        <f>NOT(OR(AND(J335&gt;=10,K335&gt;=23,L335&gt;=10,M335&gt;=23),AND(J335+L335&gt;=20,K335+M335&gt;=46)))</f>
        <v/>
      </c>
      <c r="Z335">
        <f>OR(N335&lt;10,O335&lt;23)</f>
        <v/>
      </c>
      <c r="AA335">
        <f>OR(P335&lt;10,Q335&lt;23)</f>
        <v/>
      </c>
      <c r="AB335">
        <f>OR((C335+D335)&lt;66,(E335+F335)&lt;66,G335&lt;33,(H335+I335)&lt;66,Y335,Z335,AA335,R335&lt;8.25)</f>
        <v/>
      </c>
      <c r="AC335">
        <f>IF(C335+D335&lt;66,0,IF((C335+D335)/2&gt;=80,5,IF((C335+D335)/2&gt;=70,4,IF((C335+D335)/2&gt;=60,3.5,IF((C335+D335)/2&gt;=50,3,IF((C335+D335)/2&gt;=40,2,IF((C335+D335)/2&gt;=33,1,0)))))))</f>
        <v/>
      </c>
      <c r="AD335">
        <f>IF(E335+F335&lt;66,0,IF((E335+F335)/2&gt;=80,5,IF((E335+F335)/2&gt;=70,4,IF((E335+F335)/2&gt;=60,3.5,IF((E335+F335)/2&gt;=50,3,IF((E335+F335)/2&gt;=40,2,IF((E335+F335)/2&gt;=33,1,0)))))))</f>
        <v/>
      </c>
      <c r="AE335">
        <f>IF(G335&lt;33,0,IF(G335&gt;=80,5,IF(G335&gt;=70,4,IF(G335&gt;=60,3.5,IF(G335&gt;=50,3,IF(G335&gt;=40,2,IF(G335&gt;=33,1,0)))))))</f>
        <v/>
      </c>
      <c r="AF335">
        <f>IF(H335+I335&lt;66,0,IF((H335+I335)/2&gt;=80,5,IF((H335+I335)/2&gt;=70,4,IF((H335+I335)/2&gt;=60,3.5,IF((H335+I335)/2&gt;=50,3,IF((H335+I335)/2&gt;=40,2,IF((H335+I335)/2&gt;=33,1,0)))))))</f>
        <v/>
      </c>
      <c r="AG335">
        <f>IF(Y335,0,IF((J335+K335+L335+M335)/2&gt;=80,5,IF((J335+K335+L335+M335)/2&gt;=70,4,IF((J335+K335+L335+M335)/2&gt;=60,3.5,IF((J335+K335+L335+M335)/2&gt;=50,3,IF((J335+K335+L335+M335)/2&gt;=40,2,IF((J335+K335+L335+M335)/2&gt;=33,1,0)))))))</f>
        <v/>
      </c>
      <c r="AH335">
        <f>IF(Z335,0,IF(N335+O335&gt;=80,5,IF(N335+O335&gt;=70,4,IF(N335+O335&gt;=60,3.5,IF(N335+O335&gt;=50,3,IF(N335+O335&gt;=40,2,IF(N335+O335&gt;=33,1,0)))))))</f>
        <v/>
      </c>
      <c r="AI335">
        <f>IF(AA335,0,IF(P335+Q335&gt;=80,5,IF(P335+Q335&gt;=70,4,IF(P335+Q335&gt;=60,3.5,IF(P335+Q335&gt;=50,3,IF(P335+Q335&gt;=40,2,IF(P335+Q335&gt;=33,1,0)))))))</f>
        <v/>
      </c>
      <c r="AJ335">
        <f>IF(R335&lt;8.25,0,IF(R335*2&gt;=80,5,IF(R335*2&gt;=70,4,IF(R335*2&gt;=60,3.5,IF(R335*2&gt;=50,3,IF(R335*2&gt;=40,2,IF(R335*2&gt;=33,1,0)))))))</f>
        <v/>
      </c>
      <c r="AK335">
        <f>IF(S335&lt;33,0,IF(S335&gt;=80,5,IF(S335&gt;=70,4,IF(S335&gt;=60,3.5,IF(S335&gt;=50,3,IF(S335&gt;=40,2,IF(S335&gt;=33,1,0)))))))</f>
        <v/>
      </c>
      <c r="AL335">
        <f>(AC335+AD335+AE335+AF335+AG335+AH335+AI335+AJ335)/8</f>
        <v/>
      </c>
      <c r="AM335">
        <f>IF(AK335&gt;=2,(AK335-2)/8,0)</f>
        <v/>
      </c>
    </row>
    <row r="336">
      <c r="T336">
        <f>SUM(C336:R336)</f>
        <v/>
      </c>
      <c r="U336" s="6">
        <f>ROUND(T336/11.5,2)</f>
        <v/>
      </c>
      <c r="V336" s="7">
        <f>IF(B336="","",IF(AB336,0,ROUND(AL336,2)))</f>
        <v/>
      </c>
      <c r="W336" s="7">
        <f>IF(B336="","",IF(AB336,0,MIN(5,ROUND(AL336+AM336,2))))</f>
        <v/>
      </c>
      <c r="X336" s="8">
        <f>IF(B336="","",IF(W336&gt;=5,"A+",IF(W336&gt;=4,"A",IF(W336&gt;=3.5,"A-",IF(W336&gt;=3,"B",IF(W336&gt;=2,"C",IF(W336&gt;=1,"D","F")))))))</f>
        <v/>
      </c>
      <c r="Y336">
        <f>NOT(OR(AND(J336&gt;=10,K336&gt;=23,L336&gt;=10,M336&gt;=23),AND(J336+L336&gt;=20,K336+M336&gt;=46)))</f>
        <v/>
      </c>
      <c r="Z336">
        <f>OR(N336&lt;10,O336&lt;23)</f>
        <v/>
      </c>
      <c r="AA336">
        <f>OR(P336&lt;10,Q336&lt;23)</f>
        <v/>
      </c>
      <c r="AB336">
        <f>OR((C336+D336)&lt;66,(E336+F336)&lt;66,G336&lt;33,(H336+I336)&lt;66,Y336,Z336,AA336,R336&lt;8.25)</f>
        <v/>
      </c>
      <c r="AC336">
        <f>IF(C336+D336&lt;66,0,IF((C336+D336)/2&gt;=80,5,IF((C336+D336)/2&gt;=70,4,IF((C336+D336)/2&gt;=60,3.5,IF((C336+D336)/2&gt;=50,3,IF((C336+D336)/2&gt;=40,2,IF((C336+D336)/2&gt;=33,1,0)))))))</f>
        <v/>
      </c>
      <c r="AD336">
        <f>IF(E336+F336&lt;66,0,IF((E336+F336)/2&gt;=80,5,IF((E336+F336)/2&gt;=70,4,IF((E336+F336)/2&gt;=60,3.5,IF((E336+F336)/2&gt;=50,3,IF((E336+F336)/2&gt;=40,2,IF((E336+F336)/2&gt;=33,1,0)))))))</f>
        <v/>
      </c>
      <c r="AE336">
        <f>IF(G336&lt;33,0,IF(G336&gt;=80,5,IF(G336&gt;=70,4,IF(G336&gt;=60,3.5,IF(G336&gt;=50,3,IF(G336&gt;=40,2,IF(G336&gt;=33,1,0)))))))</f>
        <v/>
      </c>
      <c r="AF336">
        <f>IF(H336+I336&lt;66,0,IF((H336+I336)/2&gt;=80,5,IF((H336+I336)/2&gt;=70,4,IF((H336+I336)/2&gt;=60,3.5,IF((H336+I336)/2&gt;=50,3,IF((H336+I336)/2&gt;=40,2,IF((H336+I336)/2&gt;=33,1,0)))))))</f>
        <v/>
      </c>
      <c r="AG336">
        <f>IF(Y336,0,IF((J336+K336+L336+M336)/2&gt;=80,5,IF((J336+K336+L336+M336)/2&gt;=70,4,IF((J336+K336+L336+M336)/2&gt;=60,3.5,IF((J336+K336+L336+M336)/2&gt;=50,3,IF((J336+K336+L336+M336)/2&gt;=40,2,IF((J336+K336+L336+M336)/2&gt;=33,1,0)))))))</f>
        <v/>
      </c>
      <c r="AH336">
        <f>IF(Z336,0,IF(N336+O336&gt;=80,5,IF(N336+O336&gt;=70,4,IF(N336+O336&gt;=60,3.5,IF(N336+O336&gt;=50,3,IF(N336+O336&gt;=40,2,IF(N336+O336&gt;=33,1,0)))))))</f>
        <v/>
      </c>
      <c r="AI336">
        <f>IF(AA336,0,IF(P336+Q336&gt;=80,5,IF(P336+Q336&gt;=70,4,IF(P336+Q336&gt;=60,3.5,IF(P336+Q336&gt;=50,3,IF(P336+Q336&gt;=40,2,IF(P336+Q336&gt;=33,1,0)))))))</f>
        <v/>
      </c>
      <c r="AJ336">
        <f>IF(R336&lt;8.25,0,IF(R336*2&gt;=80,5,IF(R336*2&gt;=70,4,IF(R336*2&gt;=60,3.5,IF(R336*2&gt;=50,3,IF(R336*2&gt;=40,2,IF(R336*2&gt;=33,1,0)))))))</f>
        <v/>
      </c>
      <c r="AK336">
        <f>IF(S336&lt;33,0,IF(S336&gt;=80,5,IF(S336&gt;=70,4,IF(S336&gt;=60,3.5,IF(S336&gt;=50,3,IF(S336&gt;=40,2,IF(S336&gt;=33,1,0)))))))</f>
        <v/>
      </c>
      <c r="AL336">
        <f>(AC336+AD336+AE336+AF336+AG336+AH336+AI336+AJ336)/8</f>
        <v/>
      </c>
      <c r="AM336">
        <f>IF(AK336&gt;=2,(AK336-2)/8,0)</f>
        <v/>
      </c>
    </row>
    <row r="337">
      <c r="T337">
        <f>SUM(C337:R337)</f>
        <v/>
      </c>
      <c r="U337" s="6">
        <f>ROUND(T337/11.5,2)</f>
        <v/>
      </c>
      <c r="V337" s="7">
        <f>IF(B337="","",IF(AB337,0,ROUND(AL337,2)))</f>
        <v/>
      </c>
      <c r="W337" s="7">
        <f>IF(B337="","",IF(AB337,0,MIN(5,ROUND(AL337+AM337,2))))</f>
        <v/>
      </c>
      <c r="X337" s="8">
        <f>IF(B337="","",IF(W337&gt;=5,"A+",IF(W337&gt;=4,"A",IF(W337&gt;=3.5,"A-",IF(W337&gt;=3,"B",IF(W337&gt;=2,"C",IF(W337&gt;=1,"D","F")))))))</f>
        <v/>
      </c>
      <c r="Y337">
        <f>NOT(OR(AND(J337&gt;=10,K337&gt;=23,L337&gt;=10,M337&gt;=23),AND(J337+L337&gt;=20,K337+M337&gt;=46)))</f>
        <v/>
      </c>
      <c r="Z337">
        <f>OR(N337&lt;10,O337&lt;23)</f>
        <v/>
      </c>
      <c r="AA337">
        <f>OR(P337&lt;10,Q337&lt;23)</f>
        <v/>
      </c>
      <c r="AB337">
        <f>OR((C337+D337)&lt;66,(E337+F337)&lt;66,G337&lt;33,(H337+I337)&lt;66,Y337,Z337,AA337,R337&lt;8.25)</f>
        <v/>
      </c>
      <c r="AC337">
        <f>IF(C337+D337&lt;66,0,IF((C337+D337)/2&gt;=80,5,IF((C337+D337)/2&gt;=70,4,IF((C337+D337)/2&gt;=60,3.5,IF((C337+D337)/2&gt;=50,3,IF((C337+D337)/2&gt;=40,2,IF((C337+D337)/2&gt;=33,1,0)))))))</f>
        <v/>
      </c>
      <c r="AD337">
        <f>IF(E337+F337&lt;66,0,IF((E337+F337)/2&gt;=80,5,IF((E337+F337)/2&gt;=70,4,IF((E337+F337)/2&gt;=60,3.5,IF((E337+F337)/2&gt;=50,3,IF((E337+F337)/2&gt;=40,2,IF((E337+F337)/2&gt;=33,1,0)))))))</f>
        <v/>
      </c>
      <c r="AE337">
        <f>IF(G337&lt;33,0,IF(G337&gt;=80,5,IF(G337&gt;=70,4,IF(G337&gt;=60,3.5,IF(G337&gt;=50,3,IF(G337&gt;=40,2,IF(G337&gt;=33,1,0)))))))</f>
        <v/>
      </c>
      <c r="AF337">
        <f>IF(H337+I337&lt;66,0,IF((H337+I337)/2&gt;=80,5,IF((H337+I337)/2&gt;=70,4,IF((H337+I337)/2&gt;=60,3.5,IF((H337+I337)/2&gt;=50,3,IF((H337+I337)/2&gt;=40,2,IF((H337+I337)/2&gt;=33,1,0)))))))</f>
        <v/>
      </c>
      <c r="AG337">
        <f>IF(Y337,0,IF((J337+K337+L337+M337)/2&gt;=80,5,IF((J337+K337+L337+M337)/2&gt;=70,4,IF((J337+K337+L337+M337)/2&gt;=60,3.5,IF((J337+K337+L337+M337)/2&gt;=50,3,IF((J337+K337+L337+M337)/2&gt;=40,2,IF((J337+K337+L337+M337)/2&gt;=33,1,0)))))))</f>
        <v/>
      </c>
      <c r="AH337">
        <f>IF(Z337,0,IF(N337+O337&gt;=80,5,IF(N337+O337&gt;=70,4,IF(N337+O337&gt;=60,3.5,IF(N337+O337&gt;=50,3,IF(N337+O337&gt;=40,2,IF(N337+O337&gt;=33,1,0)))))))</f>
        <v/>
      </c>
      <c r="AI337">
        <f>IF(AA337,0,IF(P337+Q337&gt;=80,5,IF(P337+Q337&gt;=70,4,IF(P337+Q337&gt;=60,3.5,IF(P337+Q337&gt;=50,3,IF(P337+Q337&gt;=40,2,IF(P337+Q337&gt;=33,1,0)))))))</f>
        <v/>
      </c>
      <c r="AJ337">
        <f>IF(R337&lt;8.25,0,IF(R337*2&gt;=80,5,IF(R337*2&gt;=70,4,IF(R337*2&gt;=60,3.5,IF(R337*2&gt;=50,3,IF(R337*2&gt;=40,2,IF(R337*2&gt;=33,1,0)))))))</f>
        <v/>
      </c>
      <c r="AK337">
        <f>IF(S337&lt;33,0,IF(S337&gt;=80,5,IF(S337&gt;=70,4,IF(S337&gt;=60,3.5,IF(S337&gt;=50,3,IF(S337&gt;=40,2,IF(S337&gt;=33,1,0)))))))</f>
        <v/>
      </c>
      <c r="AL337">
        <f>(AC337+AD337+AE337+AF337+AG337+AH337+AI337+AJ337)/8</f>
        <v/>
      </c>
      <c r="AM337">
        <f>IF(AK337&gt;=2,(AK337-2)/8,0)</f>
        <v/>
      </c>
    </row>
    <row r="338">
      <c r="T338">
        <f>SUM(C338:R338)</f>
        <v/>
      </c>
      <c r="U338" s="6">
        <f>ROUND(T338/11.5,2)</f>
        <v/>
      </c>
      <c r="V338" s="7">
        <f>IF(B338="","",IF(AB338,0,ROUND(AL338,2)))</f>
        <v/>
      </c>
      <c r="W338" s="7">
        <f>IF(B338="","",IF(AB338,0,MIN(5,ROUND(AL338+AM338,2))))</f>
        <v/>
      </c>
      <c r="X338" s="8">
        <f>IF(B338="","",IF(W338&gt;=5,"A+",IF(W338&gt;=4,"A",IF(W338&gt;=3.5,"A-",IF(W338&gt;=3,"B",IF(W338&gt;=2,"C",IF(W338&gt;=1,"D","F")))))))</f>
        <v/>
      </c>
      <c r="Y338">
        <f>NOT(OR(AND(J338&gt;=10,K338&gt;=23,L338&gt;=10,M338&gt;=23),AND(J338+L338&gt;=20,K338+M338&gt;=46)))</f>
        <v/>
      </c>
      <c r="Z338">
        <f>OR(N338&lt;10,O338&lt;23)</f>
        <v/>
      </c>
      <c r="AA338">
        <f>OR(P338&lt;10,Q338&lt;23)</f>
        <v/>
      </c>
      <c r="AB338">
        <f>OR((C338+D338)&lt;66,(E338+F338)&lt;66,G338&lt;33,(H338+I338)&lt;66,Y338,Z338,AA338,R338&lt;8.25)</f>
        <v/>
      </c>
      <c r="AC338">
        <f>IF(C338+D338&lt;66,0,IF((C338+D338)/2&gt;=80,5,IF((C338+D338)/2&gt;=70,4,IF((C338+D338)/2&gt;=60,3.5,IF((C338+D338)/2&gt;=50,3,IF((C338+D338)/2&gt;=40,2,IF((C338+D338)/2&gt;=33,1,0)))))))</f>
        <v/>
      </c>
      <c r="AD338">
        <f>IF(E338+F338&lt;66,0,IF((E338+F338)/2&gt;=80,5,IF((E338+F338)/2&gt;=70,4,IF((E338+F338)/2&gt;=60,3.5,IF((E338+F338)/2&gt;=50,3,IF((E338+F338)/2&gt;=40,2,IF((E338+F338)/2&gt;=33,1,0)))))))</f>
        <v/>
      </c>
      <c r="AE338">
        <f>IF(G338&lt;33,0,IF(G338&gt;=80,5,IF(G338&gt;=70,4,IF(G338&gt;=60,3.5,IF(G338&gt;=50,3,IF(G338&gt;=40,2,IF(G338&gt;=33,1,0)))))))</f>
        <v/>
      </c>
      <c r="AF338">
        <f>IF(H338+I338&lt;66,0,IF((H338+I338)/2&gt;=80,5,IF((H338+I338)/2&gt;=70,4,IF((H338+I338)/2&gt;=60,3.5,IF((H338+I338)/2&gt;=50,3,IF((H338+I338)/2&gt;=40,2,IF((H338+I338)/2&gt;=33,1,0)))))))</f>
        <v/>
      </c>
      <c r="AG338">
        <f>IF(Y338,0,IF((J338+K338+L338+M338)/2&gt;=80,5,IF((J338+K338+L338+M338)/2&gt;=70,4,IF((J338+K338+L338+M338)/2&gt;=60,3.5,IF((J338+K338+L338+M338)/2&gt;=50,3,IF((J338+K338+L338+M338)/2&gt;=40,2,IF((J338+K338+L338+M338)/2&gt;=33,1,0)))))))</f>
        <v/>
      </c>
      <c r="AH338">
        <f>IF(Z338,0,IF(N338+O338&gt;=80,5,IF(N338+O338&gt;=70,4,IF(N338+O338&gt;=60,3.5,IF(N338+O338&gt;=50,3,IF(N338+O338&gt;=40,2,IF(N338+O338&gt;=33,1,0)))))))</f>
        <v/>
      </c>
      <c r="AI338">
        <f>IF(AA338,0,IF(P338+Q338&gt;=80,5,IF(P338+Q338&gt;=70,4,IF(P338+Q338&gt;=60,3.5,IF(P338+Q338&gt;=50,3,IF(P338+Q338&gt;=40,2,IF(P338+Q338&gt;=33,1,0)))))))</f>
        <v/>
      </c>
      <c r="AJ338">
        <f>IF(R338&lt;8.25,0,IF(R338*2&gt;=80,5,IF(R338*2&gt;=70,4,IF(R338*2&gt;=60,3.5,IF(R338*2&gt;=50,3,IF(R338*2&gt;=40,2,IF(R338*2&gt;=33,1,0)))))))</f>
        <v/>
      </c>
      <c r="AK338">
        <f>IF(S338&lt;33,0,IF(S338&gt;=80,5,IF(S338&gt;=70,4,IF(S338&gt;=60,3.5,IF(S338&gt;=50,3,IF(S338&gt;=40,2,IF(S338&gt;=33,1,0)))))))</f>
        <v/>
      </c>
      <c r="AL338">
        <f>(AC338+AD338+AE338+AF338+AG338+AH338+AI338+AJ338)/8</f>
        <v/>
      </c>
      <c r="AM338">
        <f>IF(AK338&gt;=2,(AK338-2)/8,0)</f>
        <v/>
      </c>
    </row>
    <row r="339">
      <c r="T339">
        <f>SUM(C339:R339)</f>
        <v/>
      </c>
      <c r="U339" s="6">
        <f>ROUND(T339/11.5,2)</f>
        <v/>
      </c>
      <c r="V339" s="7">
        <f>IF(B339="","",IF(AB339,0,ROUND(AL339,2)))</f>
        <v/>
      </c>
      <c r="W339" s="7">
        <f>IF(B339="","",IF(AB339,0,MIN(5,ROUND(AL339+AM339,2))))</f>
        <v/>
      </c>
      <c r="X339" s="8">
        <f>IF(B339="","",IF(W339&gt;=5,"A+",IF(W339&gt;=4,"A",IF(W339&gt;=3.5,"A-",IF(W339&gt;=3,"B",IF(W339&gt;=2,"C",IF(W339&gt;=1,"D","F")))))))</f>
        <v/>
      </c>
      <c r="Y339">
        <f>NOT(OR(AND(J339&gt;=10,K339&gt;=23,L339&gt;=10,M339&gt;=23),AND(J339+L339&gt;=20,K339+M339&gt;=46)))</f>
        <v/>
      </c>
      <c r="Z339">
        <f>OR(N339&lt;10,O339&lt;23)</f>
        <v/>
      </c>
      <c r="AA339">
        <f>OR(P339&lt;10,Q339&lt;23)</f>
        <v/>
      </c>
      <c r="AB339">
        <f>OR((C339+D339)&lt;66,(E339+F339)&lt;66,G339&lt;33,(H339+I339)&lt;66,Y339,Z339,AA339,R339&lt;8.25)</f>
        <v/>
      </c>
      <c r="AC339">
        <f>IF(C339+D339&lt;66,0,IF((C339+D339)/2&gt;=80,5,IF((C339+D339)/2&gt;=70,4,IF((C339+D339)/2&gt;=60,3.5,IF((C339+D339)/2&gt;=50,3,IF((C339+D339)/2&gt;=40,2,IF((C339+D339)/2&gt;=33,1,0)))))))</f>
        <v/>
      </c>
      <c r="AD339">
        <f>IF(E339+F339&lt;66,0,IF((E339+F339)/2&gt;=80,5,IF((E339+F339)/2&gt;=70,4,IF((E339+F339)/2&gt;=60,3.5,IF((E339+F339)/2&gt;=50,3,IF((E339+F339)/2&gt;=40,2,IF((E339+F339)/2&gt;=33,1,0)))))))</f>
        <v/>
      </c>
      <c r="AE339">
        <f>IF(G339&lt;33,0,IF(G339&gt;=80,5,IF(G339&gt;=70,4,IF(G339&gt;=60,3.5,IF(G339&gt;=50,3,IF(G339&gt;=40,2,IF(G339&gt;=33,1,0)))))))</f>
        <v/>
      </c>
      <c r="AF339">
        <f>IF(H339+I339&lt;66,0,IF((H339+I339)/2&gt;=80,5,IF((H339+I339)/2&gt;=70,4,IF((H339+I339)/2&gt;=60,3.5,IF((H339+I339)/2&gt;=50,3,IF((H339+I339)/2&gt;=40,2,IF((H339+I339)/2&gt;=33,1,0)))))))</f>
        <v/>
      </c>
      <c r="AG339">
        <f>IF(Y339,0,IF((J339+K339+L339+M339)/2&gt;=80,5,IF((J339+K339+L339+M339)/2&gt;=70,4,IF((J339+K339+L339+M339)/2&gt;=60,3.5,IF((J339+K339+L339+M339)/2&gt;=50,3,IF((J339+K339+L339+M339)/2&gt;=40,2,IF((J339+K339+L339+M339)/2&gt;=33,1,0)))))))</f>
        <v/>
      </c>
      <c r="AH339">
        <f>IF(Z339,0,IF(N339+O339&gt;=80,5,IF(N339+O339&gt;=70,4,IF(N339+O339&gt;=60,3.5,IF(N339+O339&gt;=50,3,IF(N339+O339&gt;=40,2,IF(N339+O339&gt;=33,1,0)))))))</f>
        <v/>
      </c>
      <c r="AI339">
        <f>IF(AA339,0,IF(P339+Q339&gt;=80,5,IF(P339+Q339&gt;=70,4,IF(P339+Q339&gt;=60,3.5,IF(P339+Q339&gt;=50,3,IF(P339+Q339&gt;=40,2,IF(P339+Q339&gt;=33,1,0)))))))</f>
        <v/>
      </c>
      <c r="AJ339">
        <f>IF(R339&lt;8.25,0,IF(R339*2&gt;=80,5,IF(R339*2&gt;=70,4,IF(R339*2&gt;=60,3.5,IF(R339*2&gt;=50,3,IF(R339*2&gt;=40,2,IF(R339*2&gt;=33,1,0)))))))</f>
        <v/>
      </c>
      <c r="AK339">
        <f>IF(S339&lt;33,0,IF(S339&gt;=80,5,IF(S339&gt;=70,4,IF(S339&gt;=60,3.5,IF(S339&gt;=50,3,IF(S339&gt;=40,2,IF(S339&gt;=33,1,0)))))))</f>
        <v/>
      </c>
      <c r="AL339">
        <f>(AC339+AD339+AE339+AF339+AG339+AH339+AI339+AJ339)/8</f>
        <v/>
      </c>
      <c r="AM339">
        <f>IF(AK339&gt;=2,(AK339-2)/8,0)</f>
        <v/>
      </c>
    </row>
    <row r="340">
      <c r="T340">
        <f>SUM(C340:R340)</f>
        <v/>
      </c>
      <c r="U340" s="6">
        <f>ROUND(T340/11.5,2)</f>
        <v/>
      </c>
      <c r="V340" s="7">
        <f>IF(B340="","",IF(AB340,0,ROUND(AL340,2)))</f>
        <v/>
      </c>
      <c r="W340" s="7">
        <f>IF(B340="","",IF(AB340,0,MIN(5,ROUND(AL340+AM340,2))))</f>
        <v/>
      </c>
      <c r="X340" s="8">
        <f>IF(B340="","",IF(W340&gt;=5,"A+",IF(W340&gt;=4,"A",IF(W340&gt;=3.5,"A-",IF(W340&gt;=3,"B",IF(W340&gt;=2,"C",IF(W340&gt;=1,"D","F")))))))</f>
        <v/>
      </c>
      <c r="Y340">
        <f>NOT(OR(AND(J340&gt;=10,K340&gt;=23,L340&gt;=10,M340&gt;=23),AND(J340+L340&gt;=20,K340+M340&gt;=46)))</f>
        <v/>
      </c>
      <c r="Z340">
        <f>OR(N340&lt;10,O340&lt;23)</f>
        <v/>
      </c>
      <c r="AA340">
        <f>OR(P340&lt;10,Q340&lt;23)</f>
        <v/>
      </c>
      <c r="AB340">
        <f>OR((C340+D340)&lt;66,(E340+F340)&lt;66,G340&lt;33,(H340+I340)&lt;66,Y340,Z340,AA340,R340&lt;8.25)</f>
        <v/>
      </c>
      <c r="AC340">
        <f>IF(C340+D340&lt;66,0,IF((C340+D340)/2&gt;=80,5,IF((C340+D340)/2&gt;=70,4,IF((C340+D340)/2&gt;=60,3.5,IF((C340+D340)/2&gt;=50,3,IF((C340+D340)/2&gt;=40,2,IF((C340+D340)/2&gt;=33,1,0)))))))</f>
        <v/>
      </c>
      <c r="AD340">
        <f>IF(E340+F340&lt;66,0,IF((E340+F340)/2&gt;=80,5,IF((E340+F340)/2&gt;=70,4,IF((E340+F340)/2&gt;=60,3.5,IF((E340+F340)/2&gt;=50,3,IF((E340+F340)/2&gt;=40,2,IF((E340+F340)/2&gt;=33,1,0)))))))</f>
        <v/>
      </c>
      <c r="AE340">
        <f>IF(G340&lt;33,0,IF(G340&gt;=80,5,IF(G340&gt;=70,4,IF(G340&gt;=60,3.5,IF(G340&gt;=50,3,IF(G340&gt;=40,2,IF(G340&gt;=33,1,0)))))))</f>
        <v/>
      </c>
      <c r="AF340">
        <f>IF(H340+I340&lt;66,0,IF((H340+I340)/2&gt;=80,5,IF((H340+I340)/2&gt;=70,4,IF((H340+I340)/2&gt;=60,3.5,IF((H340+I340)/2&gt;=50,3,IF((H340+I340)/2&gt;=40,2,IF((H340+I340)/2&gt;=33,1,0)))))))</f>
        <v/>
      </c>
      <c r="AG340">
        <f>IF(Y340,0,IF((J340+K340+L340+M340)/2&gt;=80,5,IF((J340+K340+L340+M340)/2&gt;=70,4,IF((J340+K340+L340+M340)/2&gt;=60,3.5,IF((J340+K340+L340+M340)/2&gt;=50,3,IF((J340+K340+L340+M340)/2&gt;=40,2,IF((J340+K340+L340+M340)/2&gt;=33,1,0)))))))</f>
        <v/>
      </c>
      <c r="AH340">
        <f>IF(Z340,0,IF(N340+O340&gt;=80,5,IF(N340+O340&gt;=70,4,IF(N340+O340&gt;=60,3.5,IF(N340+O340&gt;=50,3,IF(N340+O340&gt;=40,2,IF(N340+O340&gt;=33,1,0)))))))</f>
        <v/>
      </c>
      <c r="AI340">
        <f>IF(AA340,0,IF(P340+Q340&gt;=80,5,IF(P340+Q340&gt;=70,4,IF(P340+Q340&gt;=60,3.5,IF(P340+Q340&gt;=50,3,IF(P340+Q340&gt;=40,2,IF(P340+Q340&gt;=33,1,0)))))))</f>
        <v/>
      </c>
      <c r="AJ340">
        <f>IF(R340&lt;8.25,0,IF(R340*2&gt;=80,5,IF(R340*2&gt;=70,4,IF(R340*2&gt;=60,3.5,IF(R340*2&gt;=50,3,IF(R340*2&gt;=40,2,IF(R340*2&gt;=33,1,0)))))))</f>
        <v/>
      </c>
      <c r="AK340">
        <f>IF(S340&lt;33,0,IF(S340&gt;=80,5,IF(S340&gt;=70,4,IF(S340&gt;=60,3.5,IF(S340&gt;=50,3,IF(S340&gt;=40,2,IF(S340&gt;=33,1,0)))))))</f>
        <v/>
      </c>
      <c r="AL340">
        <f>(AC340+AD340+AE340+AF340+AG340+AH340+AI340+AJ340)/8</f>
        <v/>
      </c>
      <c r="AM340">
        <f>IF(AK340&gt;=2,(AK340-2)/8,0)</f>
        <v/>
      </c>
    </row>
    <row r="341">
      <c r="T341">
        <f>SUM(C341:R341)</f>
        <v/>
      </c>
      <c r="U341" s="6">
        <f>ROUND(T341/11.5,2)</f>
        <v/>
      </c>
      <c r="V341" s="7">
        <f>IF(B341="","",IF(AB341,0,ROUND(AL341,2)))</f>
        <v/>
      </c>
      <c r="W341" s="7">
        <f>IF(B341="","",IF(AB341,0,MIN(5,ROUND(AL341+AM341,2))))</f>
        <v/>
      </c>
      <c r="X341" s="8">
        <f>IF(B341="","",IF(W341&gt;=5,"A+",IF(W341&gt;=4,"A",IF(W341&gt;=3.5,"A-",IF(W341&gt;=3,"B",IF(W341&gt;=2,"C",IF(W341&gt;=1,"D","F")))))))</f>
        <v/>
      </c>
      <c r="Y341">
        <f>NOT(OR(AND(J341&gt;=10,K341&gt;=23,L341&gt;=10,M341&gt;=23),AND(J341+L341&gt;=20,K341+M341&gt;=46)))</f>
        <v/>
      </c>
      <c r="Z341">
        <f>OR(N341&lt;10,O341&lt;23)</f>
        <v/>
      </c>
      <c r="AA341">
        <f>OR(P341&lt;10,Q341&lt;23)</f>
        <v/>
      </c>
      <c r="AB341">
        <f>OR((C341+D341)&lt;66,(E341+F341)&lt;66,G341&lt;33,(H341+I341)&lt;66,Y341,Z341,AA341,R341&lt;8.25)</f>
        <v/>
      </c>
      <c r="AC341">
        <f>IF(C341+D341&lt;66,0,IF((C341+D341)/2&gt;=80,5,IF((C341+D341)/2&gt;=70,4,IF((C341+D341)/2&gt;=60,3.5,IF((C341+D341)/2&gt;=50,3,IF((C341+D341)/2&gt;=40,2,IF((C341+D341)/2&gt;=33,1,0)))))))</f>
        <v/>
      </c>
      <c r="AD341">
        <f>IF(E341+F341&lt;66,0,IF((E341+F341)/2&gt;=80,5,IF((E341+F341)/2&gt;=70,4,IF((E341+F341)/2&gt;=60,3.5,IF((E341+F341)/2&gt;=50,3,IF((E341+F341)/2&gt;=40,2,IF((E341+F341)/2&gt;=33,1,0)))))))</f>
        <v/>
      </c>
      <c r="AE341">
        <f>IF(G341&lt;33,0,IF(G341&gt;=80,5,IF(G341&gt;=70,4,IF(G341&gt;=60,3.5,IF(G341&gt;=50,3,IF(G341&gt;=40,2,IF(G341&gt;=33,1,0)))))))</f>
        <v/>
      </c>
      <c r="AF341">
        <f>IF(H341+I341&lt;66,0,IF((H341+I341)/2&gt;=80,5,IF((H341+I341)/2&gt;=70,4,IF((H341+I341)/2&gt;=60,3.5,IF((H341+I341)/2&gt;=50,3,IF((H341+I341)/2&gt;=40,2,IF((H341+I341)/2&gt;=33,1,0)))))))</f>
        <v/>
      </c>
      <c r="AG341">
        <f>IF(Y341,0,IF((J341+K341+L341+M341)/2&gt;=80,5,IF((J341+K341+L341+M341)/2&gt;=70,4,IF((J341+K341+L341+M341)/2&gt;=60,3.5,IF((J341+K341+L341+M341)/2&gt;=50,3,IF((J341+K341+L341+M341)/2&gt;=40,2,IF((J341+K341+L341+M341)/2&gt;=33,1,0)))))))</f>
        <v/>
      </c>
      <c r="AH341">
        <f>IF(Z341,0,IF(N341+O341&gt;=80,5,IF(N341+O341&gt;=70,4,IF(N341+O341&gt;=60,3.5,IF(N341+O341&gt;=50,3,IF(N341+O341&gt;=40,2,IF(N341+O341&gt;=33,1,0)))))))</f>
        <v/>
      </c>
      <c r="AI341">
        <f>IF(AA341,0,IF(P341+Q341&gt;=80,5,IF(P341+Q341&gt;=70,4,IF(P341+Q341&gt;=60,3.5,IF(P341+Q341&gt;=50,3,IF(P341+Q341&gt;=40,2,IF(P341+Q341&gt;=33,1,0)))))))</f>
        <v/>
      </c>
      <c r="AJ341">
        <f>IF(R341&lt;8.25,0,IF(R341*2&gt;=80,5,IF(R341*2&gt;=70,4,IF(R341*2&gt;=60,3.5,IF(R341*2&gt;=50,3,IF(R341*2&gt;=40,2,IF(R341*2&gt;=33,1,0)))))))</f>
        <v/>
      </c>
      <c r="AK341">
        <f>IF(S341&lt;33,0,IF(S341&gt;=80,5,IF(S341&gt;=70,4,IF(S341&gt;=60,3.5,IF(S341&gt;=50,3,IF(S341&gt;=40,2,IF(S341&gt;=33,1,0)))))))</f>
        <v/>
      </c>
      <c r="AL341">
        <f>(AC341+AD341+AE341+AF341+AG341+AH341+AI341+AJ341)/8</f>
        <v/>
      </c>
      <c r="AM341">
        <f>IF(AK341&gt;=2,(AK341-2)/8,0)</f>
        <v/>
      </c>
    </row>
    <row r="342">
      <c r="T342">
        <f>SUM(C342:R342)</f>
        <v/>
      </c>
      <c r="U342" s="6">
        <f>ROUND(T342/11.5,2)</f>
        <v/>
      </c>
      <c r="V342" s="7">
        <f>IF(B342="","",IF(AB342,0,ROUND(AL342,2)))</f>
        <v/>
      </c>
      <c r="W342" s="7">
        <f>IF(B342="","",IF(AB342,0,MIN(5,ROUND(AL342+AM342,2))))</f>
        <v/>
      </c>
      <c r="X342" s="8">
        <f>IF(B342="","",IF(W342&gt;=5,"A+",IF(W342&gt;=4,"A",IF(W342&gt;=3.5,"A-",IF(W342&gt;=3,"B",IF(W342&gt;=2,"C",IF(W342&gt;=1,"D","F")))))))</f>
        <v/>
      </c>
      <c r="Y342">
        <f>NOT(OR(AND(J342&gt;=10,K342&gt;=23,L342&gt;=10,M342&gt;=23),AND(J342+L342&gt;=20,K342+M342&gt;=46)))</f>
        <v/>
      </c>
      <c r="Z342">
        <f>OR(N342&lt;10,O342&lt;23)</f>
        <v/>
      </c>
      <c r="AA342">
        <f>OR(P342&lt;10,Q342&lt;23)</f>
        <v/>
      </c>
      <c r="AB342">
        <f>OR((C342+D342)&lt;66,(E342+F342)&lt;66,G342&lt;33,(H342+I342)&lt;66,Y342,Z342,AA342,R342&lt;8.25)</f>
        <v/>
      </c>
      <c r="AC342">
        <f>IF(C342+D342&lt;66,0,IF((C342+D342)/2&gt;=80,5,IF((C342+D342)/2&gt;=70,4,IF((C342+D342)/2&gt;=60,3.5,IF((C342+D342)/2&gt;=50,3,IF((C342+D342)/2&gt;=40,2,IF((C342+D342)/2&gt;=33,1,0)))))))</f>
        <v/>
      </c>
      <c r="AD342">
        <f>IF(E342+F342&lt;66,0,IF((E342+F342)/2&gt;=80,5,IF((E342+F342)/2&gt;=70,4,IF((E342+F342)/2&gt;=60,3.5,IF((E342+F342)/2&gt;=50,3,IF((E342+F342)/2&gt;=40,2,IF((E342+F342)/2&gt;=33,1,0)))))))</f>
        <v/>
      </c>
      <c r="AE342">
        <f>IF(G342&lt;33,0,IF(G342&gt;=80,5,IF(G342&gt;=70,4,IF(G342&gt;=60,3.5,IF(G342&gt;=50,3,IF(G342&gt;=40,2,IF(G342&gt;=33,1,0)))))))</f>
        <v/>
      </c>
      <c r="AF342">
        <f>IF(H342+I342&lt;66,0,IF((H342+I342)/2&gt;=80,5,IF((H342+I342)/2&gt;=70,4,IF((H342+I342)/2&gt;=60,3.5,IF((H342+I342)/2&gt;=50,3,IF((H342+I342)/2&gt;=40,2,IF((H342+I342)/2&gt;=33,1,0)))))))</f>
        <v/>
      </c>
      <c r="AG342">
        <f>IF(Y342,0,IF((J342+K342+L342+M342)/2&gt;=80,5,IF((J342+K342+L342+M342)/2&gt;=70,4,IF((J342+K342+L342+M342)/2&gt;=60,3.5,IF((J342+K342+L342+M342)/2&gt;=50,3,IF((J342+K342+L342+M342)/2&gt;=40,2,IF((J342+K342+L342+M342)/2&gt;=33,1,0)))))))</f>
        <v/>
      </c>
      <c r="AH342">
        <f>IF(Z342,0,IF(N342+O342&gt;=80,5,IF(N342+O342&gt;=70,4,IF(N342+O342&gt;=60,3.5,IF(N342+O342&gt;=50,3,IF(N342+O342&gt;=40,2,IF(N342+O342&gt;=33,1,0)))))))</f>
        <v/>
      </c>
      <c r="AI342">
        <f>IF(AA342,0,IF(P342+Q342&gt;=80,5,IF(P342+Q342&gt;=70,4,IF(P342+Q342&gt;=60,3.5,IF(P342+Q342&gt;=50,3,IF(P342+Q342&gt;=40,2,IF(P342+Q342&gt;=33,1,0)))))))</f>
        <v/>
      </c>
      <c r="AJ342">
        <f>IF(R342&lt;8.25,0,IF(R342*2&gt;=80,5,IF(R342*2&gt;=70,4,IF(R342*2&gt;=60,3.5,IF(R342*2&gt;=50,3,IF(R342*2&gt;=40,2,IF(R342*2&gt;=33,1,0)))))))</f>
        <v/>
      </c>
      <c r="AK342">
        <f>IF(S342&lt;33,0,IF(S342&gt;=80,5,IF(S342&gt;=70,4,IF(S342&gt;=60,3.5,IF(S342&gt;=50,3,IF(S342&gt;=40,2,IF(S342&gt;=33,1,0)))))))</f>
        <v/>
      </c>
      <c r="AL342">
        <f>(AC342+AD342+AE342+AF342+AG342+AH342+AI342+AJ342)/8</f>
        <v/>
      </c>
      <c r="AM342">
        <f>IF(AK342&gt;=2,(AK342-2)/8,0)</f>
        <v/>
      </c>
    </row>
    <row r="343">
      <c r="T343">
        <f>SUM(C343:R343)</f>
        <v/>
      </c>
      <c r="U343" s="6">
        <f>ROUND(T343/11.5,2)</f>
        <v/>
      </c>
      <c r="V343" s="7">
        <f>IF(B343="","",IF(AB343,0,ROUND(AL343,2)))</f>
        <v/>
      </c>
      <c r="W343" s="7">
        <f>IF(B343="","",IF(AB343,0,MIN(5,ROUND(AL343+AM343,2))))</f>
        <v/>
      </c>
      <c r="X343" s="8">
        <f>IF(B343="","",IF(W343&gt;=5,"A+",IF(W343&gt;=4,"A",IF(W343&gt;=3.5,"A-",IF(W343&gt;=3,"B",IF(W343&gt;=2,"C",IF(W343&gt;=1,"D","F")))))))</f>
        <v/>
      </c>
      <c r="Y343">
        <f>NOT(OR(AND(J343&gt;=10,K343&gt;=23,L343&gt;=10,M343&gt;=23),AND(J343+L343&gt;=20,K343+M343&gt;=46)))</f>
        <v/>
      </c>
      <c r="Z343">
        <f>OR(N343&lt;10,O343&lt;23)</f>
        <v/>
      </c>
      <c r="AA343">
        <f>OR(P343&lt;10,Q343&lt;23)</f>
        <v/>
      </c>
      <c r="AB343">
        <f>OR((C343+D343)&lt;66,(E343+F343)&lt;66,G343&lt;33,(H343+I343)&lt;66,Y343,Z343,AA343,R343&lt;8.25)</f>
        <v/>
      </c>
      <c r="AC343">
        <f>IF(C343+D343&lt;66,0,IF((C343+D343)/2&gt;=80,5,IF((C343+D343)/2&gt;=70,4,IF((C343+D343)/2&gt;=60,3.5,IF((C343+D343)/2&gt;=50,3,IF((C343+D343)/2&gt;=40,2,IF((C343+D343)/2&gt;=33,1,0)))))))</f>
        <v/>
      </c>
      <c r="AD343">
        <f>IF(E343+F343&lt;66,0,IF((E343+F343)/2&gt;=80,5,IF((E343+F343)/2&gt;=70,4,IF((E343+F343)/2&gt;=60,3.5,IF((E343+F343)/2&gt;=50,3,IF((E343+F343)/2&gt;=40,2,IF((E343+F343)/2&gt;=33,1,0)))))))</f>
        <v/>
      </c>
      <c r="AE343">
        <f>IF(G343&lt;33,0,IF(G343&gt;=80,5,IF(G343&gt;=70,4,IF(G343&gt;=60,3.5,IF(G343&gt;=50,3,IF(G343&gt;=40,2,IF(G343&gt;=33,1,0)))))))</f>
        <v/>
      </c>
      <c r="AF343">
        <f>IF(H343+I343&lt;66,0,IF((H343+I343)/2&gt;=80,5,IF((H343+I343)/2&gt;=70,4,IF((H343+I343)/2&gt;=60,3.5,IF((H343+I343)/2&gt;=50,3,IF((H343+I343)/2&gt;=40,2,IF((H343+I343)/2&gt;=33,1,0)))))))</f>
        <v/>
      </c>
      <c r="AG343">
        <f>IF(Y343,0,IF((J343+K343+L343+M343)/2&gt;=80,5,IF((J343+K343+L343+M343)/2&gt;=70,4,IF((J343+K343+L343+M343)/2&gt;=60,3.5,IF((J343+K343+L343+M343)/2&gt;=50,3,IF((J343+K343+L343+M343)/2&gt;=40,2,IF((J343+K343+L343+M343)/2&gt;=33,1,0)))))))</f>
        <v/>
      </c>
      <c r="AH343">
        <f>IF(Z343,0,IF(N343+O343&gt;=80,5,IF(N343+O343&gt;=70,4,IF(N343+O343&gt;=60,3.5,IF(N343+O343&gt;=50,3,IF(N343+O343&gt;=40,2,IF(N343+O343&gt;=33,1,0)))))))</f>
        <v/>
      </c>
      <c r="AI343">
        <f>IF(AA343,0,IF(P343+Q343&gt;=80,5,IF(P343+Q343&gt;=70,4,IF(P343+Q343&gt;=60,3.5,IF(P343+Q343&gt;=50,3,IF(P343+Q343&gt;=40,2,IF(P343+Q343&gt;=33,1,0)))))))</f>
        <v/>
      </c>
      <c r="AJ343">
        <f>IF(R343&lt;8.25,0,IF(R343*2&gt;=80,5,IF(R343*2&gt;=70,4,IF(R343*2&gt;=60,3.5,IF(R343*2&gt;=50,3,IF(R343*2&gt;=40,2,IF(R343*2&gt;=33,1,0)))))))</f>
        <v/>
      </c>
      <c r="AK343">
        <f>IF(S343&lt;33,0,IF(S343&gt;=80,5,IF(S343&gt;=70,4,IF(S343&gt;=60,3.5,IF(S343&gt;=50,3,IF(S343&gt;=40,2,IF(S343&gt;=33,1,0)))))))</f>
        <v/>
      </c>
      <c r="AL343">
        <f>(AC343+AD343+AE343+AF343+AG343+AH343+AI343+AJ343)/8</f>
        <v/>
      </c>
      <c r="AM343">
        <f>IF(AK343&gt;=2,(AK343-2)/8,0)</f>
        <v/>
      </c>
    </row>
    <row r="344">
      <c r="T344">
        <f>SUM(C344:R344)</f>
        <v/>
      </c>
      <c r="U344" s="6">
        <f>ROUND(T344/11.5,2)</f>
        <v/>
      </c>
      <c r="V344" s="7">
        <f>IF(B344="","",IF(AB344,0,ROUND(AL344,2)))</f>
        <v/>
      </c>
      <c r="W344" s="7">
        <f>IF(B344="","",IF(AB344,0,MIN(5,ROUND(AL344+AM344,2))))</f>
        <v/>
      </c>
      <c r="X344" s="8">
        <f>IF(B344="","",IF(W344&gt;=5,"A+",IF(W344&gt;=4,"A",IF(W344&gt;=3.5,"A-",IF(W344&gt;=3,"B",IF(W344&gt;=2,"C",IF(W344&gt;=1,"D","F")))))))</f>
        <v/>
      </c>
      <c r="Y344">
        <f>NOT(OR(AND(J344&gt;=10,K344&gt;=23,L344&gt;=10,M344&gt;=23),AND(J344+L344&gt;=20,K344+M344&gt;=46)))</f>
        <v/>
      </c>
      <c r="Z344">
        <f>OR(N344&lt;10,O344&lt;23)</f>
        <v/>
      </c>
      <c r="AA344">
        <f>OR(P344&lt;10,Q344&lt;23)</f>
        <v/>
      </c>
      <c r="AB344">
        <f>OR((C344+D344)&lt;66,(E344+F344)&lt;66,G344&lt;33,(H344+I344)&lt;66,Y344,Z344,AA344,R344&lt;8.25)</f>
        <v/>
      </c>
      <c r="AC344">
        <f>IF(C344+D344&lt;66,0,IF((C344+D344)/2&gt;=80,5,IF((C344+D344)/2&gt;=70,4,IF((C344+D344)/2&gt;=60,3.5,IF((C344+D344)/2&gt;=50,3,IF((C344+D344)/2&gt;=40,2,IF((C344+D344)/2&gt;=33,1,0)))))))</f>
        <v/>
      </c>
      <c r="AD344">
        <f>IF(E344+F344&lt;66,0,IF((E344+F344)/2&gt;=80,5,IF((E344+F344)/2&gt;=70,4,IF((E344+F344)/2&gt;=60,3.5,IF((E344+F344)/2&gt;=50,3,IF((E344+F344)/2&gt;=40,2,IF((E344+F344)/2&gt;=33,1,0)))))))</f>
        <v/>
      </c>
      <c r="AE344">
        <f>IF(G344&lt;33,0,IF(G344&gt;=80,5,IF(G344&gt;=70,4,IF(G344&gt;=60,3.5,IF(G344&gt;=50,3,IF(G344&gt;=40,2,IF(G344&gt;=33,1,0)))))))</f>
        <v/>
      </c>
      <c r="AF344">
        <f>IF(H344+I344&lt;66,0,IF((H344+I344)/2&gt;=80,5,IF((H344+I344)/2&gt;=70,4,IF((H344+I344)/2&gt;=60,3.5,IF((H344+I344)/2&gt;=50,3,IF((H344+I344)/2&gt;=40,2,IF((H344+I344)/2&gt;=33,1,0)))))))</f>
        <v/>
      </c>
      <c r="AG344">
        <f>IF(Y344,0,IF((J344+K344+L344+M344)/2&gt;=80,5,IF((J344+K344+L344+M344)/2&gt;=70,4,IF((J344+K344+L344+M344)/2&gt;=60,3.5,IF((J344+K344+L344+M344)/2&gt;=50,3,IF((J344+K344+L344+M344)/2&gt;=40,2,IF((J344+K344+L344+M344)/2&gt;=33,1,0)))))))</f>
        <v/>
      </c>
      <c r="AH344">
        <f>IF(Z344,0,IF(N344+O344&gt;=80,5,IF(N344+O344&gt;=70,4,IF(N344+O344&gt;=60,3.5,IF(N344+O344&gt;=50,3,IF(N344+O344&gt;=40,2,IF(N344+O344&gt;=33,1,0)))))))</f>
        <v/>
      </c>
      <c r="AI344">
        <f>IF(AA344,0,IF(P344+Q344&gt;=80,5,IF(P344+Q344&gt;=70,4,IF(P344+Q344&gt;=60,3.5,IF(P344+Q344&gt;=50,3,IF(P344+Q344&gt;=40,2,IF(P344+Q344&gt;=33,1,0)))))))</f>
        <v/>
      </c>
      <c r="AJ344">
        <f>IF(R344&lt;8.25,0,IF(R344*2&gt;=80,5,IF(R344*2&gt;=70,4,IF(R344*2&gt;=60,3.5,IF(R344*2&gt;=50,3,IF(R344*2&gt;=40,2,IF(R344*2&gt;=33,1,0)))))))</f>
        <v/>
      </c>
      <c r="AK344">
        <f>IF(S344&lt;33,0,IF(S344&gt;=80,5,IF(S344&gt;=70,4,IF(S344&gt;=60,3.5,IF(S344&gt;=50,3,IF(S344&gt;=40,2,IF(S344&gt;=33,1,0)))))))</f>
        <v/>
      </c>
      <c r="AL344">
        <f>(AC344+AD344+AE344+AF344+AG344+AH344+AI344+AJ344)/8</f>
        <v/>
      </c>
      <c r="AM344">
        <f>IF(AK344&gt;=2,(AK344-2)/8,0)</f>
        <v/>
      </c>
    </row>
    <row r="345">
      <c r="T345">
        <f>SUM(C345:R345)</f>
        <v/>
      </c>
      <c r="U345" s="6">
        <f>ROUND(T345/11.5,2)</f>
        <v/>
      </c>
      <c r="V345" s="7">
        <f>IF(B345="","",IF(AB345,0,ROUND(AL345,2)))</f>
        <v/>
      </c>
      <c r="W345" s="7">
        <f>IF(B345="","",IF(AB345,0,MIN(5,ROUND(AL345+AM345,2))))</f>
        <v/>
      </c>
      <c r="X345" s="8">
        <f>IF(B345="","",IF(W345&gt;=5,"A+",IF(W345&gt;=4,"A",IF(W345&gt;=3.5,"A-",IF(W345&gt;=3,"B",IF(W345&gt;=2,"C",IF(W345&gt;=1,"D","F")))))))</f>
        <v/>
      </c>
      <c r="Y345">
        <f>NOT(OR(AND(J345&gt;=10,K345&gt;=23,L345&gt;=10,M345&gt;=23),AND(J345+L345&gt;=20,K345+M345&gt;=46)))</f>
        <v/>
      </c>
      <c r="Z345">
        <f>OR(N345&lt;10,O345&lt;23)</f>
        <v/>
      </c>
      <c r="AA345">
        <f>OR(P345&lt;10,Q345&lt;23)</f>
        <v/>
      </c>
      <c r="AB345">
        <f>OR((C345+D345)&lt;66,(E345+F345)&lt;66,G345&lt;33,(H345+I345)&lt;66,Y345,Z345,AA345,R345&lt;8.25)</f>
        <v/>
      </c>
      <c r="AC345">
        <f>IF(C345+D345&lt;66,0,IF((C345+D345)/2&gt;=80,5,IF((C345+D345)/2&gt;=70,4,IF((C345+D345)/2&gt;=60,3.5,IF((C345+D345)/2&gt;=50,3,IF((C345+D345)/2&gt;=40,2,IF((C345+D345)/2&gt;=33,1,0)))))))</f>
        <v/>
      </c>
      <c r="AD345">
        <f>IF(E345+F345&lt;66,0,IF((E345+F345)/2&gt;=80,5,IF((E345+F345)/2&gt;=70,4,IF((E345+F345)/2&gt;=60,3.5,IF((E345+F345)/2&gt;=50,3,IF((E345+F345)/2&gt;=40,2,IF((E345+F345)/2&gt;=33,1,0)))))))</f>
        <v/>
      </c>
      <c r="AE345">
        <f>IF(G345&lt;33,0,IF(G345&gt;=80,5,IF(G345&gt;=70,4,IF(G345&gt;=60,3.5,IF(G345&gt;=50,3,IF(G345&gt;=40,2,IF(G345&gt;=33,1,0)))))))</f>
        <v/>
      </c>
      <c r="AF345">
        <f>IF(H345+I345&lt;66,0,IF((H345+I345)/2&gt;=80,5,IF((H345+I345)/2&gt;=70,4,IF((H345+I345)/2&gt;=60,3.5,IF((H345+I345)/2&gt;=50,3,IF((H345+I345)/2&gt;=40,2,IF((H345+I345)/2&gt;=33,1,0)))))))</f>
        <v/>
      </c>
      <c r="AG345">
        <f>IF(Y345,0,IF((J345+K345+L345+M345)/2&gt;=80,5,IF((J345+K345+L345+M345)/2&gt;=70,4,IF((J345+K345+L345+M345)/2&gt;=60,3.5,IF((J345+K345+L345+M345)/2&gt;=50,3,IF((J345+K345+L345+M345)/2&gt;=40,2,IF((J345+K345+L345+M345)/2&gt;=33,1,0)))))))</f>
        <v/>
      </c>
      <c r="AH345">
        <f>IF(Z345,0,IF(N345+O345&gt;=80,5,IF(N345+O345&gt;=70,4,IF(N345+O345&gt;=60,3.5,IF(N345+O345&gt;=50,3,IF(N345+O345&gt;=40,2,IF(N345+O345&gt;=33,1,0)))))))</f>
        <v/>
      </c>
      <c r="AI345">
        <f>IF(AA345,0,IF(P345+Q345&gt;=80,5,IF(P345+Q345&gt;=70,4,IF(P345+Q345&gt;=60,3.5,IF(P345+Q345&gt;=50,3,IF(P345+Q345&gt;=40,2,IF(P345+Q345&gt;=33,1,0)))))))</f>
        <v/>
      </c>
      <c r="AJ345">
        <f>IF(R345&lt;8.25,0,IF(R345*2&gt;=80,5,IF(R345*2&gt;=70,4,IF(R345*2&gt;=60,3.5,IF(R345*2&gt;=50,3,IF(R345*2&gt;=40,2,IF(R345*2&gt;=33,1,0)))))))</f>
        <v/>
      </c>
      <c r="AK345">
        <f>IF(S345&lt;33,0,IF(S345&gt;=80,5,IF(S345&gt;=70,4,IF(S345&gt;=60,3.5,IF(S345&gt;=50,3,IF(S345&gt;=40,2,IF(S345&gt;=33,1,0)))))))</f>
        <v/>
      </c>
      <c r="AL345">
        <f>(AC345+AD345+AE345+AF345+AG345+AH345+AI345+AJ345)/8</f>
        <v/>
      </c>
      <c r="AM345">
        <f>IF(AK345&gt;=2,(AK345-2)/8,0)</f>
        <v/>
      </c>
    </row>
    <row r="346">
      <c r="T346">
        <f>SUM(C346:R346)</f>
        <v/>
      </c>
      <c r="U346" s="6">
        <f>ROUND(T346/11.5,2)</f>
        <v/>
      </c>
      <c r="V346" s="7">
        <f>IF(B346="","",IF(AB346,0,ROUND(AL346,2)))</f>
        <v/>
      </c>
      <c r="W346" s="7">
        <f>IF(B346="","",IF(AB346,0,MIN(5,ROUND(AL346+AM346,2))))</f>
        <v/>
      </c>
      <c r="X346" s="8">
        <f>IF(B346="","",IF(W346&gt;=5,"A+",IF(W346&gt;=4,"A",IF(W346&gt;=3.5,"A-",IF(W346&gt;=3,"B",IF(W346&gt;=2,"C",IF(W346&gt;=1,"D","F")))))))</f>
        <v/>
      </c>
      <c r="Y346">
        <f>NOT(OR(AND(J346&gt;=10,K346&gt;=23,L346&gt;=10,M346&gt;=23),AND(J346+L346&gt;=20,K346+M346&gt;=46)))</f>
        <v/>
      </c>
      <c r="Z346">
        <f>OR(N346&lt;10,O346&lt;23)</f>
        <v/>
      </c>
      <c r="AA346">
        <f>OR(P346&lt;10,Q346&lt;23)</f>
        <v/>
      </c>
      <c r="AB346">
        <f>OR((C346+D346)&lt;66,(E346+F346)&lt;66,G346&lt;33,(H346+I346)&lt;66,Y346,Z346,AA346,R346&lt;8.25)</f>
        <v/>
      </c>
      <c r="AC346">
        <f>IF(C346+D346&lt;66,0,IF((C346+D346)/2&gt;=80,5,IF((C346+D346)/2&gt;=70,4,IF((C346+D346)/2&gt;=60,3.5,IF((C346+D346)/2&gt;=50,3,IF((C346+D346)/2&gt;=40,2,IF((C346+D346)/2&gt;=33,1,0)))))))</f>
        <v/>
      </c>
      <c r="AD346">
        <f>IF(E346+F346&lt;66,0,IF((E346+F346)/2&gt;=80,5,IF((E346+F346)/2&gt;=70,4,IF((E346+F346)/2&gt;=60,3.5,IF((E346+F346)/2&gt;=50,3,IF((E346+F346)/2&gt;=40,2,IF((E346+F346)/2&gt;=33,1,0)))))))</f>
        <v/>
      </c>
      <c r="AE346">
        <f>IF(G346&lt;33,0,IF(G346&gt;=80,5,IF(G346&gt;=70,4,IF(G346&gt;=60,3.5,IF(G346&gt;=50,3,IF(G346&gt;=40,2,IF(G346&gt;=33,1,0)))))))</f>
        <v/>
      </c>
      <c r="AF346">
        <f>IF(H346+I346&lt;66,0,IF((H346+I346)/2&gt;=80,5,IF((H346+I346)/2&gt;=70,4,IF((H346+I346)/2&gt;=60,3.5,IF((H346+I346)/2&gt;=50,3,IF((H346+I346)/2&gt;=40,2,IF((H346+I346)/2&gt;=33,1,0)))))))</f>
        <v/>
      </c>
      <c r="AG346">
        <f>IF(Y346,0,IF((J346+K346+L346+M346)/2&gt;=80,5,IF((J346+K346+L346+M346)/2&gt;=70,4,IF((J346+K346+L346+M346)/2&gt;=60,3.5,IF((J346+K346+L346+M346)/2&gt;=50,3,IF((J346+K346+L346+M346)/2&gt;=40,2,IF((J346+K346+L346+M346)/2&gt;=33,1,0)))))))</f>
        <v/>
      </c>
      <c r="AH346">
        <f>IF(Z346,0,IF(N346+O346&gt;=80,5,IF(N346+O346&gt;=70,4,IF(N346+O346&gt;=60,3.5,IF(N346+O346&gt;=50,3,IF(N346+O346&gt;=40,2,IF(N346+O346&gt;=33,1,0)))))))</f>
        <v/>
      </c>
      <c r="AI346">
        <f>IF(AA346,0,IF(P346+Q346&gt;=80,5,IF(P346+Q346&gt;=70,4,IF(P346+Q346&gt;=60,3.5,IF(P346+Q346&gt;=50,3,IF(P346+Q346&gt;=40,2,IF(P346+Q346&gt;=33,1,0)))))))</f>
        <v/>
      </c>
      <c r="AJ346">
        <f>IF(R346&lt;8.25,0,IF(R346*2&gt;=80,5,IF(R346*2&gt;=70,4,IF(R346*2&gt;=60,3.5,IF(R346*2&gt;=50,3,IF(R346*2&gt;=40,2,IF(R346*2&gt;=33,1,0)))))))</f>
        <v/>
      </c>
      <c r="AK346">
        <f>IF(S346&lt;33,0,IF(S346&gt;=80,5,IF(S346&gt;=70,4,IF(S346&gt;=60,3.5,IF(S346&gt;=50,3,IF(S346&gt;=40,2,IF(S346&gt;=33,1,0)))))))</f>
        <v/>
      </c>
      <c r="AL346">
        <f>(AC346+AD346+AE346+AF346+AG346+AH346+AI346+AJ346)/8</f>
        <v/>
      </c>
      <c r="AM346">
        <f>IF(AK346&gt;=2,(AK346-2)/8,0)</f>
        <v/>
      </c>
    </row>
    <row r="347">
      <c r="T347">
        <f>SUM(C347:R347)</f>
        <v/>
      </c>
      <c r="U347" s="6">
        <f>ROUND(T347/11.5,2)</f>
        <v/>
      </c>
      <c r="V347" s="7">
        <f>IF(B347="","",IF(AB347,0,ROUND(AL347,2)))</f>
        <v/>
      </c>
      <c r="W347" s="7">
        <f>IF(B347="","",IF(AB347,0,MIN(5,ROUND(AL347+AM347,2))))</f>
        <v/>
      </c>
      <c r="X347" s="8">
        <f>IF(B347="","",IF(W347&gt;=5,"A+",IF(W347&gt;=4,"A",IF(W347&gt;=3.5,"A-",IF(W347&gt;=3,"B",IF(W347&gt;=2,"C",IF(W347&gt;=1,"D","F")))))))</f>
        <v/>
      </c>
      <c r="Y347">
        <f>NOT(OR(AND(J347&gt;=10,K347&gt;=23,L347&gt;=10,M347&gt;=23),AND(J347+L347&gt;=20,K347+M347&gt;=46)))</f>
        <v/>
      </c>
      <c r="Z347">
        <f>OR(N347&lt;10,O347&lt;23)</f>
        <v/>
      </c>
      <c r="AA347">
        <f>OR(P347&lt;10,Q347&lt;23)</f>
        <v/>
      </c>
      <c r="AB347">
        <f>OR((C347+D347)&lt;66,(E347+F347)&lt;66,G347&lt;33,(H347+I347)&lt;66,Y347,Z347,AA347,R347&lt;8.25)</f>
        <v/>
      </c>
      <c r="AC347">
        <f>IF(C347+D347&lt;66,0,IF((C347+D347)/2&gt;=80,5,IF((C347+D347)/2&gt;=70,4,IF((C347+D347)/2&gt;=60,3.5,IF((C347+D347)/2&gt;=50,3,IF((C347+D347)/2&gt;=40,2,IF((C347+D347)/2&gt;=33,1,0)))))))</f>
        <v/>
      </c>
      <c r="AD347">
        <f>IF(E347+F347&lt;66,0,IF((E347+F347)/2&gt;=80,5,IF((E347+F347)/2&gt;=70,4,IF((E347+F347)/2&gt;=60,3.5,IF((E347+F347)/2&gt;=50,3,IF((E347+F347)/2&gt;=40,2,IF((E347+F347)/2&gt;=33,1,0)))))))</f>
        <v/>
      </c>
      <c r="AE347">
        <f>IF(G347&lt;33,0,IF(G347&gt;=80,5,IF(G347&gt;=70,4,IF(G347&gt;=60,3.5,IF(G347&gt;=50,3,IF(G347&gt;=40,2,IF(G347&gt;=33,1,0)))))))</f>
        <v/>
      </c>
      <c r="AF347">
        <f>IF(H347+I347&lt;66,0,IF((H347+I347)/2&gt;=80,5,IF((H347+I347)/2&gt;=70,4,IF((H347+I347)/2&gt;=60,3.5,IF((H347+I347)/2&gt;=50,3,IF((H347+I347)/2&gt;=40,2,IF((H347+I347)/2&gt;=33,1,0)))))))</f>
        <v/>
      </c>
      <c r="AG347">
        <f>IF(Y347,0,IF((J347+K347+L347+M347)/2&gt;=80,5,IF((J347+K347+L347+M347)/2&gt;=70,4,IF((J347+K347+L347+M347)/2&gt;=60,3.5,IF((J347+K347+L347+M347)/2&gt;=50,3,IF((J347+K347+L347+M347)/2&gt;=40,2,IF((J347+K347+L347+M347)/2&gt;=33,1,0)))))))</f>
        <v/>
      </c>
      <c r="AH347">
        <f>IF(Z347,0,IF(N347+O347&gt;=80,5,IF(N347+O347&gt;=70,4,IF(N347+O347&gt;=60,3.5,IF(N347+O347&gt;=50,3,IF(N347+O347&gt;=40,2,IF(N347+O347&gt;=33,1,0)))))))</f>
        <v/>
      </c>
      <c r="AI347">
        <f>IF(AA347,0,IF(P347+Q347&gt;=80,5,IF(P347+Q347&gt;=70,4,IF(P347+Q347&gt;=60,3.5,IF(P347+Q347&gt;=50,3,IF(P347+Q347&gt;=40,2,IF(P347+Q347&gt;=33,1,0)))))))</f>
        <v/>
      </c>
      <c r="AJ347">
        <f>IF(R347&lt;8.25,0,IF(R347*2&gt;=80,5,IF(R347*2&gt;=70,4,IF(R347*2&gt;=60,3.5,IF(R347*2&gt;=50,3,IF(R347*2&gt;=40,2,IF(R347*2&gt;=33,1,0)))))))</f>
        <v/>
      </c>
      <c r="AK347">
        <f>IF(S347&lt;33,0,IF(S347&gt;=80,5,IF(S347&gt;=70,4,IF(S347&gt;=60,3.5,IF(S347&gt;=50,3,IF(S347&gt;=40,2,IF(S347&gt;=33,1,0)))))))</f>
        <v/>
      </c>
      <c r="AL347">
        <f>(AC347+AD347+AE347+AF347+AG347+AH347+AI347+AJ347)/8</f>
        <v/>
      </c>
      <c r="AM347">
        <f>IF(AK347&gt;=2,(AK347-2)/8,0)</f>
        <v/>
      </c>
    </row>
    <row r="348">
      <c r="T348">
        <f>SUM(C348:R348)</f>
        <v/>
      </c>
      <c r="U348" s="6">
        <f>ROUND(T348/11.5,2)</f>
        <v/>
      </c>
      <c r="V348" s="7">
        <f>IF(B348="","",IF(AB348,0,ROUND(AL348,2)))</f>
        <v/>
      </c>
      <c r="W348" s="7">
        <f>IF(B348="","",IF(AB348,0,MIN(5,ROUND(AL348+AM348,2))))</f>
        <v/>
      </c>
      <c r="X348" s="8">
        <f>IF(B348="","",IF(W348&gt;=5,"A+",IF(W348&gt;=4,"A",IF(W348&gt;=3.5,"A-",IF(W348&gt;=3,"B",IF(W348&gt;=2,"C",IF(W348&gt;=1,"D","F")))))))</f>
        <v/>
      </c>
      <c r="Y348">
        <f>NOT(OR(AND(J348&gt;=10,K348&gt;=23,L348&gt;=10,M348&gt;=23),AND(J348+L348&gt;=20,K348+M348&gt;=46)))</f>
        <v/>
      </c>
      <c r="Z348">
        <f>OR(N348&lt;10,O348&lt;23)</f>
        <v/>
      </c>
      <c r="AA348">
        <f>OR(P348&lt;10,Q348&lt;23)</f>
        <v/>
      </c>
      <c r="AB348">
        <f>OR((C348+D348)&lt;66,(E348+F348)&lt;66,G348&lt;33,(H348+I348)&lt;66,Y348,Z348,AA348,R348&lt;8.25)</f>
        <v/>
      </c>
      <c r="AC348">
        <f>IF(C348+D348&lt;66,0,IF((C348+D348)/2&gt;=80,5,IF((C348+D348)/2&gt;=70,4,IF((C348+D348)/2&gt;=60,3.5,IF((C348+D348)/2&gt;=50,3,IF((C348+D348)/2&gt;=40,2,IF((C348+D348)/2&gt;=33,1,0)))))))</f>
        <v/>
      </c>
      <c r="AD348">
        <f>IF(E348+F348&lt;66,0,IF((E348+F348)/2&gt;=80,5,IF((E348+F348)/2&gt;=70,4,IF((E348+F348)/2&gt;=60,3.5,IF((E348+F348)/2&gt;=50,3,IF((E348+F348)/2&gt;=40,2,IF((E348+F348)/2&gt;=33,1,0)))))))</f>
        <v/>
      </c>
      <c r="AE348">
        <f>IF(G348&lt;33,0,IF(G348&gt;=80,5,IF(G348&gt;=70,4,IF(G348&gt;=60,3.5,IF(G348&gt;=50,3,IF(G348&gt;=40,2,IF(G348&gt;=33,1,0)))))))</f>
        <v/>
      </c>
      <c r="AF348">
        <f>IF(H348+I348&lt;66,0,IF((H348+I348)/2&gt;=80,5,IF((H348+I348)/2&gt;=70,4,IF((H348+I348)/2&gt;=60,3.5,IF((H348+I348)/2&gt;=50,3,IF((H348+I348)/2&gt;=40,2,IF((H348+I348)/2&gt;=33,1,0)))))))</f>
        <v/>
      </c>
      <c r="AG348">
        <f>IF(Y348,0,IF((J348+K348+L348+M348)/2&gt;=80,5,IF((J348+K348+L348+M348)/2&gt;=70,4,IF((J348+K348+L348+M348)/2&gt;=60,3.5,IF((J348+K348+L348+M348)/2&gt;=50,3,IF((J348+K348+L348+M348)/2&gt;=40,2,IF((J348+K348+L348+M348)/2&gt;=33,1,0)))))))</f>
        <v/>
      </c>
      <c r="AH348">
        <f>IF(Z348,0,IF(N348+O348&gt;=80,5,IF(N348+O348&gt;=70,4,IF(N348+O348&gt;=60,3.5,IF(N348+O348&gt;=50,3,IF(N348+O348&gt;=40,2,IF(N348+O348&gt;=33,1,0)))))))</f>
        <v/>
      </c>
      <c r="AI348">
        <f>IF(AA348,0,IF(P348+Q348&gt;=80,5,IF(P348+Q348&gt;=70,4,IF(P348+Q348&gt;=60,3.5,IF(P348+Q348&gt;=50,3,IF(P348+Q348&gt;=40,2,IF(P348+Q348&gt;=33,1,0)))))))</f>
        <v/>
      </c>
      <c r="AJ348">
        <f>IF(R348&lt;8.25,0,IF(R348*2&gt;=80,5,IF(R348*2&gt;=70,4,IF(R348*2&gt;=60,3.5,IF(R348*2&gt;=50,3,IF(R348*2&gt;=40,2,IF(R348*2&gt;=33,1,0)))))))</f>
        <v/>
      </c>
      <c r="AK348">
        <f>IF(S348&lt;33,0,IF(S348&gt;=80,5,IF(S348&gt;=70,4,IF(S348&gt;=60,3.5,IF(S348&gt;=50,3,IF(S348&gt;=40,2,IF(S348&gt;=33,1,0)))))))</f>
        <v/>
      </c>
      <c r="AL348">
        <f>(AC348+AD348+AE348+AF348+AG348+AH348+AI348+AJ348)/8</f>
        <v/>
      </c>
      <c r="AM348">
        <f>IF(AK348&gt;=2,(AK348-2)/8,0)</f>
        <v/>
      </c>
    </row>
    <row r="349">
      <c r="T349">
        <f>SUM(C349:R349)</f>
        <v/>
      </c>
      <c r="U349" s="6">
        <f>ROUND(T349/11.5,2)</f>
        <v/>
      </c>
      <c r="V349" s="7">
        <f>IF(B349="","",IF(AB349,0,ROUND(AL349,2)))</f>
        <v/>
      </c>
      <c r="W349" s="7">
        <f>IF(B349="","",IF(AB349,0,MIN(5,ROUND(AL349+AM349,2))))</f>
        <v/>
      </c>
      <c r="X349" s="8">
        <f>IF(B349="","",IF(W349&gt;=5,"A+",IF(W349&gt;=4,"A",IF(W349&gt;=3.5,"A-",IF(W349&gt;=3,"B",IF(W349&gt;=2,"C",IF(W349&gt;=1,"D","F")))))))</f>
        <v/>
      </c>
      <c r="Y349">
        <f>NOT(OR(AND(J349&gt;=10,K349&gt;=23,L349&gt;=10,M349&gt;=23),AND(J349+L349&gt;=20,K349+M349&gt;=46)))</f>
        <v/>
      </c>
      <c r="Z349">
        <f>OR(N349&lt;10,O349&lt;23)</f>
        <v/>
      </c>
      <c r="AA349">
        <f>OR(P349&lt;10,Q349&lt;23)</f>
        <v/>
      </c>
      <c r="AB349">
        <f>OR((C349+D349)&lt;66,(E349+F349)&lt;66,G349&lt;33,(H349+I349)&lt;66,Y349,Z349,AA349,R349&lt;8.25)</f>
        <v/>
      </c>
      <c r="AC349">
        <f>IF(C349+D349&lt;66,0,IF((C349+D349)/2&gt;=80,5,IF((C349+D349)/2&gt;=70,4,IF((C349+D349)/2&gt;=60,3.5,IF((C349+D349)/2&gt;=50,3,IF((C349+D349)/2&gt;=40,2,IF((C349+D349)/2&gt;=33,1,0)))))))</f>
        <v/>
      </c>
      <c r="AD349">
        <f>IF(E349+F349&lt;66,0,IF((E349+F349)/2&gt;=80,5,IF((E349+F349)/2&gt;=70,4,IF((E349+F349)/2&gt;=60,3.5,IF((E349+F349)/2&gt;=50,3,IF((E349+F349)/2&gt;=40,2,IF((E349+F349)/2&gt;=33,1,0)))))))</f>
        <v/>
      </c>
      <c r="AE349">
        <f>IF(G349&lt;33,0,IF(G349&gt;=80,5,IF(G349&gt;=70,4,IF(G349&gt;=60,3.5,IF(G349&gt;=50,3,IF(G349&gt;=40,2,IF(G349&gt;=33,1,0)))))))</f>
        <v/>
      </c>
      <c r="AF349">
        <f>IF(H349+I349&lt;66,0,IF((H349+I349)/2&gt;=80,5,IF((H349+I349)/2&gt;=70,4,IF((H349+I349)/2&gt;=60,3.5,IF((H349+I349)/2&gt;=50,3,IF((H349+I349)/2&gt;=40,2,IF((H349+I349)/2&gt;=33,1,0)))))))</f>
        <v/>
      </c>
      <c r="AG349">
        <f>IF(Y349,0,IF((J349+K349+L349+M349)/2&gt;=80,5,IF((J349+K349+L349+M349)/2&gt;=70,4,IF((J349+K349+L349+M349)/2&gt;=60,3.5,IF((J349+K349+L349+M349)/2&gt;=50,3,IF((J349+K349+L349+M349)/2&gt;=40,2,IF((J349+K349+L349+M349)/2&gt;=33,1,0)))))))</f>
        <v/>
      </c>
      <c r="AH349">
        <f>IF(Z349,0,IF(N349+O349&gt;=80,5,IF(N349+O349&gt;=70,4,IF(N349+O349&gt;=60,3.5,IF(N349+O349&gt;=50,3,IF(N349+O349&gt;=40,2,IF(N349+O349&gt;=33,1,0)))))))</f>
        <v/>
      </c>
      <c r="AI349">
        <f>IF(AA349,0,IF(P349+Q349&gt;=80,5,IF(P349+Q349&gt;=70,4,IF(P349+Q349&gt;=60,3.5,IF(P349+Q349&gt;=50,3,IF(P349+Q349&gt;=40,2,IF(P349+Q349&gt;=33,1,0)))))))</f>
        <v/>
      </c>
      <c r="AJ349">
        <f>IF(R349&lt;8.25,0,IF(R349*2&gt;=80,5,IF(R349*2&gt;=70,4,IF(R349*2&gt;=60,3.5,IF(R349*2&gt;=50,3,IF(R349*2&gt;=40,2,IF(R349*2&gt;=33,1,0)))))))</f>
        <v/>
      </c>
      <c r="AK349">
        <f>IF(S349&lt;33,0,IF(S349&gt;=80,5,IF(S349&gt;=70,4,IF(S349&gt;=60,3.5,IF(S349&gt;=50,3,IF(S349&gt;=40,2,IF(S349&gt;=33,1,0)))))))</f>
        <v/>
      </c>
      <c r="AL349">
        <f>(AC349+AD349+AE349+AF349+AG349+AH349+AI349+AJ349)/8</f>
        <v/>
      </c>
      <c r="AM349">
        <f>IF(AK349&gt;=2,(AK349-2)/8,0)</f>
        <v/>
      </c>
    </row>
    <row r="350">
      <c r="T350">
        <f>SUM(C350:R350)</f>
        <v/>
      </c>
      <c r="U350" s="6">
        <f>ROUND(T350/11.5,2)</f>
        <v/>
      </c>
      <c r="V350" s="7">
        <f>IF(B350="","",IF(AB350,0,ROUND(AL350,2)))</f>
        <v/>
      </c>
      <c r="W350" s="7">
        <f>IF(B350="","",IF(AB350,0,MIN(5,ROUND(AL350+AM350,2))))</f>
        <v/>
      </c>
      <c r="X350" s="8">
        <f>IF(B350="","",IF(W350&gt;=5,"A+",IF(W350&gt;=4,"A",IF(W350&gt;=3.5,"A-",IF(W350&gt;=3,"B",IF(W350&gt;=2,"C",IF(W350&gt;=1,"D","F")))))))</f>
        <v/>
      </c>
      <c r="Y350">
        <f>NOT(OR(AND(J350&gt;=10,K350&gt;=23,L350&gt;=10,M350&gt;=23),AND(J350+L350&gt;=20,K350+M350&gt;=46)))</f>
        <v/>
      </c>
      <c r="Z350">
        <f>OR(N350&lt;10,O350&lt;23)</f>
        <v/>
      </c>
      <c r="AA350">
        <f>OR(P350&lt;10,Q350&lt;23)</f>
        <v/>
      </c>
      <c r="AB350">
        <f>OR((C350+D350)&lt;66,(E350+F350)&lt;66,G350&lt;33,(H350+I350)&lt;66,Y350,Z350,AA350,R350&lt;8.25)</f>
        <v/>
      </c>
      <c r="AC350">
        <f>IF(C350+D350&lt;66,0,IF((C350+D350)/2&gt;=80,5,IF((C350+D350)/2&gt;=70,4,IF((C350+D350)/2&gt;=60,3.5,IF((C350+D350)/2&gt;=50,3,IF((C350+D350)/2&gt;=40,2,IF((C350+D350)/2&gt;=33,1,0)))))))</f>
        <v/>
      </c>
      <c r="AD350">
        <f>IF(E350+F350&lt;66,0,IF((E350+F350)/2&gt;=80,5,IF((E350+F350)/2&gt;=70,4,IF((E350+F350)/2&gt;=60,3.5,IF((E350+F350)/2&gt;=50,3,IF((E350+F350)/2&gt;=40,2,IF((E350+F350)/2&gt;=33,1,0)))))))</f>
        <v/>
      </c>
      <c r="AE350">
        <f>IF(G350&lt;33,0,IF(G350&gt;=80,5,IF(G350&gt;=70,4,IF(G350&gt;=60,3.5,IF(G350&gt;=50,3,IF(G350&gt;=40,2,IF(G350&gt;=33,1,0)))))))</f>
        <v/>
      </c>
      <c r="AF350">
        <f>IF(H350+I350&lt;66,0,IF((H350+I350)/2&gt;=80,5,IF((H350+I350)/2&gt;=70,4,IF((H350+I350)/2&gt;=60,3.5,IF((H350+I350)/2&gt;=50,3,IF((H350+I350)/2&gt;=40,2,IF((H350+I350)/2&gt;=33,1,0)))))))</f>
        <v/>
      </c>
      <c r="AG350">
        <f>IF(Y350,0,IF((J350+K350+L350+M350)/2&gt;=80,5,IF((J350+K350+L350+M350)/2&gt;=70,4,IF((J350+K350+L350+M350)/2&gt;=60,3.5,IF((J350+K350+L350+M350)/2&gt;=50,3,IF((J350+K350+L350+M350)/2&gt;=40,2,IF((J350+K350+L350+M350)/2&gt;=33,1,0)))))))</f>
        <v/>
      </c>
      <c r="AH350">
        <f>IF(Z350,0,IF(N350+O350&gt;=80,5,IF(N350+O350&gt;=70,4,IF(N350+O350&gt;=60,3.5,IF(N350+O350&gt;=50,3,IF(N350+O350&gt;=40,2,IF(N350+O350&gt;=33,1,0)))))))</f>
        <v/>
      </c>
      <c r="AI350">
        <f>IF(AA350,0,IF(P350+Q350&gt;=80,5,IF(P350+Q350&gt;=70,4,IF(P350+Q350&gt;=60,3.5,IF(P350+Q350&gt;=50,3,IF(P350+Q350&gt;=40,2,IF(P350+Q350&gt;=33,1,0)))))))</f>
        <v/>
      </c>
      <c r="AJ350">
        <f>IF(R350&lt;8.25,0,IF(R350*2&gt;=80,5,IF(R350*2&gt;=70,4,IF(R350*2&gt;=60,3.5,IF(R350*2&gt;=50,3,IF(R350*2&gt;=40,2,IF(R350*2&gt;=33,1,0)))))))</f>
        <v/>
      </c>
      <c r="AK350">
        <f>IF(S350&lt;33,0,IF(S350&gt;=80,5,IF(S350&gt;=70,4,IF(S350&gt;=60,3.5,IF(S350&gt;=50,3,IF(S350&gt;=40,2,IF(S350&gt;=33,1,0)))))))</f>
        <v/>
      </c>
      <c r="AL350">
        <f>(AC350+AD350+AE350+AF350+AG350+AH350+AI350+AJ350)/8</f>
        <v/>
      </c>
      <c r="AM350">
        <f>IF(AK350&gt;=2,(AK350-2)/8,0)</f>
        <v/>
      </c>
    </row>
    <row r="351">
      <c r="T351">
        <f>SUM(C351:R351)</f>
        <v/>
      </c>
      <c r="U351" s="6">
        <f>ROUND(T351/11.5,2)</f>
        <v/>
      </c>
      <c r="V351" s="7">
        <f>IF(B351="","",IF(AB351,0,ROUND(AL351,2)))</f>
        <v/>
      </c>
      <c r="W351" s="7">
        <f>IF(B351="","",IF(AB351,0,MIN(5,ROUND(AL351+AM351,2))))</f>
        <v/>
      </c>
      <c r="X351" s="8">
        <f>IF(B351="","",IF(W351&gt;=5,"A+",IF(W351&gt;=4,"A",IF(W351&gt;=3.5,"A-",IF(W351&gt;=3,"B",IF(W351&gt;=2,"C",IF(W351&gt;=1,"D","F")))))))</f>
        <v/>
      </c>
      <c r="Y351">
        <f>NOT(OR(AND(J351&gt;=10,K351&gt;=23,L351&gt;=10,M351&gt;=23),AND(J351+L351&gt;=20,K351+M351&gt;=46)))</f>
        <v/>
      </c>
      <c r="Z351">
        <f>OR(N351&lt;10,O351&lt;23)</f>
        <v/>
      </c>
      <c r="AA351">
        <f>OR(P351&lt;10,Q351&lt;23)</f>
        <v/>
      </c>
      <c r="AB351">
        <f>OR((C351+D351)&lt;66,(E351+F351)&lt;66,G351&lt;33,(H351+I351)&lt;66,Y351,Z351,AA351,R351&lt;8.25)</f>
        <v/>
      </c>
      <c r="AC351">
        <f>IF(C351+D351&lt;66,0,IF((C351+D351)/2&gt;=80,5,IF((C351+D351)/2&gt;=70,4,IF((C351+D351)/2&gt;=60,3.5,IF((C351+D351)/2&gt;=50,3,IF((C351+D351)/2&gt;=40,2,IF((C351+D351)/2&gt;=33,1,0)))))))</f>
        <v/>
      </c>
      <c r="AD351">
        <f>IF(E351+F351&lt;66,0,IF((E351+F351)/2&gt;=80,5,IF((E351+F351)/2&gt;=70,4,IF((E351+F351)/2&gt;=60,3.5,IF((E351+F351)/2&gt;=50,3,IF((E351+F351)/2&gt;=40,2,IF((E351+F351)/2&gt;=33,1,0)))))))</f>
        <v/>
      </c>
      <c r="AE351">
        <f>IF(G351&lt;33,0,IF(G351&gt;=80,5,IF(G351&gt;=70,4,IF(G351&gt;=60,3.5,IF(G351&gt;=50,3,IF(G351&gt;=40,2,IF(G351&gt;=33,1,0)))))))</f>
        <v/>
      </c>
      <c r="AF351">
        <f>IF(H351+I351&lt;66,0,IF((H351+I351)/2&gt;=80,5,IF((H351+I351)/2&gt;=70,4,IF((H351+I351)/2&gt;=60,3.5,IF((H351+I351)/2&gt;=50,3,IF((H351+I351)/2&gt;=40,2,IF((H351+I351)/2&gt;=33,1,0)))))))</f>
        <v/>
      </c>
      <c r="AG351">
        <f>IF(Y351,0,IF((J351+K351+L351+M351)/2&gt;=80,5,IF((J351+K351+L351+M351)/2&gt;=70,4,IF((J351+K351+L351+M351)/2&gt;=60,3.5,IF((J351+K351+L351+M351)/2&gt;=50,3,IF((J351+K351+L351+M351)/2&gt;=40,2,IF((J351+K351+L351+M351)/2&gt;=33,1,0)))))))</f>
        <v/>
      </c>
      <c r="AH351">
        <f>IF(Z351,0,IF(N351+O351&gt;=80,5,IF(N351+O351&gt;=70,4,IF(N351+O351&gt;=60,3.5,IF(N351+O351&gt;=50,3,IF(N351+O351&gt;=40,2,IF(N351+O351&gt;=33,1,0)))))))</f>
        <v/>
      </c>
      <c r="AI351">
        <f>IF(AA351,0,IF(P351+Q351&gt;=80,5,IF(P351+Q351&gt;=70,4,IF(P351+Q351&gt;=60,3.5,IF(P351+Q351&gt;=50,3,IF(P351+Q351&gt;=40,2,IF(P351+Q351&gt;=33,1,0)))))))</f>
        <v/>
      </c>
      <c r="AJ351">
        <f>IF(R351&lt;8.25,0,IF(R351*2&gt;=80,5,IF(R351*2&gt;=70,4,IF(R351*2&gt;=60,3.5,IF(R351*2&gt;=50,3,IF(R351*2&gt;=40,2,IF(R351*2&gt;=33,1,0)))))))</f>
        <v/>
      </c>
      <c r="AK351">
        <f>IF(S351&lt;33,0,IF(S351&gt;=80,5,IF(S351&gt;=70,4,IF(S351&gt;=60,3.5,IF(S351&gt;=50,3,IF(S351&gt;=40,2,IF(S351&gt;=33,1,0)))))))</f>
        <v/>
      </c>
      <c r="AL351">
        <f>(AC351+AD351+AE351+AF351+AG351+AH351+AI351+AJ351)/8</f>
        <v/>
      </c>
      <c r="AM351">
        <f>IF(AK351&gt;=2,(AK351-2)/8,0)</f>
        <v/>
      </c>
    </row>
    <row r="352">
      <c r="T352">
        <f>SUM(C352:R352)</f>
        <v/>
      </c>
      <c r="U352" s="6">
        <f>ROUND(T352/11.5,2)</f>
        <v/>
      </c>
      <c r="V352" s="7">
        <f>IF(B352="","",IF(AB352,0,ROUND(AL352,2)))</f>
        <v/>
      </c>
      <c r="W352" s="7">
        <f>IF(B352="","",IF(AB352,0,MIN(5,ROUND(AL352+AM352,2))))</f>
        <v/>
      </c>
      <c r="X352" s="8">
        <f>IF(B352="","",IF(W352&gt;=5,"A+",IF(W352&gt;=4,"A",IF(W352&gt;=3.5,"A-",IF(W352&gt;=3,"B",IF(W352&gt;=2,"C",IF(W352&gt;=1,"D","F")))))))</f>
        <v/>
      </c>
      <c r="Y352">
        <f>NOT(OR(AND(J352&gt;=10,K352&gt;=23,L352&gt;=10,M352&gt;=23),AND(J352+L352&gt;=20,K352+M352&gt;=46)))</f>
        <v/>
      </c>
      <c r="Z352">
        <f>OR(N352&lt;10,O352&lt;23)</f>
        <v/>
      </c>
      <c r="AA352">
        <f>OR(P352&lt;10,Q352&lt;23)</f>
        <v/>
      </c>
      <c r="AB352">
        <f>OR((C352+D352)&lt;66,(E352+F352)&lt;66,G352&lt;33,(H352+I352)&lt;66,Y352,Z352,AA352,R352&lt;8.25)</f>
        <v/>
      </c>
      <c r="AC352">
        <f>IF(C352+D352&lt;66,0,IF((C352+D352)/2&gt;=80,5,IF((C352+D352)/2&gt;=70,4,IF((C352+D352)/2&gt;=60,3.5,IF((C352+D352)/2&gt;=50,3,IF((C352+D352)/2&gt;=40,2,IF((C352+D352)/2&gt;=33,1,0)))))))</f>
        <v/>
      </c>
      <c r="AD352">
        <f>IF(E352+F352&lt;66,0,IF((E352+F352)/2&gt;=80,5,IF((E352+F352)/2&gt;=70,4,IF((E352+F352)/2&gt;=60,3.5,IF((E352+F352)/2&gt;=50,3,IF((E352+F352)/2&gt;=40,2,IF((E352+F352)/2&gt;=33,1,0)))))))</f>
        <v/>
      </c>
      <c r="AE352">
        <f>IF(G352&lt;33,0,IF(G352&gt;=80,5,IF(G352&gt;=70,4,IF(G352&gt;=60,3.5,IF(G352&gt;=50,3,IF(G352&gt;=40,2,IF(G352&gt;=33,1,0)))))))</f>
        <v/>
      </c>
      <c r="AF352">
        <f>IF(H352+I352&lt;66,0,IF((H352+I352)/2&gt;=80,5,IF((H352+I352)/2&gt;=70,4,IF((H352+I352)/2&gt;=60,3.5,IF((H352+I352)/2&gt;=50,3,IF((H352+I352)/2&gt;=40,2,IF((H352+I352)/2&gt;=33,1,0)))))))</f>
        <v/>
      </c>
      <c r="AG352">
        <f>IF(Y352,0,IF((J352+K352+L352+M352)/2&gt;=80,5,IF((J352+K352+L352+M352)/2&gt;=70,4,IF((J352+K352+L352+M352)/2&gt;=60,3.5,IF((J352+K352+L352+M352)/2&gt;=50,3,IF((J352+K352+L352+M352)/2&gt;=40,2,IF((J352+K352+L352+M352)/2&gt;=33,1,0)))))))</f>
        <v/>
      </c>
      <c r="AH352">
        <f>IF(Z352,0,IF(N352+O352&gt;=80,5,IF(N352+O352&gt;=70,4,IF(N352+O352&gt;=60,3.5,IF(N352+O352&gt;=50,3,IF(N352+O352&gt;=40,2,IF(N352+O352&gt;=33,1,0)))))))</f>
        <v/>
      </c>
      <c r="AI352">
        <f>IF(AA352,0,IF(P352+Q352&gt;=80,5,IF(P352+Q352&gt;=70,4,IF(P352+Q352&gt;=60,3.5,IF(P352+Q352&gt;=50,3,IF(P352+Q352&gt;=40,2,IF(P352+Q352&gt;=33,1,0)))))))</f>
        <v/>
      </c>
      <c r="AJ352">
        <f>IF(R352&lt;8.25,0,IF(R352*2&gt;=80,5,IF(R352*2&gt;=70,4,IF(R352*2&gt;=60,3.5,IF(R352*2&gt;=50,3,IF(R352*2&gt;=40,2,IF(R352*2&gt;=33,1,0)))))))</f>
        <v/>
      </c>
      <c r="AK352">
        <f>IF(S352&lt;33,0,IF(S352&gt;=80,5,IF(S352&gt;=70,4,IF(S352&gt;=60,3.5,IF(S352&gt;=50,3,IF(S352&gt;=40,2,IF(S352&gt;=33,1,0)))))))</f>
        <v/>
      </c>
      <c r="AL352">
        <f>(AC352+AD352+AE352+AF352+AG352+AH352+AI352+AJ352)/8</f>
        <v/>
      </c>
      <c r="AM352">
        <f>IF(AK352&gt;=2,(AK352-2)/8,0)</f>
        <v/>
      </c>
    </row>
    <row r="353">
      <c r="T353">
        <f>SUM(C353:R353)</f>
        <v/>
      </c>
      <c r="U353" s="6">
        <f>ROUND(T353/11.5,2)</f>
        <v/>
      </c>
      <c r="V353" s="7">
        <f>IF(B353="","",IF(AB353,0,ROUND(AL353,2)))</f>
        <v/>
      </c>
      <c r="W353" s="7">
        <f>IF(B353="","",IF(AB353,0,MIN(5,ROUND(AL353+AM353,2))))</f>
        <v/>
      </c>
      <c r="X353" s="8">
        <f>IF(B353="","",IF(W353&gt;=5,"A+",IF(W353&gt;=4,"A",IF(W353&gt;=3.5,"A-",IF(W353&gt;=3,"B",IF(W353&gt;=2,"C",IF(W353&gt;=1,"D","F")))))))</f>
        <v/>
      </c>
      <c r="Y353">
        <f>NOT(OR(AND(J353&gt;=10,K353&gt;=23,L353&gt;=10,M353&gt;=23),AND(J353+L353&gt;=20,K353+M353&gt;=46)))</f>
        <v/>
      </c>
      <c r="Z353">
        <f>OR(N353&lt;10,O353&lt;23)</f>
        <v/>
      </c>
      <c r="AA353">
        <f>OR(P353&lt;10,Q353&lt;23)</f>
        <v/>
      </c>
      <c r="AB353">
        <f>OR((C353+D353)&lt;66,(E353+F353)&lt;66,G353&lt;33,(H353+I353)&lt;66,Y353,Z353,AA353,R353&lt;8.25)</f>
        <v/>
      </c>
      <c r="AC353">
        <f>IF(C353+D353&lt;66,0,IF((C353+D353)/2&gt;=80,5,IF((C353+D353)/2&gt;=70,4,IF((C353+D353)/2&gt;=60,3.5,IF((C353+D353)/2&gt;=50,3,IF((C353+D353)/2&gt;=40,2,IF((C353+D353)/2&gt;=33,1,0)))))))</f>
        <v/>
      </c>
      <c r="AD353">
        <f>IF(E353+F353&lt;66,0,IF((E353+F353)/2&gt;=80,5,IF((E353+F353)/2&gt;=70,4,IF((E353+F353)/2&gt;=60,3.5,IF((E353+F353)/2&gt;=50,3,IF((E353+F353)/2&gt;=40,2,IF((E353+F353)/2&gt;=33,1,0)))))))</f>
        <v/>
      </c>
      <c r="AE353">
        <f>IF(G353&lt;33,0,IF(G353&gt;=80,5,IF(G353&gt;=70,4,IF(G353&gt;=60,3.5,IF(G353&gt;=50,3,IF(G353&gt;=40,2,IF(G353&gt;=33,1,0)))))))</f>
        <v/>
      </c>
      <c r="AF353">
        <f>IF(H353+I353&lt;66,0,IF((H353+I353)/2&gt;=80,5,IF((H353+I353)/2&gt;=70,4,IF((H353+I353)/2&gt;=60,3.5,IF((H353+I353)/2&gt;=50,3,IF((H353+I353)/2&gt;=40,2,IF((H353+I353)/2&gt;=33,1,0)))))))</f>
        <v/>
      </c>
      <c r="AG353">
        <f>IF(Y353,0,IF((J353+K353+L353+M353)/2&gt;=80,5,IF((J353+K353+L353+M353)/2&gt;=70,4,IF((J353+K353+L353+M353)/2&gt;=60,3.5,IF((J353+K353+L353+M353)/2&gt;=50,3,IF((J353+K353+L353+M353)/2&gt;=40,2,IF((J353+K353+L353+M353)/2&gt;=33,1,0)))))))</f>
        <v/>
      </c>
      <c r="AH353">
        <f>IF(Z353,0,IF(N353+O353&gt;=80,5,IF(N353+O353&gt;=70,4,IF(N353+O353&gt;=60,3.5,IF(N353+O353&gt;=50,3,IF(N353+O353&gt;=40,2,IF(N353+O353&gt;=33,1,0)))))))</f>
        <v/>
      </c>
      <c r="AI353">
        <f>IF(AA353,0,IF(P353+Q353&gt;=80,5,IF(P353+Q353&gt;=70,4,IF(P353+Q353&gt;=60,3.5,IF(P353+Q353&gt;=50,3,IF(P353+Q353&gt;=40,2,IF(P353+Q353&gt;=33,1,0)))))))</f>
        <v/>
      </c>
      <c r="AJ353">
        <f>IF(R353&lt;8.25,0,IF(R353*2&gt;=80,5,IF(R353*2&gt;=70,4,IF(R353*2&gt;=60,3.5,IF(R353*2&gt;=50,3,IF(R353*2&gt;=40,2,IF(R353*2&gt;=33,1,0)))))))</f>
        <v/>
      </c>
      <c r="AK353">
        <f>IF(S353&lt;33,0,IF(S353&gt;=80,5,IF(S353&gt;=70,4,IF(S353&gt;=60,3.5,IF(S353&gt;=50,3,IF(S353&gt;=40,2,IF(S353&gt;=33,1,0)))))))</f>
        <v/>
      </c>
      <c r="AL353">
        <f>(AC353+AD353+AE353+AF353+AG353+AH353+AI353+AJ353)/8</f>
        <v/>
      </c>
      <c r="AM353">
        <f>IF(AK353&gt;=2,(AK353-2)/8,0)</f>
        <v/>
      </c>
    </row>
    <row r="354">
      <c r="T354">
        <f>SUM(C354:R354)</f>
        <v/>
      </c>
      <c r="U354" s="6">
        <f>ROUND(T354/11.5,2)</f>
        <v/>
      </c>
      <c r="V354" s="7">
        <f>IF(B354="","",IF(AB354,0,ROUND(AL354,2)))</f>
        <v/>
      </c>
      <c r="W354" s="7">
        <f>IF(B354="","",IF(AB354,0,MIN(5,ROUND(AL354+AM354,2))))</f>
        <v/>
      </c>
      <c r="X354" s="8">
        <f>IF(B354="","",IF(W354&gt;=5,"A+",IF(W354&gt;=4,"A",IF(W354&gt;=3.5,"A-",IF(W354&gt;=3,"B",IF(W354&gt;=2,"C",IF(W354&gt;=1,"D","F")))))))</f>
        <v/>
      </c>
      <c r="Y354">
        <f>NOT(OR(AND(J354&gt;=10,K354&gt;=23,L354&gt;=10,M354&gt;=23),AND(J354+L354&gt;=20,K354+M354&gt;=46)))</f>
        <v/>
      </c>
      <c r="Z354">
        <f>OR(N354&lt;10,O354&lt;23)</f>
        <v/>
      </c>
      <c r="AA354">
        <f>OR(P354&lt;10,Q354&lt;23)</f>
        <v/>
      </c>
      <c r="AB354">
        <f>OR((C354+D354)&lt;66,(E354+F354)&lt;66,G354&lt;33,(H354+I354)&lt;66,Y354,Z354,AA354,R354&lt;8.25)</f>
        <v/>
      </c>
      <c r="AC354">
        <f>IF(C354+D354&lt;66,0,IF((C354+D354)/2&gt;=80,5,IF((C354+D354)/2&gt;=70,4,IF((C354+D354)/2&gt;=60,3.5,IF((C354+D354)/2&gt;=50,3,IF((C354+D354)/2&gt;=40,2,IF((C354+D354)/2&gt;=33,1,0)))))))</f>
        <v/>
      </c>
      <c r="AD354">
        <f>IF(E354+F354&lt;66,0,IF((E354+F354)/2&gt;=80,5,IF((E354+F354)/2&gt;=70,4,IF((E354+F354)/2&gt;=60,3.5,IF((E354+F354)/2&gt;=50,3,IF((E354+F354)/2&gt;=40,2,IF((E354+F354)/2&gt;=33,1,0)))))))</f>
        <v/>
      </c>
      <c r="AE354">
        <f>IF(G354&lt;33,0,IF(G354&gt;=80,5,IF(G354&gt;=70,4,IF(G354&gt;=60,3.5,IF(G354&gt;=50,3,IF(G354&gt;=40,2,IF(G354&gt;=33,1,0)))))))</f>
        <v/>
      </c>
      <c r="AF354">
        <f>IF(H354+I354&lt;66,0,IF((H354+I354)/2&gt;=80,5,IF((H354+I354)/2&gt;=70,4,IF((H354+I354)/2&gt;=60,3.5,IF((H354+I354)/2&gt;=50,3,IF((H354+I354)/2&gt;=40,2,IF((H354+I354)/2&gt;=33,1,0)))))))</f>
        <v/>
      </c>
      <c r="AG354">
        <f>IF(Y354,0,IF((J354+K354+L354+M354)/2&gt;=80,5,IF((J354+K354+L354+M354)/2&gt;=70,4,IF((J354+K354+L354+M354)/2&gt;=60,3.5,IF((J354+K354+L354+M354)/2&gt;=50,3,IF((J354+K354+L354+M354)/2&gt;=40,2,IF((J354+K354+L354+M354)/2&gt;=33,1,0)))))))</f>
        <v/>
      </c>
      <c r="AH354">
        <f>IF(Z354,0,IF(N354+O354&gt;=80,5,IF(N354+O354&gt;=70,4,IF(N354+O354&gt;=60,3.5,IF(N354+O354&gt;=50,3,IF(N354+O354&gt;=40,2,IF(N354+O354&gt;=33,1,0)))))))</f>
        <v/>
      </c>
      <c r="AI354">
        <f>IF(AA354,0,IF(P354+Q354&gt;=80,5,IF(P354+Q354&gt;=70,4,IF(P354+Q354&gt;=60,3.5,IF(P354+Q354&gt;=50,3,IF(P354+Q354&gt;=40,2,IF(P354+Q354&gt;=33,1,0)))))))</f>
        <v/>
      </c>
      <c r="AJ354">
        <f>IF(R354&lt;8.25,0,IF(R354*2&gt;=80,5,IF(R354*2&gt;=70,4,IF(R354*2&gt;=60,3.5,IF(R354*2&gt;=50,3,IF(R354*2&gt;=40,2,IF(R354*2&gt;=33,1,0)))))))</f>
        <v/>
      </c>
      <c r="AK354">
        <f>IF(S354&lt;33,0,IF(S354&gt;=80,5,IF(S354&gt;=70,4,IF(S354&gt;=60,3.5,IF(S354&gt;=50,3,IF(S354&gt;=40,2,IF(S354&gt;=33,1,0)))))))</f>
        <v/>
      </c>
      <c r="AL354">
        <f>(AC354+AD354+AE354+AF354+AG354+AH354+AI354+AJ354)/8</f>
        <v/>
      </c>
      <c r="AM354">
        <f>IF(AK354&gt;=2,(AK354-2)/8,0)</f>
        <v/>
      </c>
    </row>
    <row r="355">
      <c r="T355">
        <f>SUM(C355:R355)</f>
        <v/>
      </c>
      <c r="U355" s="6">
        <f>ROUND(T355/11.5,2)</f>
        <v/>
      </c>
      <c r="V355" s="7">
        <f>IF(B355="","",IF(AB355,0,ROUND(AL355,2)))</f>
        <v/>
      </c>
      <c r="W355" s="7">
        <f>IF(B355="","",IF(AB355,0,MIN(5,ROUND(AL355+AM355,2))))</f>
        <v/>
      </c>
      <c r="X355" s="8">
        <f>IF(B355="","",IF(W355&gt;=5,"A+",IF(W355&gt;=4,"A",IF(W355&gt;=3.5,"A-",IF(W355&gt;=3,"B",IF(W355&gt;=2,"C",IF(W355&gt;=1,"D","F")))))))</f>
        <v/>
      </c>
      <c r="Y355">
        <f>NOT(OR(AND(J355&gt;=10,K355&gt;=23,L355&gt;=10,M355&gt;=23),AND(J355+L355&gt;=20,K355+M355&gt;=46)))</f>
        <v/>
      </c>
      <c r="Z355">
        <f>OR(N355&lt;10,O355&lt;23)</f>
        <v/>
      </c>
      <c r="AA355">
        <f>OR(P355&lt;10,Q355&lt;23)</f>
        <v/>
      </c>
      <c r="AB355">
        <f>OR((C355+D355)&lt;66,(E355+F355)&lt;66,G355&lt;33,(H355+I355)&lt;66,Y355,Z355,AA355,R355&lt;8.25)</f>
        <v/>
      </c>
      <c r="AC355">
        <f>IF(C355+D355&lt;66,0,IF((C355+D355)/2&gt;=80,5,IF((C355+D355)/2&gt;=70,4,IF((C355+D355)/2&gt;=60,3.5,IF((C355+D355)/2&gt;=50,3,IF((C355+D355)/2&gt;=40,2,IF((C355+D355)/2&gt;=33,1,0)))))))</f>
        <v/>
      </c>
      <c r="AD355">
        <f>IF(E355+F355&lt;66,0,IF((E355+F355)/2&gt;=80,5,IF((E355+F355)/2&gt;=70,4,IF((E355+F355)/2&gt;=60,3.5,IF((E355+F355)/2&gt;=50,3,IF((E355+F355)/2&gt;=40,2,IF((E355+F355)/2&gt;=33,1,0)))))))</f>
        <v/>
      </c>
      <c r="AE355">
        <f>IF(G355&lt;33,0,IF(G355&gt;=80,5,IF(G355&gt;=70,4,IF(G355&gt;=60,3.5,IF(G355&gt;=50,3,IF(G355&gt;=40,2,IF(G355&gt;=33,1,0)))))))</f>
        <v/>
      </c>
      <c r="AF355">
        <f>IF(H355+I355&lt;66,0,IF((H355+I355)/2&gt;=80,5,IF((H355+I355)/2&gt;=70,4,IF((H355+I355)/2&gt;=60,3.5,IF((H355+I355)/2&gt;=50,3,IF((H355+I355)/2&gt;=40,2,IF((H355+I355)/2&gt;=33,1,0)))))))</f>
        <v/>
      </c>
      <c r="AG355">
        <f>IF(Y355,0,IF((J355+K355+L355+M355)/2&gt;=80,5,IF((J355+K355+L355+M355)/2&gt;=70,4,IF((J355+K355+L355+M355)/2&gt;=60,3.5,IF((J355+K355+L355+M355)/2&gt;=50,3,IF((J355+K355+L355+M355)/2&gt;=40,2,IF((J355+K355+L355+M355)/2&gt;=33,1,0)))))))</f>
        <v/>
      </c>
      <c r="AH355">
        <f>IF(Z355,0,IF(N355+O355&gt;=80,5,IF(N355+O355&gt;=70,4,IF(N355+O355&gt;=60,3.5,IF(N355+O355&gt;=50,3,IF(N355+O355&gt;=40,2,IF(N355+O355&gt;=33,1,0)))))))</f>
        <v/>
      </c>
      <c r="AI355">
        <f>IF(AA355,0,IF(P355+Q355&gt;=80,5,IF(P355+Q355&gt;=70,4,IF(P355+Q355&gt;=60,3.5,IF(P355+Q355&gt;=50,3,IF(P355+Q355&gt;=40,2,IF(P355+Q355&gt;=33,1,0)))))))</f>
        <v/>
      </c>
      <c r="AJ355">
        <f>IF(R355&lt;8.25,0,IF(R355*2&gt;=80,5,IF(R355*2&gt;=70,4,IF(R355*2&gt;=60,3.5,IF(R355*2&gt;=50,3,IF(R355*2&gt;=40,2,IF(R355*2&gt;=33,1,0)))))))</f>
        <v/>
      </c>
      <c r="AK355">
        <f>IF(S355&lt;33,0,IF(S355&gt;=80,5,IF(S355&gt;=70,4,IF(S355&gt;=60,3.5,IF(S355&gt;=50,3,IF(S355&gt;=40,2,IF(S355&gt;=33,1,0)))))))</f>
        <v/>
      </c>
      <c r="AL355">
        <f>(AC355+AD355+AE355+AF355+AG355+AH355+AI355+AJ355)/8</f>
        <v/>
      </c>
      <c r="AM355">
        <f>IF(AK355&gt;=2,(AK355-2)/8,0)</f>
        <v/>
      </c>
    </row>
    <row r="356">
      <c r="T356">
        <f>SUM(C356:R356)</f>
        <v/>
      </c>
      <c r="U356" s="6">
        <f>ROUND(T356/11.5,2)</f>
        <v/>
      </c>
      <c r="V356" s="7">
        <f>IF(B356="","",IF(AB356,0,ROUND(AL356,2)))</f>
        <v/>
      </c>
      <c r="W356" s="7">
        <f>IF(B356="","",IF(AB356,0,MIN(5,ROUND(AL356+AM356,2))))</f>
        <v/>
      </c>
      <c r="X356" s="8">
        <f>IF(B356="","",IF(W356&gt;=5,"A+",IF(W356&gt;=4,"A",IF(W356&gt;=3.5,"A-",IF(W356&gt;=3,"B",IF(W356&gt;=2,"C",IF(W356&gt;=1,"D","F")))))))</f>
        <v/>
      </c>
      <c r="Y356">
        <f>NOT(OR(AND(J356&gt;=10,K356&gt;=23,L356&gt;=10,M356&gt;=23),AND(J356+L356&gt;=20,K356+M356&gt;=46)))</f>
        <v/>
      </c>
      <c r="Z356">
        <f>OR(N356&lt;10,O356&lt;23)</f>
        <v/>
      </c>
      <c r="AA356">
        <f>OR(P356&lt;10,Q356&lt;23)</f>
        <v/>
      </c>
      <c r="AB356">
        <f>OR((C356+D356)&lt;66,(E356+F356)&lt;66,G356&lt;33,(H356+I356)&lt;66,Y356,Z356,AA356,R356&lt;8.25)</f>
        <v/>
      </c>
      <c r="AC356">
        <f>IF(C356+D356&lt;66,0,IF((C356+D356)/2&gt;=80,5,IF((C356+D356)/2&gt;=70,4,IF((C356+D356)/2&gt;=60,3.5,IF((C356+D356)/2&gt;=50,3,IF((C356+D356)/2&gt;=40,2,IF((C356+D356)/2&gt;=33,1,0)))))))</f>
        <v/>
      </c>
      <c r="AD356">
        <f>IF(E356+F356&lt;66,0,IF((E356+F356)/2&gt;=80,5,IF((E356+F356)/2&gt;=70,4,IF((E356+F356)/2&gt;=60,3.5,IF((E356+F356)/2&gt;=50,3,IF((E356+F356)/2&gt;=40,2,IF((E356+F356)/2&gt;=33,1,0)))))))</f>
        <v/>
      </c>
      <c r="AE356">
        <f>IF(G356&lt;33,0,IF(G356&gt;=80,5,IF(G356&gt;=70,4,IF(G356&gt;=60,3.5,IF(G356&gt;=50,3,IF(G356&gt;=40,2,IF(G356&gt;=33,1,0)))))))</f>
        <v/>
      </c>
      <c r="AF356">
        <f>IF(H356+I356&lt;66,0,IF((H356+I356)/2&gt;=80,5,IF((H356+I356)/2&gt;=70,4,IF((H356+I356)/2&gt;=60,3.5,IF((H356+I356)/2&gt;=50,3,IF((H356+I356)/2&gt;=40,2,IF((H356+I356)/2&gt;=33,1,0)))))))</f>
        <v/>
      </c>
      <c r="AG356">
        <f>IF(Y356,0,IF((J356+K356+L356+M356)/2&gt;=80,5,IF((J356+K356+L356+M356)/2&gt;=70,4,IF((J356+K356+L356+M356)/2&gt;=60,3.5,IF((J356+K356+L356+M356)/2&gt;=50,3,IF((J356+K356+L356+M356)/2&gt;=40,2,IF((J356+K356+L356+M356)/2&gt;=33,1,0)))))))</f>
        <v/>
      </c>
      <c r="AH356">
        <f>IF(Z356,0,IF(N356+O356&gt;=80,5,IF(N356+O356&gt;=70,4,IF(N356+O356&gt;=60,3.5,IF(N356+O356&gt;=50,3,IF(N356+O356&gt;=40,2,IF(N356+O356&gt;=33,1,0)))))))</f>
        <v/>
      </c>
      <c r="AI356">
        <f>IF(AA356,0,IF(P356+Q356&gt;=80,5,IF(P356+Q356&gt;=70,4,IF(P356+Q356&gt;=60,3.5,IF(P356+Q356&gt;=50,3,IF(P356+Q356&gt;=40,2,IF(P356+Q356&gt;=33,1,0)))))))</f>
        <v/>
      </c>
      <c r="AJ356">
        <f>IF(R356&lt;8.25,0,IF(R356*2&gt;=80,5,IF(R356*2&gt;=70,4,IF(R356*2&gt;=60,3.5,IF(R356*2&gt;=50,3,IF(R356*2&gt;=40,2,IF(R356*2&gt;=33,1,0)))))))</f>
        <v/>
      </c>
      <c r="AK356">
        <f>IF(S356&lt;33,0,IF(S356&gt;=80,5,IF(S356&gt;=70,4,IF(S356&gt;=60,3.5,IF(S356&gt;=50,3,IF(S356&gt;=40,2,IF(S356&gt;=33,1,0)))))))</f>
        <v/>
      </c>
      <c r="AL356">
        <f>(AC356+AD356+AE356+AF356+AG356+AH356+AI356+AJ356)/8</f>
        <v/>
      </c>
      <c r="AM356">
        <f>IF(AK356&gt;=2,(AK356-2)/8,0)</f>
        <v/>
      </c>
    </row>
    <row r="357">
      <c r="T357">
        <f>SUM(C357:R357)</f>
        <v/>
      </c>
      <c r="U357" s="6">
        <f>ROUND(T357/11.5,2)</f>
        <v/>
      </c>
      <c r="V357" s="7">
        <f>IF(B357="","",IF(AB357,0,ROUND(AL357,2)))</f>
        <v/>
      </c>
      <c r="W357" s="7">
        <f>IF(B357="","",IF(AB357,0,MIN(5,ROUND(AL357+AM357,2))))</f>
        <v/>
      </c>
      <c r="X357" s="8">
        <f>IF(B357="","",IF(W357&gt;=5,"A+",IF(W357&gt;=4,"A",IF(W357&gt;=3.5,"A-",IF(W357&gt;=3,"B",IF(W357&gt;=2,"C",IF(W357&gt;=1,"D","F")))))))</f>
        <v/>
      </c>
      <c r="Y357">
        <f>NOT(OR(AND(J357&gt;=10,K357&gt;=23,L357&gt;=10,M357&gt;=23),AND(J357+L357&gt;=20,K357+M357&gt;=46)))</f>
        <v/>
      </c>
      <c r="Z357">
        <f>OR(N357&lt;10,O357&lt;23)</f>
        <v/>
      </c>
      <c r="AA357">
        <f>OR(P357&lt;10,Q357&lt;23)</f>
        <v/>
      </c>
      <c r="AB357">
        <f>OR((C357+D357)&lt;66,(E357+F357)&lt;66,G357&lt;33,(H357+I357)&lt;66,Y357,Z357,AA357,R357&lt;8.25)</f>
        <v/>
      </c>
      <c r="AC357">
        <f>IF(C357+D357&lt;66,0,IF((C357+D357)/2&gt;=80,5,IF((C357+D357)/2&gt;=70,4,IF((C357+D357)/2&gt;=60,3.5,IF((C357+D357)/2&gt;=50,3,IF((C357+D357)/2&gt;=40,2,IF((C357+D357)/2&gt;=33,1,0)))))))</f>
        <v/>
      </c>
      <c r="AD357">
        <f>IF(E357+F357&lt;66,0,IF((E357+F357)/2&gt;=80,5,IF((E357+F357)/2&gt;=70,4,IF((E357+F357)/2&gt;=60,3.5,IF((E357+F357)/2&gt;=50,3,IF((E357+F357)/2&gt;=40,2,IF((E357+F357)/2&gt;=33,1,0)))))))</f>
        <v/>
      </c>
      <c r="AE357">
        <f>IF(G357&lt;33,0,IF(G357&gt;=80,5,IF(G357&gt;=70,4,IF(G357&gt;=60,3.5,IF(G357&gt;=50,3,IF(G357&gt;=40,2,IF(G357&gt;=33,1,0)))))))</f>
        <v/>
      </c>
      <c r="AF357">
        <f>IF(H357+I357&lt;66,0,IF((H357+I357)/2&gt;=80,5,IF((H357+I357)/2&gt;=70,4,IF((H357+I357)/2&gt;=60,3.5,IF((H357+I357)/2&gt;=50,3,IF((H357+I357)/2&gt;=40,2,IF((H357+I357)/2&gt;=33,1,0)))))))</f>
        <v/>
      </c>
      <c r="AG357">
        <f>IF(Y357,0,IF((J357+K357+L357+M357)/2&gt;=80,5,IF((J357+K357+L357+M357)/2&gt;=70,4,IF((J357+K357+L357+M357)/2&gt;=60,3.5,IF((J357+K357+L357+M357)/2&gt;=50,3,IF((J357+K357+L357+M357)/2&gt;=40,2,IF((J357+K357+L357+M357)/2&gt;=33,1,0)))))))</f>
        <v/>
      </c>
      <c r="AH357">
        <f>IF(Z357,0,IF(N357+O357&gt;=80,5,IF(N357+O357&gt;=70,4,IF(N357+O357&gt;=60,3.5,IF(N357+O357&gt;=50,3,IF(N357+O357&gt;=40,2,IF(N357+O357&gt;=33,1,0)))))))</f>
        <v/>
      </c>
      <c r="AI357">
        <f>IF(AA357,0,IF(P357+Q357&gt;=80,5,IF(P357+Q357&gt;=70,4,IF(P357+Q357&gt;=60,3.5,IF(P357+Q357&gt;=50,3,IF(P357+Q357&gt;=40,2,IF(P357+Q357&gt;=33,1,0)))))))</f>
        <v/>
      </c>
      <c r="AJ357">
        <f>IF(R357&lt;8.25,0,IF(R357*2&gt;=80,5,IF(R357*2&gt;=70,4,IF(R357*2&gt;=60,3.5,IF(R357*2&gt;=50,3,IF(R357*2&gt;=40,2,IF(R357*2&gt;=33,1,0)))))))</f>
        <v/>
      </c>
      <c r="AK357">
        <f>IF(S357&lt;33,0,IF(S357&gt;=80,5,IF(S357&gt;=70,4,IF(S357&gt;=60,3.5,IF(S357&gt;=50,3,IF(S357&gt;=40,2,IF(S357&gt;=33,1,0)))))))</f>
        <v/>
      </c>
      <c r="AL357">
        <f>(AC357+AD357+AE357+AF357+AG357+AH357+AI357+AJ357)/8</f>
        <v/>
      </c>
      <c r="AM357">
        <f>IF(AK357&gt;=2,(AK357-2)/8,0)</f>
        <v/>
      </c>
    </row>
    <row r="358">
      <c r="T358">
        <f>SUM(C358:R358)</f>
        <v/>
      </c>
      <c r="U358" s="6">
        <f>ROUND(T358/11.5,2)</f>
        <v/>
      </c>
      <c r="V358" s="7">
        <f>IF(B358="","",IF(AB358,0,ROUND(AL358,2)))</f>
        <v/>
      </c>
      <c r="W358" s="7">
        <f>IF(B358="","",IF(AB358,0,MIN(5,ROUND(AL358+AM358,2))))</f>
        <v/>
      </c>
      <c r="X358" s="8">
        <f>IF(B358="","",IF(W358&gt;=5,"A+",IF(W358&gt;=4,"A",IF(W358&gt;=3.5,"A-",IF(W358&gt;=3,"B",IF(W358&gt;=2,"C",IF(W358&gt;=1,"D","F")))))))</f>
        <v/>
      </c>
      <c r="Y358">
        <f>NOT(OR(AND(J358&gt;=10,K358&gt;=23,L358&gt;=10,M358&gt;=23),AND(J358+L358&gt;=20,K358+M358&gt;=46)))</f>
        <v/>
      </c>
      <c r="Z358">
        <f>OR(N358&lt;10,O358&lt;23)</f>
        <v/>
      </c>
      <c r="AA358">
        <f>OR(P358&lt;10,Q358&lt;23)</f>
        <v/>
      </c>
      <c r="AB358">
        <f>OR((C358+D358)&lt;66,(E358+F358)&lt;66,G358&lt;33,(H358+I358)&lt;66,Y358,Z358,AA358,R358&lt;8.25)</f>
        <v/>
      </c>
      <c r="AC358">
        <f>IF(C358+D358&lt;66,0,IF((C358+D358)/2&gt;=80,5,IF((C358+D358)/2&gt;=70,4,IF((C358+D358)/2&gt;=60,3.5,IF((C358+D358)/2&gt;=50,3,IF((C358+D358)/2&gt;=40,2,IF((C358+D358)/2&gt;=33,1,0)))))))</f>
        <v/>
      </c>
      <c r="AD358">
        <f>IF(E358+F358&lt;66,0,IF((E358+F358)/2&gt;=80,5,IF((E358+F358)/2&gt;=70,4,IF((E358+F358)/2&gt;=60,3.5,IF((E358+F358)/2&gt;=50,3,IF((E358+F358)/2&gt;=40,2,IF((E358+F358)/2&gt;=33,1,0)))))))</f>
        <v/>
      </c>
      <c r="AE358">
        <f>IF(G358&lt;33,0,IF(G358&gt;=80,5,IF(G358&gt;=70,4,IF(G358&gt;=60,3.5,IF(G358&gt;=50,3,IF(G358&gt;=40,2,IF(G358&gt;=33,1,0)))))))</f>
        <v/>
      </c>
      <c r="AF358">
        <f>IF(H358+I358&lt;66,0,IF((H358+I358)/2&gt;=80,5,IF((H358+I358)/2&gt;=70,4,IF((H358+I358)/2&gt;=60,3.5,IF((H358+I358)/2&gt;=50,3,IF((H358+I358)/2&gt;=40,2,IF((H358+I358)/2&gt;=33,1,0)))))))</f>
        <v/>
      </c>
      <c r="AG358">
        <f>IF(Y358,0,IF((J358+K358+L358+M358)/2&gt;=80,5,IF((J358+K358+L358+M358)/2&gt;=70,4,IF((J358+K358+L358+M358)/2&gt;=60,3.5,IF((J358+K358+L358+M358)/2&gt;=50,3,IF((J358+K358+L358+M358)/2&gt;=40,2,IF((J358+K358+L358+M358)/2&gt;=33,1,0)))))))</f>
        <v/>
      </c>
      <c r="AH358">
        <f>IF(Z358,0,IF(N358+O358&gt;=80,5,IF(N358+O358&gt;=70,4,IF(N358+O358&gt;=60,3.5,IF(N358+O358&gt;=50,3,IF(N358+O358&gt;=40,2,IF(N358+O358&gt;=33,1,0)))))))</f>
        <v/>
      </c>
      <c r="AI358">
        <f>IF(AA358,0,IF(P358+Q358&gt;=80,5,IF(P358+Q358&gt;=70,4,IF(P358+Q358&gt;=60,3.5,IF(P358+Q358&gt;=50,3,IF(P358+Q358&gt;=40,2,IF(P358+Q358&gt;=33,1,0)))))))</f>
        <v/>
      </c>
      <c r="AJ358">
        <f>IF(R358&lt;8.25,0,IF(R358*2&gt;=80,5,IF(R358*2&gt;=70,4,IF(R358*2&gt;=60,3.5,IF(R358*2&gt;=50,3,IF(R358*2&gt;=40,2,IF(R358*2&gt;=33,1,0)))))))</f>
        <v/>
      </c>
      <c r="AK358">
        <f>IF(S358&lt;33,0,IF(S358&gt;=80,5,IF(S358&gt;=70,4,IF(S358&gt;=60,3.5,IF(S358&gt;=50,3,IF(S358&gt;=40,2,IF(S358&gt;=33,1,0)))))))</f>
        <v/>
      </c>
      <c r="AL358">
        <f>(AC358+AD358+AE358+AF358+AG358+AH358+AI358+AJ358)/8</f>
        <v/>
      </c>
      <c r="AM358">
        <f>IF(AK358&gt;=2,(AK358-2)/8,0)</f>
        <v/>
      </c>
    </row>
    <row r="359">
      <c r="T359">
        <f>SUM(C359:R359)</f>
        <v/>
      </c>
      <c r="U359" s="6">
        <f>ROUND(T359/11.5,2)</f>
        <v/>
      </c>
      <c r="V359" s="7">
        <f>IF(B359="","",IF(AB359,0,ROUND(AL359,2)))</f>
        <v/>
      </c>
      <c r="W359" s="7">
        <f>IF(B359="","",IF(AB359,0,MIN(5,ROUND(AL359+AM359,2))))</f>
        <v/>
      </c>
      <c r="X359" s="8">
        <f>IF(B359="","",IF(W359&gt;=5,"A+",IF(W359&gt;=4,"A",IF(W359&gt;=3.5,"A-",IF(W359&gt;=3,"B",IF(W359&gt;=2,"C",IF(W359&gt;=1,"D","F")))))))</f>
        <v/>
      </c>
      <c r="Y359">
        <f>NOT(OR(AND(J359&gt;=10,K359&gt;=23,L359&gt;=10,M359&gt;=23),AND(J359+L359&gt;=20,K359+M359&gt;=46)))</f>
        <v/>
      </c>
      <c r="Z359">
        <f>OR(N359&lt;10,O359&lt;23)</f>
        <v/>
      </c>
      <c r="AA359">
        <f>OR(P359&lt;10,Q359&lt;23)</f>
        <v/>
      </c>
      <c r="AB359">
        <f>OR((C359+D359)&lt;66,(E359+F359)&lt;66,G359&lt;33,(H359+I359)&lt;66,Y359,Z359,AA359,R359&lt;8.25)</f>
        <v/>
      </c>
      <c r="AC359">
        <f>IF(C359+D359&lt;66,0,IF((C359+D359)/2&gt;=80,5,IF((C359+D359)/2&gt;=70,4,IF((C359+D359)/2&gt;=60,3.5,IF((C359+D359)/2&gt;=50,3,IF((C359+D359)/2&gt;=40,2,IF((C359+D359)/2&gt;=33,1,0)))))))</f>
        <v/>
      </c>
      <c r="AD359">
        <f>IF(E359+F359&lt;66,0,IF((E359+F359)/2&gt;=80,5,IF((E359+F359)/2&gt;=70,4,IF((E359+F359)/2&gt;=60,3.5,IF((E359+F359)/2&gt;=50,3,IF((E359+F359)/2&gt;=40,2,IF((E359+F359)/2&gt;=33,1,0)))))))</f>
        <v/>
      </c>
      <c r="AE359">
        <f>IF(G359&lt;33,0,IF(G359&gt;=80,5,IF(G359&gt;=70,4,IF(G359&gt;=60,3.5,IF(G359&gt;=50,3,IF(G359&gt;=40,2,IF(G359&gt;=33,1,0)))))))</f>
        <v/>
      </c>
      <c r="AF359">
        <f>IF(H359+I359&lt;66,0,IF((H359+I359)/2&gt;=80,5,IF((H359+I359)/2&gt;=70,4,IF((H359+I359)/2&gt;=60,3.5,IF((H359+I359)/2&gt;=50,3,IF((H359+I359)/2&gt;=40,2,IF((H359+I359)/2&gt;=33,1,0)))))))</f>
        <v/>
      </c>
      <c r="AG359">
        <f>IF(Y359,0,IF((J359+K359+L359+M359)/2&gt;=80,5,IF((J359+K359+L359+M359)/2&gt;=70,4,IF((J359+K359+L359+M359)/2&gt;=60,3.5,IF((J359+K359+L359+M359)/2&gt;=50,3,IF((J359+K359+L359+M359)/2&gt;=40,2,IF((J359+K359+L359+M359)/2&gt;=33,1,0)))))))</f>
        <v/>
      </c>
      <c r="AH359">
        <f>IF(Z359,0,IF(N359+O359&gt;=80,5,IF(N359+O359&gt;=70,4,IF(N359+O359&gt;=60,3.5,IF(N359+O359&gt;=50,3,IF(N359+O359&gt;=40,2,IF(N359+O359&gt;=33,1,0)))))))</f>
        <v/>
      </c>
      <c r="AI359">
        <f>IF(AA359,0,IF(P359+Q359&gt;=80,5,IF(P359+Q359&gt;=70,4,IF(P359+Q359&gt;=60,3.5,IF(P359+Q359&gt;=50,3,IF(P359+Q359&gt;=40,2,IF(P359+Q359&gt;=33,1,0)))))))</f>
        <v/>
      </c>
      <c r="AJ359">
        <f>IF(R359&lt;8.25,0,IF(R359*2&gt;=80,5,IF(R359*2&gt;=70,4,IF(R359*2&gt;=60,3.5,IF(R359*2&gt;=50,3,IF(R359*2&gt;=40,2,IF(R359*2&gt;=33,1,0)))))))</f>
        <v/>
      </c>
      <c r="AK359">
        <f>IF(S359&lt;33,0,IF(S359&gt;=80,5,IF(S359&gt;=70,4,IF(S359&gt;=60,3.5,IF(S359&gt;=50,3,IF(S359&gt;=40,2,IF(S359&gt;=33,1,0)))))))</f>
        <v/>
      </c>
      <c r="AL359">
        <f>(AC359+AD359+AE359+AF359+AG359+AH359+AI359+AJ359)/8</f>
        <v/>
      </c>
      <c r="AM359">
        <f>IF(AK359&gt;=2,(AK359-2)/8,0)</f>
        <v/>
      </c>
    </row>
    <row r="360">
      <c r="T360">
        <f>SUM(C360:R360)</f>
        <v/>
      </c>
      <c r="U360" s="6">
        <f>ROUND(T360/11.5,2)</f>
        <v/>
      </c>
      <c r="V360" s="7">
        <f>IF(B360="","",IF(AB360,0,ROUND(AL360,2)))</f>
        <v/>
      </c>
      <c r="W360" s="7">
        <f>IF(B360="","",IF(AB360,0,MIN(5,ROUND(AL360+AM360,2))))</f>
        <v/>
      </c>
      <c r="X360" s="8">
        <f>IF(B360="","",IF(W360&gt;=5,"A+",IF(W360&gt;=4,"A",IF(W360&gt;=3.5,"A-",IF(W360&gt;=3,"B",IF(W360&gt;=2,"C",IF(W360&gt;=1,"D","F")))))))</f>
        <v/>
      </c>
      <c r="Y360">
        <f>NOT(OR(AND(J360&gt;=10,K360&gt;=23,L360&gt;=10,M360&gt;=23),AND(J360+L360&gt;=20,K360+M360&gt;=46)))</f>
        <v/>
      </c>
      <c r="Z360">
        <f>OR(N360&lt;10,O360&lt;23)</f>
        <v/>
      </c>
      <c r="AA360">
        <f>OR(P360&lt;10,Q360&lt;23)</f>
        <v/>
      </c>
      <c r="AB360">
        <f>OR((C360+D360)&lt;66,(E360+F360)&lt;66,G360&lt;33,(H360+I360)&lt;66,Y360,Z360,AA360,R360&lt;8.25)</f>
        <v/>
      </c>
      <c r="AC360">
        <f>IF(C360+D360&lt;66,0,IF((C360+D360)/2&gt;=80,5,IF((C360+D360)/2&gt;=70,4,IF((C360+D360)/2&gt;=60,3.5,IF((C360+D360)/2&gt;=50,3,IF((C360+D360)/2&gt;=40,2,IF((C360+D360)/2&gt;=33,1,0)))))))</f>
        <v/>
      </c>
      <c r="AD360">
        <f>IF(E360+F360&lt;66,0,IF((E360+F360)/2&gt;=80,5,IF((E360+F360)/2&gt;=70,4,IF((E360+F360)/2&gt;=60,3.5,IF((E360+F360)/2&gt;=50,3,IF((E360+F360)/2&gt;=40,2,IF((E360+F360)/2&gt;=33,1,0)))))))</f>
        <v/>
      </c>
      <c r="AE360">
        <f>IF(G360&lt;33,0,IF(G360&gt;=80,5,IF(G360&gt;=70,4,IF(G360&gt;=60,3.5,IF(G360&gt;=50,3,IF(G360&gt;=40,2,IF(G360&gt;=33,1,0)))))))</f>
        <v/>
      </c>
      <c r="AF360">
        <f>IF(H360+I360&lt;66,0,IF((H360+I360)/2&gt;=80,5,IF((H360+I360)/2&gt;=70,4,IF((H360+I360)/2&gt;=60,3.5,IF((H360+I360)/2&gt;=50,3,IF((H360+I360)/2&gt;=40,2,IF((H360+I360)/2&gt;=33,1,0)))))))</f>
        <v/>
      </c>
      <c r="AG360">
        <f>IF(Y360,0,IF((J360+K360+L360+M360)/2&gt;=80,5,IF((J360+K360+L360+M360)/2&gt;=70,4,IF((J360+K360+L360+M360)/2&gt;=60,3.5,IF((J360+K360+L360+M360)/2&gt;=50,3,IF((J360+K360+L360+M360)/2&gt;=40,2,IF((J360+K360+L360+M360)/2&gt;=33,1,0)))))))</f>
        <v/>
      </c>
      <c r="AH360">
        <f>IF(Z360,0,IF(N360+O360&gt;=80,5,IF(N360+O360&gt;=70,4,IF(N360+O360&gt;=60,3.5,IF(N360+O360&gt;=50,3,IF(N360+O360&gt;=40,2,IF(N360+O360&gt;=33,1,0)))))))</f>
        <v/>
      </c>
      <c r="AI360">
        <f>IF(AA360,0,IF(P360+Q360&gt;=80,5,IF(P360+Q360&gt;=70,4,IF(P360+Q360&gt;=60,3.5,IF(P360+Q360&gt;=50,3,IF(P360+Q360&gt;=40,2,IF(P360+Q360&gt;=33,1,0)))))))</f>
        <v/>
      </c>
      <c r="AJ360">
        <f>IF(R360&lt;8.25,0,IF(R360*2&gt;=80,5,IF(R360*2&gt;=70,4,IF(R360*2&gt;=60,3.5,IF(R360*2&gt;=50,3,IF(R360*2&gt;=40,2,IF(R360*2&gt;=33,1,0)))))))</f>
        <v/>
      </c>
      <c r="AK360">
        <f>IF(S360&lt;33,0,IF(S360&gt;=80,5,IF(S360&gt;=70,4,IF(S360&gt;=60,3.5,IF(S360&gt;=50,3,IF(S360&gt;=40,2,IF(S360&gt;=33,1,0)))))))</f>
        <v/>
      </c>
      <c r="AL360">
        <f>(AC360+AD360+AE360+AF360+AG360+AH360+AI360+AJ360)/8</f>
        <v/>
      </c>
      <c r="AM360">
        <f>IF(AK360&gt;=2,(AK360-2)/8,0)</f>
        <v/>
      </c>
    </row>
    <row r="361">
      <c r="T361">
        <f>SUM(C361:R361)</f>
        <v/>
      </c>
      <c r="U361" s="6">
        <f>ROUND(T361/11.5,2)</f>
        <v/>
      </c>
      <c r="V361" s="7">
        <f>IF(B361="","",IF(AB361,0,ROUND(AL361,2)))</f>
        <v/>
      </c>
      <c r="W361" s="7">
        <f>IF(B361="","",IF(AB361,0,MIN(5,ROUND(AL361+AM361,2))))</f>
        <v/>
      </c>
      <c r="X361" s="8">
        <f>IF(B361="","",IF(W361&gt;=5,"A+",IF(W361&gt;=4,"A",IF(W361&gt;=3.5,"A-",IF(W361&gt;=3,"B",IF(W361&gt;=2,"C",IF(W361&gt;=1,"D","F")))))))</f>
        <v/>
      </c>
      <c r="Y361">
        <f>NOT(OR(AND(J361&gt;=10,K361&gt;=23,L361&gt;=10,M361&gt;=23),AND(J361+L361&gt;=20,K361+M361&gt;=46)))</f>
        <v/>
      </c>
      <c r="Z361">
        <f>OR(N361&lt;10,O361&lt;23)</f>
        <v/>
      </c>
      <c r="AA361">
        <f>OR(P361&lt;10,Q361&lt;23)</f>
        <v/>
      </c>
      <c r="AB361">
        <f>OR((C361+D361)&lt;66,(E361+F361)&lt;66,G361&lt;33,(H361+I361)&lt;66,Y361,Z361,AA361,R361&lt;8.25)</f>
        <v/>
      </c>
      <c r="AC361">
        <f>IF(C361+D361&lt;66,0,IF((C361+D361)/2&gt;=80,5,IF((C361+D361)/2&gt;=70,4,IF((C361+D361)/2&gt;=60,3.5,IF((C361+D361)/2&gt;=50,3,IF((C361+D361)/2&gt;=40,2,IF((C361+D361)/2&gt;=33,1,0)))))))</f>
        <v/>
      </c>
      <c r="AD361">
        <f>IF(E361+F361&lt;66,0,IF((E361+F361)/2&gt;=80,5,IF((E361+F361)/2&gt;=70,4,IF((E361+F361)/2&gt;=60,3.5,IF((E361+F361)/2&gt;=50,3,IF((E361+F361)/2&gt;=40,2,IF((E361+F361)/2&gt;=33,1,0)))))))</f>
        <v/>
      </c>
      <c r="AE361">
        <f>IF(G361&lt;33,0,IF(G361&gt;=80,5,IF(G361&gt;=70,4,IF(G361&gt;=60,3.5,IF(G361&gt;=50,3,IF(G361&gt;=40,2,IF(G361&gt;=33,1,0)))))))</f>
        <v/>
      </c>
      <c r="AF361">
        <f>IF(H361+I361&lt;66,0,IF((H361+I361)/2&gt;=80,5,IF((H361+I361)/2&gt;=70,4,IF((H361+I361)/2&gt;=60,3.5,IF((H361+I361)/2&gt;=50,3,IF((H361+I361)/2&gt;=40,2,IF((H361+I361)/2&gt;=33,1,0)))))))</f>
        <v/>
      </c>
      <c r="AG361">
        <f>IF(Y361,0,IF((J361+K361+L361+M361)/2&gt;=80,5,IF((J361+K361+L361+M361)/2&gt;=70,4,IF((J361+K361+L361+M361)/2&gt;=60,3.5,IF((J361+K361+L361+M361)/2&gt;=50,3,IF((J361+K361+L361+M361)/2&gt;=40,2,IF((J361+K361+L361+M361)/2&gt;=33,1,0)))))))</f>
        <v/>
      </c>
      <c r="AH361">
        <f>IF(Z361,0,IF(N361+O361&gt;=80,5,IF(N361+O361&gt;=70,4,IF(N361+O361&gt;=60,3.5,IF(N361+O361&gt;=50,3,IF(N361+O361&gt;=40,2,IF(N361+O361&gt;=33,1,0)))))))</f>
        <v/>
      </c>
      <c r="AI361">
        <f>IF(AA361,0,IF(P361+Q361&gt;=80,5,IF(P361+Q361&gt;=70,4,IF(P361+Q361&gt;=60,3.5,IF(P361+Q361&gt;=50,3,IF(P361+Q361&gt;=40,2,IF(P361+Q361&gt;=33,1,0)))))))</f>
        <v/>
      </c>
      <c r="AJ361">
        <f>IF(R361&lt;8.25,0,IF(R361*2&gt;=80,5,IF(R361*2&gt;=70,4,IF(R361*2&gt;=60,3.5,IF(R361*2&gt;=50,3,IF(R361*2&gt;=40,2,IF(R361*2&gt;=33,1,0)))))))</f>
        <v/>
      </c>
      <c r="AK361">
        <f>IF(S361&lt;33,0,IF(S361&gt;=80,5,IF(S361&gt;=70,4,IF(S361&gt;=60,3.5,IF(S361&gt;=50,3,IF(S361&gt;=40,2,IF(S361&gt;=33,1,0)))))))</f>
        <v/>
      </c>
      <c r="AL361">
        <f>(AC361+AD361+AE361+AF361+AG361+AH361+AI361+AJ361)/8</f>
        <v/>
      </c>
      <c r="AM361">
        <f>IF(AK361&gt;=2,(AK361-2)/8,0)</f>
        <v/>
      </c>
    </row>
    <row r="362">
      <c r="T362">
        <f>SUM(C362:R362)</f>
        <v/>
      </c>
      <c r="U362" s="6">
        <f>ROUND(T362/11.5,2)</f>
        <v/>
      </c>
      <c r="V362" s="7">
        <f>IF(B362="","",IF(AB362,0,ROUND(AL362,2)))</f>
        <v/>
      </c>
      <c r="W362" s="7">
        <f>IF(B362="","",IF(AB362,0,MIN(5,ROUND(AL362+AM362,2))))</f>
        <v/>
      </c>
      <c r="X362" s="8">
        <f>IF(B362="","",IF(W362&gt;=5,"A+",IF(W362&gt;=4,"A",IF(W362&gt;=3.5,"A-",IF(W362&gt;=3,"B",IF(W362&gt;=2,"C",IF(W362&gt;=1,"D","F")))))))</f>
        <v/>
      </c>
      <c r="Y362">
        <f>NOT(OR(AND(J362&gt;=10,K362&gt;=23,L362&gt;=10,M362&gt;=23),AND(J362+L362&gt;=20,K362+M362&gt;=46)))</f>
        <v/>
      </c>
      <c r="Z362">
        <f>OR(N362&lt;10,O362&lt;23)</f>
        <v/>
      </c>
      <c r="AA362">
        <f>OR(P362&lt;10,Q362&lt;23)</f>
        <v/>
      </c>
      <c r="AB362">
        <f>OR((C362+D362)&lt;66,(E362+F362)&lt;66,G362&lt;33,(H362+I362)&lt;66,Y362,Z362,AA362,R362&lt;8.25)</f>
        <v/>
      </c>
      <c r="AC362">
        <f>IF(C362+D362&lt;66,0,IF((C362+D362)/2&gt;=80,5,IF((C362+D362)/2&gt;=70,4,IF((C362+D362)/2&gt;=60,3.5,IF((C362+D362)/2&gt;=50,3,IF((C362+D362)/2&gt;=40,2,IF((C362+D362)/2&gt;=33,1,0)))))))</f>
        <v/>
      </c>
      <c r="AD362">
        <f>IF(E362+F362&lt;66,0,IF((E362+F362)/2&gt;=80,5,IF((E362+F362)/2&gt;=70,4,IF((E362+F362)/2&gt;=60,3.5,IF((E362+F362)/2&gt;=50,3,IF((E362+F362)/2&gt;=40,2,IF((E362+F362)/2&gt;=33,1,0)))))))</f>
        <v/>
      </c>
      <c r="AE362">
        <f>IF(G362&lt;33,0,IF(G362&gt;=80,5,IF(G362&gt;=70,4,IF(G362&gt;=60,3.5,IF(G362&gt;=50,3,IF(G362&gt;=40,2,IF(G362&gt;=33,1,0)))))))</f>
        <v/>
      </c>
      <c r="AF362">
        <f>IF(H362+I362&lt;66,0,IF((H362+I362)/2&gt;=80,5,IF((H362+I362)/2&gt;=70,4,IF((H362+I362)/2&gt;=60,3.5,IF((H362+I362)/2&gt;=50,3,IF((H362+I362)/2&gt;=40,2,IF((H362+I362)/2&gt;=33,1,0)))))))</f>
        <v/>
      </c>
      <c r="AG362">
        <f>IF(Y362,0,IF((J362+K362+L362+M362)/2&gt;=80,5,IF((J362+K362+L362+M362)/2&gt;=70,4,IF((J362+K362+L362+M362)/2&gt;=60,3.5,IF((J362+K362+L362+M362)/2&gt;=50,3,IF((J362+K362+L362+M362)/2&gt;=40,2,IF((J362+K362+L362+M362)/2&gt;=33,1,0)))))))</f>
        <v/>
      </c>
      <c r="AH362">
        <f>IF(Z362,0,IF(N362+O362&gt;=80,5,IF(N362+O362&gt;=70,4,IF(N362+O362&gt;=60,3.5,IF(N362+O362&gt;=50,3,IF(N362+O362&gt;=40,2,IF(N362+O362&gt;=33,1,0)))))))</f>
        <v/>
      </c>
      <c r="AI362">
        <f>IF(AA362,0,IF(P362+Q362&gt;=80,5,IF(P362+Q362&gt;=70,4,IF(P362+Q362&gt;=60,3.5,IF(P362+Q362&gt;=50,3,IF(P362+Q362&gt;=40,2,IF(P362+Q362&gt;=33,1,0)))))))</f>
        <v/>
      </c>
      <c r="AJ362">
        <f>IF(R362&lt;8.25,0,IF(R362*2&gt;=80,5,IF(R362*2&gt;=70,4,IF(R362*2&gt;=60,3.5,IF(R362*2&gt;=50,3,IF(R362*2&gt;=40,2,IF(R362*2&gt;=33,1,0)))))))</f>
        <v/>
      </c>
      <c r="AK362">
        <f>IF(S362&lt;33,0,IF(S362&gt;=80,5,IF(S362&gt;=70,4,IF(S362&gt;=60,3.5,IF(S362&gt;=50,3,IF(S362&gt;=40,2,IF(S362&gt;=33,1,0)))))))</f>
        <v/>
      </c>
      <c r="AL362">
        <f>(AC362+AD362+AE362+AF362+AG362+AH362+AI362+AJ362)/8</f>
        <v/>
      </c>
      <c r="AM362">
        <f>IF(AK362&gt;=2,(AK362-2)/8,0)</f>
        <v/>
      </c>
    </row>
    <row r="363">
      <c r="T363">
        <f>SUM(C363:R363)</f>
        <v/>
      </c>
      <c r="U363" s="6">
        <f>ROUND(T363/11.5,2)</f>
        <v/>
      </c>
      <c r="V363" s="7">
        <f>IF(B363="","",IF(AB363,0,ROUND(AL363,2)))</f>
        <v/>
      </c>
      <c r="W363" s="7">
        <f>IF(B363="","",IF(AB363,0,MIN(5,ROUND(AL363+AM363,2))))</f>
        <v/>
      </c>
      <c r="X363" s="8">
        <f>IF(B363="","",IF(W363&gt;=5,"A+",IF(W363&gt;=4,"A",IF(W363&gt;=3.5,"A-",IF(W363&gt;=3,"B",IF(W363&gt;=2,"C",IF(W363&gt;=1,"D","F")))))))</f>
        <v/>
      </c>
      <c r="Y363">
        <f>NOT(OR(AND(J363&gt;=10,K363&gt;=23,L363&gt;=10,M363&gt;=23),AND(J363+L363&gt;=20,K363+M363&gt;=46)))</f>
        <v/>
      </c>
      <c r="Z363">
        <f>OR(N363&lt;10,O363&lt;23)</f>
        <v/>
      </c>
      <c r="AA363">
        <f>OR(P363&lt;10,Q363&lt;23)</f>
        <v/>
      </c>
      <c r="AB363">
        <f>OR((C363+D363)&lt;66,(E363+F363)&lt;66,G363&lt;33,(H363+I363)&lt;66,Y363,Z363,AA363,R363&lt;8.25)</f>
        <v/>
      </c>
      <c r="AC363">
        <f>IF(C363+D363&lt;66,0,IF((C363+D363)/2&gt;=80,5,IF((C363+D363)/2&gt;=70,4,IF((C363+D363)/2&gt;=60,3.5,IF((C363+D363)/2&gt;=50,3,IF((C363+D363)/2&gt;=40,2,IF((C363+D363)/2&gt;=33,1,0)))))))</f>
        <v/>
      </c>
      <c r="AD363">
        <f>IF(E363+F363&lt;66,0,IF((E363+F363)/2&gt;=80,5,IF((E363+F363)/2&gt;=70,4,IF((E363+F363)/2&gt;=60,3.5,IF((E363+F363)/2&gt;=50,3,IF((E363+F363)/2&gt;=40,2,IF((E363+F363)/2&gt;=33,1,0)))))))</f>
        <v/>
      </c>
      <c r="AE363">
        <f>IF(G363&lt;33,0,IF(G363&gt;=80,5,IF(G363&gt;=70,4,IF(G363&gt;=60,3.5,IF(G363&gt;=50,3,IF(G363&gt;=40,2,IF(G363&gt;=33,1,0)))))))</f>
        <v/>
      </c>
      <c r="AF363">
        <f>IF(H363+I363&lt;66,0,IF((H363+I363)/2&gt;=80,5,IF((H363+I363)/2&gt;=70,4,IF((H363+I363)/2&gt;=60,3.5,IF((H363+I363)/2&gt;=50,3,IF((H363+I363)/2&gt;=40,2,IF((H363+I363)/2&gt;=33,1,0)))))))</f>
        <v/>
      </c>
      <c r="AG363">
        <f>IF(Y363,0,IF((J363+K363+L363+M363)/2&gt;=80,5,IF((J363+K363+L363+M363)/2&gt;=70,4,IF((J363+K363+L363+M363)/2&gt;=60,3.5,IF((J363+K363+L363+M363)/2&gt;=50,3,IF((J363+K363+L363+M363)/2&gt;=40,2,IF((J363+K363+L363+M363)/2&gt;=33,1,0)))))))</f>
        <v/>
      </c>
      <c r="AH363">
        <f>IF(Z363,0,IF(N363+O363&gt;=80,5,IF(N363+O363&gt;=70,4,IF(N363+O363&gt;=60,3.5,IF(N363+O363&gt;=50,3,IF(N363+O363&gt;=40,2,IF(N363+O363&gt;=33,1,0)))))))</f>
        <v/>
      </c>
      <c r="AI363">
        <f>IF(AA363,0,IF(P363+Q363&gt;=80,5,IF(P363+Q363&gt;=70,4,IF(P363+Q363&gt;=60,3.5,IF(P363+Q363&gt;=50,3,IF(P363+Q363&gt;=40,2,IF(P363+Q363&gt;=33,1,0)))))))</f>
        <v/>
      </c>
      <c r="AJ363">
        <f>IF(R363&lt;8.25,0,IF(R363*2&gt;=80,5,IF(R363*2&gt;=70,4,IF(R363*2&gt;=60,3.5,IF(R363*2&gt;=50,3,IF(R363*2&gt;=40,2,IF(R363*2&gt;=33,1,0)))))))</f>
        <v/>
      </c>
      <c r="AK363">
        <f>IF(S363&lt;33,0,IF(S363&gt;=80,5,IF(S363&gt;=70,4,IF(S363&gt;=60,3.5,IF(S363&gt;=50,3,IF(S363&gt;=40,2,IF(S363&gt;=33,1,0)))))))</f>
        <v/>
      </c>
      <c r="AL363">
        <f>(AC363+AD363+AE363+AF363+AG363+AH363+AI363+AJ363)/8</f>
        <v/>
      </c>
      <c r="AM363">
        <f>IF(AK363&gt;=2,(AK363-2)/8,0)</f>
        <v/>
      </c>
    </row>
    <row r="364">
      <c r="T364">
        <f>SUM(C364:R364)</f>
        <v/>
      </c>
      <c r="U364" s="6">
        <f>ROUND(T364/11.5,2)</f>
        <v/>
      </c>
      <c r="V364" s="7">
        <f>IF(B364="","",IF(AB364,0,ROUND(AL364,2)))</f>
        <v/>
      </c>
      <c r="W364" s="7">
        <f>IF(B364="","",IF(AB364,0,MIN(5,ROUND(AL364+AM364,2))))</f>
        <v/>
      </c>
      <c r="X364" s="8">
        <f>IF(B364="","",IF(W364&gt;=5,"A+",IF(W364&gt;=4,"A",IF(W364&gt;=3.5,"A-",IF(W364&gt;=3,"B",IF(W364&gt;=2,"C",IF(W364&gt;=1,"D","F")))))))</f>
        <v/>
      </c>
      <c r="Y364">
        <f>NOT(OR(AND(J364&gt;=10,K364&gt;=23,L364&gt;=10,M364&gt;=23),AND(J364+L364&gt;=20,K364+M364&gt;=46)))</f>
        <v/>
      </c>
      <c r="Z364">
        <f>OR(N364&lt;10,O364&lt;23)</f>
        <v/>
      </c>
      <c r="AA364">
        <f>OR(P364&lt;10,Q364&lt;23)</f>
        <v/>
      </c>
      <c r="AB364">
        <f>OR((C364+D364)&lt;66,(E364+F364)&lt;66,G364&lt;33,(H364+I364)&lt;66,Y364,Z364,AA364,R364&lt;8.25)</f>
        <v/>
      </c>
      <c r="AC364">
        <f>IF(C364+D364&lt;66,0,IF((C364+D364)/2&gt;=80,5,IF((C364+D364)/2&gt;=70,4,IF((C364+D364)/2&gt;=60,3.5,IF((C364+D364)/2&gt;=50,3,IF((C364+D364)/2&gt;=40,2,IF((C364+D364)/2&gt;=33,1,0)))))))</f>
        <v/>
      </c>
      <c r="AD364">
        <f>IF(E364+F364&lt;66,0,IF((E364+F364)/2&gt;=80,5,IF((E364+F364)/2&gt;=70,4,IF((E364+F364)/2&gt;=60,3.5,IF((E364+F364)/2&gt;=50,3,IF((E364+F364)/2&gt;=40,2,IF((E364+F364)/2&gt;=33,1,0)))))))</f>
        <v/>
      </c>
      <c r="AE364">
        <f>IF(G364&lt;33,0,IF(G364&gt;=80,5,IF(G364&gt;=70,4,IF(G364&gt;=60,3.5,IF(G364&gt;=50,3,IF(G364&gt;=40,2,IF(G364&gt;=33,1,0)))))))</f>
        <v/>
      </c>
      <c r="AF364">
        <f>IF(H364+I364&lt;66,0,IF((H364+I364)/2&gt;=80,5,IF((H364+I364)/2&gt;=70,4,IF((H364+I364)/2&gt;=60,3.5,IF((H364+I364)/2&gt;=50,3,IF((H364+I364)/2&gt;=40,2,IF((H364+I364)/2&gt;=33,1,0)))))))</f>
        <v/>
      </c>
      <c r="AG364">
        <f>IF(Y364,0,IF((J364+K364+L364+M364)/2&gt;=80,5,IF((J364+K364+L364+M364)/2&gt;=70,4,IF((J364+K364+L364+M364)/2&gt;=60,3.5,IF((J364+K364+L364+M364)/2&gt;=50,3,IF((J364+K364+L364+M364)/2&gt;=40,2,IF((J364+K364+L364+M364)/2&gt;=33,1,0)))))))</f>
        <v/>
      </c>
      <c r="AH364">
        <f>IF(Z364,0,IF(N364+O364&gt;=80,5,IF(N364+O364&gt;=70,4,IF(N364+O364&gt;=60,3.5,IF(N364+O364&gt;=50,3,IF(N364+O364&gt;=40,2,IF(N364+O364&gt;=33,1,0)))))))</f>
        <v/>
      </c>
      <c r="AI364">
        <f>IF(AA364,0,IF(P364+Q364&gt;=80,5,IF(P364+Q364&gt;=70,4,IF(P364+Q364&gt;=60,3.5,IF(P364+Q364&gt;=50,3,IF(P364+Q364&gt;=40,2,IF(P364+Q364&gt;=33,1,0)))))))</f>
        <v/>
      </c>
      <c r="AJ364">
        <f>IF(R364&lt;8.25,0,IF(R364*2&gt;=80,5,IF(R364*2&gt;=70,4,IF(R364*2&gt;=60,3.5,IF(R364*2&gt;=50,3,IF(R364*2&gt;=40,2,IF(R364*2&gt;=33,1,0)))))))</f>
        <v/>
      </c>
      <c r="AK364">
        <f>IF(S364&lt;33,0,IF(S364&gt;=80,5,IF(S364&gt;=70,4,IF(S364&gt;=60,3.5,IF(S364&gt;=50,3,IF(S364&gt;=40,2,IF(S364&gt;=33,1,0)))))))</f>
        <v/>
      </c>
      <c r="AL364">
        <f>(AC364+AD364+AE364+AF364+AG364+AH364+AI364+AJ364)/8</f>
        <v/>
      </c>
      <c r="AM364">
        <f>IF(AK364&gt;=2,(AK364-2)/8,0)</f>
        <v/>
      </c>
    </row>
    <row r="365">
      <c r="T365">
        <f>SUM(C365:R365)</f>
        <v/>
      </c>
      <c r="U365" s="6">
        <f>ROUND(T365/11.5,2)</f>
        <v/>
      </c>
      <c r="V365" s="7">
        <f>IF(B365="","",IF(AB365,0,ROUND(AL365,2)))</f>
        <v/>
      </c>
      <c r="W365" s="7">
        <f>IF(B365="","",IF(AB365,0,MIN(5,ROUND(AL365+AM365,2))))</f>
        <v/>
      </c>
      <c r="X365" s="8">
        <f>IF(B365="","",IF(W365&gt;=5,"A+",IF(W365&gt;=4,"A",IF(W365&gt;=3.5,"A-",IF(W365&gt;=3,"B",IF(W365&gt;=2,"C",IF(W365&gt;=1,"D","F")))))))</f>
        <v/>
      </c>
      <c r="Y365">
        <f>NOT(OR(AND(J365&gt;=10,K365&gt;=23,L365&gt;=10,M365&gt;=23),AND(J365+L365&gt;=20,K365+M365&gt;=46)))</f>
        <v/>
      </c>
      <c r="Z365">
        <f>OR(N365&lt;10,O365&lt;23)</f>
        <v/>
      </c>
      <c r="AA365">
        <f>OR(P365&lt;10,Q365&lt;23)</f>
        <v/>
      </c>
      <c r="AB365">
        <f>OR((C365+D365)&lt;66,(E365+F365)&lt;66,G365&lt;33,(H365+I365)&lt;66,Y365,Z365,AA365,R365&lt;8.25)</f>
        <v/>
      </c>
      <c r="AC365">
        <f>IF(C365+D365&lt;66,0,IF((C365+D365)/2&gt;=80,5,IF((C365+D365)/2&gt;=70,4,IF((C365+D365)/2&gt;=60,3.5,IF((C365+D365)/2&gt;=50,3,IF((C365+D365)/2&gt;=40,2,IF((C365+D365)/2&gt;=33,1,0)))))))</f>
        <v/>
      </c>
      <c r="AD365">
        <f>IF(E365+F365&lt;66,0,IF((E365+F365)/2&gt;=80,5,IF((E365+F365)/2&gt;=70,4,IF((E365+F365)/2&gt;=60,3.5,IF((E365+F365)/2&gt;=50,3,IF((E365+F365)/2&gt;=40,2,IF((E365+F365)/2&gt;=33,1,0)))))))</f>
        <v/>
      </c>
      <c r="AE365">
        <f>IF(G365&lt;33,0,IF(G365&gt;=80,5,IF(G365&gt;=70,4,IF(G365&gt;=60,3.5,IF(G365&gt;=50,3,IF(G365&gt;=40,2,IF(G365&gt;=33,1,0)))))))</f>
        <v/>
      </c>
      <c r="AF365">
        <f>IF(H365+I365&lt;66,0,IF((H365+I365)/2&gt;=80,5,IF((H365+I365)/2&gt;=70,4,IF((H365+I365)/2&gt;=60,3.5,IF((H365+I365)/2&gt;=50,3,IF((H365+I365)/2&gt;=40,2,IF((H365+I365)/2&gt;=33,1,0)))))))</f>
        <v/>
      </c>
      <c r="AG365">
        <f>IF(Y365,0,IF((J365+K365+L365+M365)/2&gt;=80,5,IF((J365+K365+L365+M365)/2&gt;=70,4,IF((J365+K365+L365+M365)/2&gt;=60,3.5,IF((J365+K365+L365+M365)/2&gt;=50,3,IF((J365+K365+L365+M365)/2&gt;=40,2,IF((J365+K365+L365+M365)/2&gt;=33,1,0)))))))</f>
        <v/>
      </c>
      <c r="AH365">
        <f>IF(Z365,0,IF(N365+O365&gt;=80,5,IF(N365+O365&gt;=70,4,IF(N365+O365&gt;=60,3.5,IF(N365+O365&gt;=50,3,IF(N365+O365&gt;=40,2,IF(N365+O365&gt;=33,1,0)))))))</f>
        <v/>
      </c>
      <c r="AI365">
        <f>IF(AA365,0,IF(P365+Q365&gt;=80,5,IF(P365+Q365&gt;=70,4,IF(P365+Q365&gt;=60,3.5,IF(P365+Q365&gt;=50,3,IF(P365+Q365&gt;=40,2,IF(P365+Q365&gt;=33,1,0)))))))</f>
        <v/>
      </c>
      <c r="AJ365">
        <f>IF(R365&lt;8.25,0,IF(R365*2&gt;=80,5,IF(R365*2&gt;=70,4,IF(R365*2&gt;=60,3.5,IF(R365*2&gt;=50,3,IF(R365*2&gt;=40,2,IF(R365*2&gt;=33,1,0)))))))</f>
        <v/>
      </c>
      <c r="AK365">
        <f>IF(S365&lt;33,0,IF(S365&gt;=80,5,IF(S365&gt;=70,4,IF(S365&gt;=60,3.5,IF(S365&gt;=50,3,IF(S365&gt;=40,2,IF(S365&gt;=33,1,0)))))))</f>
        <v/>
      </c>
      <c r="AL365">
        <f>(AC365+AD365+AE365+AF365+AG365+AH365+AI365+AJ365)/8</f>
        <v/>
      </c>
      <c r="AM365">
        <f>IF(AK365&gt;=2,(AK365-2)/8,0)</f>
        <v/>
      </c>
    </row>
    <row r="366">
      <c r="T366">
        <f>SUM(C366:R366)</f>
        <v/>
      </c>
      <c r="U366" s="6">
        <f>ROUND(T366/11.5,2)</f>
        <v/>
      </c>
      <c r="V366" s="7">
        <f>IF(B366="","",IF(AB366,0,ROUND(AL366,2)))</f>
        <v/>
      </c>
      <c r="W366" s="7">
        <f>IF(B366="","",IF(AB366,0,MIN(5,ROUND(AL366+AM366,2))))</f>
        <v/>
      </c>
      <c r="X366" s="8">
        <f>IF(B366="","",IF(W366&gt;=5,"A+",IF(W366&gt;=4,"A",IF(W366&gt;=3.5,"A-",IF(W366&gt;=3,"B",IF(W366&gt;=2,"C",IF(W366&gt;=1,"D","F")))))))</f>
        <v/>
      </c>
      <c r="Y366">
        <f>NOT(OR(AND(J366&gt;=10,K366&gt;=23,L366&gt;=10,M366&gt;=23),AND(J366+L366&gt;=20,K366+M366&gt;=46)))</f>
        <v/>
      </c>
      <c r="Z366">
        <f>OR(N366&lt;10,O366&lt;23)</f>
        <v/>
      </c>
      <c r="AA366">
        <f>OR(P366&lt;10,Q366&lt;23)</f>
        <v/>
      </c>
      <c r="AB366">
        <f>OR((C366+D366)&lt;66,(E366+F366)&lt;66,G366&lt;33,(H366+I366)&lt;66,Y366,Z366,AA366,R366&lt;8.25)</f>
        <v/>
      </c>
      <c r="AC366">
        <f>IF(C366+D366&lt;66,0,IF((C366+D366)/2&gt;=80,5,IF((C366+D366)/2&gt;=70,4,IF((C366+D366)/2&gt;=60,3.5,IF((C366+D366)/2&gt;=50,3,IF((C366+D366)/2&gt;=40,2,IF((C366+D366)/2&gt;=33,1,0)))))))</f>
        <v/>
      </c>
      <c r="AD366">
        <f>IF(E366+F366&lt;66,0,IF((E366+F366)/2&gt;=80,5,IF((E366+F366)/2&gt;=70,4,IF((E366+F366)/2&gt;=60,3.5,IF((E366+F366)/2&gt;=50,3,IF((E366+F366)/2&gt;=40,2,IF((E366+F366)/2&gt;=33,1,0)))))))</f>
        <v/>
      </c>
      <c r="AE366">
        <f>IF(G366&lt;33,0,IF(G366&gt;=80,5,IF(G366&gt;=70,4,IF(G366&gt;=60,3.5,IF(G366&gt;=50,3,IF(G366&gt;=40,2,IF(G366&gt;=33,1,0)))))))</f>
        <v/>
      </c>
      <c r="AF366">
        <f>IF(H366+I366&lt;66,0,IF((H366+I366)/2&gt;=80,5,IF((H366+I366)/2&gt;=70,4,IF((H366+I366)/2&gt;=60,3.5,IF((H366+I366)/2&gt;=50,3,IF((H366+I366)/2&gt;=40,2,IF((H366+I366)/2&gt;=33,1,0)))))))</f>
        <v/>
      </c>
      <c r="AG366">
        <f>IF(Y366,0,IF((J366+K366+L366+M366)/2&gt;=80,5,IF((J366+K366+L366+M366)/2&gt;=70,4,IF((J366+K366+L366+M366)/2&gt;=60,3.5,IF((J366+K366+L366+M366)/2&gt;=50,3,IF((J366+K366+L366+M366)/2&gt;=40,2,IF((J366+K366+L366+M366)/2&gt;=33,1,0)))))))</f>
        <v/>
      </c>
      <c r="AH366">
        <f>IF(Z366,0,IF(N366+O366&gt;=80,5,IF(N366+O366&gt;=70,4,IF(N366+O366&gt;=60,3.5,IF(N366+O366&gt;=50,3,IF(N366+O366&gt;=40,2,IF(N366+O366&gt;=33,1,0)))))))</f>
        <v/>
      </c>
      <c r="AI366">
        <f>IF(AA366,0,IF(P366+Q366&gt;=80,5,IF(P366+Q366&gt;=70,4,IF(P366+Q366&gt;=60,3.5,IF(P366+Q366&gt;=50,3,IF(P366+Q366&gt;=40,2,IF(P366+Q366&gt;=33,1,0)))))))</f>
        <v/>
      </c>
      <c r="AJ366">
        <f>IF(R366&lt;8.25,0,IF(R366*2&gt;=80,5,IF(R366*2&gt;=70,4,IF(R366*2&gt;=60,3.5,IF(R366*2&gt;=50,3,IF(R366*2&gt;=40,2,IF(R366*2&gt;=33,1,0)))))))</f>
        <v/>
      </c>
      <c r="AK366">
        <f>IF(S366&lt;33,0,IF(S366&gt;=80,5,IF(S366&gt;=70,4,IF(S366&gt;=60,3.5,IF(S366&gt;=50,3,IF(S366&gt;=40,2,IF(S366&gt;=33,1,0)))))))</f>
        <v/>
      </c>
      <c r="AL366">
        <f>(AC366+AD366+AE366+AF366+AG366+AH366+AI366+AJ366)/8</f>
        <v/>
      </c>
      <c r="AM366">
        <f>IF(AK366&gt;=2,(AK366-2)/8,0)</f>
        <v/>
      </c>
    </row>
    <row r="367">
      <c r="T367">
        <f>SUM(C367:R367)</f>
        <v/>
      </c>
      <c r="U367" s="6">
        <f>ROUND(T367/11.5,2)</f>
        <v/>
      </c>
      <c r="V367" s="7">
        <f>IF(B367="","",IF(AB367,0,ROUND(AL367,2)))</f>
        <v/>
      </c>
      <c r="W367" s="7">
        <f>IF(B367="","",IF(AB367,0,MIN(5,ROUND(AL367+AM367,2))))</f>
        <v/>
      </c>
      <c r="X367" s="8">
        <f>IF(B367="","",IF(W367&gt;=5,"A+",IF(W367&gt;=4,"A",IF(W367&gt;=3.5,"A-",IF(W367&gt;=3,"B",IF(W367&gt;=2,"C",IF(W367&gt;=1,"D","F")))))))</f>
        <v/>
      </c>
      <c r="Y367">
        <f>NOT(OR(AND(J367&gt;=10,K367&gt;=23,L367&gt;=10,M367&gt;=23),AND(J367+L367&gt;=20,K367+M367&gt;=46)))</f>
        <v/>
      </c>
      <c r="Z367">
        <f>OR(N367&lt;10,O367&lt;23)</f>
        <v/>
      </c>
      <c r="AA367">
        <f>OR(P367&lt;10,Q367&lt;23)</f>
        <v/>
      </c>
      <c r="AB367">
        <f>OR((C367+D367)&lt;66,(E367+F367)&lt;66,G367&lt;33,(H367+I367)&lt;66,Y367,Z367,AA367,R367&lt;8.25)</f>
        <v/>
      </c>
      <c r="AC367">
        <f>IF(C367+D367&lt;66,0,IF((C367+D367)/2&gt;=80,5,IF((C367+D367)/2&gt;=70,4,IF((C367+D367)/2&gt;=60,3.5,IF((C367+D367)/2&gt;=50,3,IF((C367+D367)/2&gt;=40,2,IF((C367+D367)/2&gt;=33,1,0)))))))</f>
        <v/>
      </c>
      <c r="AD367">
        <f>IF(E367+F367&lt;66,0,IF((E367+F367)/2&gt;=80,5,IF((E367+F367)/2&gt;=70,4,IF((E367+F367)/2&gt;=60,3.5,IF((E367+F367)/2&gt;=50,3,IF((E367+F367)/2&gt;=40,2,IF((E367+F367)/2&gt;=33,1,0)))))))</f>
        <v/>
      </c>
      <c r="AE367">
        <f>IF(G367&lt;33,0,IF(G367&gt;=80,5,IF(G367&gt;=70,4,IF(G367&gt;=60,3.5,IF(G367&gt;=50,3,IF(G367&gt;=40,2,IF(G367&gt;=33,1,0)))))))</f>
        <v/>
      </c>
      <c r="AF367">
        <f>IF(H367+I367&lt;66,0,IF((H367+I367)/2&gt;=80,5,IF((H367+I367)/2&gt;=70,4,IF((H367+I367)/2&gt;=60,3.5,IF((H367+I367)/2&gt;=50,3,IF((H367+I367)/2&gt;=40,2,IF((H367+I367)/2&gt;=33,1,0)))))))</f>
        <v/>
      </c>
      <c r="AG367">
        <f>IF(Y367,0,IF((J367+K367+L367+M367)/2&gt;=80,5,IF((J367+K367+L367+M367)/2&gt;=70,4,IF((J367+K367+L367+M367)/2&gt;=60,3.5,IF((J367+K367+L367+M367)/2&gt;=50,3,IF((J367+K367+L367+M367)/2&gt;=40,2,IF((J367+K367+L367+M367)/2&gt;=33,1,0)))))))</f>
        <v/>
      </c>
      <c r="AH367">
        <f>IF(Z367,0,IF(N367+O367&gt;=80,5,IF(N367+O367&gt;=70,4,IF(N367+O367&gt;=60,3.5,IF(N367+O367&gt;=50,3,IF(N367+O367&gt;=40,2,IF(N367+O367&gt;=33,1,0)))))))</f>
        <v/>
      </c>
      <c r="AI367">
        <f>IF(AA367,0,IF(P367+Q367&gt;=80,5,IF(P367+Q367&gt;=70,4,IF(P367+Q367&gt;=60,3.5,IF(P367+Q367&gt;=50,3,IF(P367+Q367&gt;=40,2,IF(P367+Q367&gt;=33,1,0)))))))</f>
        <v/>
      </c>
      <c r="AJ367">
        <f>IF(R367&lt;8.25,0,IF(R367*2&gt;=80,5,IF(R367*2&gt;=70,4,IF(R367*2&gt;=60,3.5,IF(R367*2&gt;=50,3,IF(R367*2&gt;=40,2,IF(R367*2&gt;=33,1,0)))))))</f>
        <v/>
      </c>
      <c r="AK367">
        <f>IF(S367&lt;33,0,IF(S367&gt;=80,5,IF(S367&gt;=70,4,IF(S367&gt;=60,3.5,IF(S367&gt;=50,3,IF(S367&gt;=40,2,IF(S367&gt;=33,1,0)))))))</f>
        <v/>
      </c>
      <c r="AL367">
        <f>(AC367+AD367+AE367+AF367+AG367+AH367+AI367+AJ367)/8</f>
        <v/>
      </c>
      <c r="AM367">
        <f>IF(AK367&gt;=2,(AK367-2)/8,0)</f>
        <v/>
      </c>
    </row>
    <row r="368">
      <c r="T368">
        <f>SUM(C368:R368)</f>
        <v/>
      </c>
      <c r="U368" s="6">
        <f>ROUND(T368/11.5,2)</f>
        <v/>
      </c>
      <c r="V368" s="7">
        <f>IF(B368="","",IF(AB368,0,ROUND(AL368,2)))</f>
        <v/>
      </c>
      <c r="W368" s="7">
        <f>IF(B368="","",IF(AB368,0,MIN(5,ROUND(AL368+AM368,2))))</f>
        <v/>
      </c>
      <c r="X368" s="8">
        <f>IF(B368="","",IF(W368&gt;=5,"A+",IF(W368&gt;=4,"A",IF(W368&gt;=3.5,"A-",IF(W368&gt;=3,"B",IF(W368&gt;=2,"C",IF(W368&gt;=1,"D","F")))))))</f>
        <v/>
      </c>
      <c r="Y368">
        <f>NOT(OR(AND(J368&gt;=10,K368&gt;=23,L368&gt;=10,M368&gt;=23),AND(J368+L368&gt;=20,K368+M368&gt;=46)))</f>
        <v/>
      </c>
      <c r="Z368">
        <f>OR(N368&lt;10,O368&lt;23)</f>
        <v/>
      </c>
      <c r="AA368">
        <f>OR(P368&lt;10,Q368&lt;23)</f>
        <v/>
      </c>
      <c r="AB368">
        <f>OR((C368+D368)&lt;66,(E368+F368)&lt;66,G368&lt;33,(H368+I368)&lt;66,Y368,Z368,AA368,R368&lt;8.25)</f>
        <v/>
      </c>
      <c r="AC368">
        <f>IF(C368+D368&lt;66,0,IF((C368+D368)/2&gt;=80,5,IF((C368+D368)/2&gt;=70,4,IF((C368+D368)/2&gt;=60,3.5,IF((C368+D368)/2&gt;=50,3,IF((C368+D368)/2&gt;=40,2,IF((C368+D368)/2&gt;=33,1,0)))))))</f>
        <v/>
      </c>
      <c r="AD368">
        <f>IF(E368+F368&lt;66,0,IF((E368+F368)/2&gt;=80,5,IF((E368+F368)/2&gt;=70,4,IF((E368+F368)/2&gt;=60,3.5,IF((E368+F368)/2&gt;=50,3,IF((E368+F368)/2&gt;=40,2,IF((E368+F368)/2&gt;=33,1,0)))))))</f>
        <v/>
      </c>
      <c r="AE368">
        <f>IF(G368&lt;33,0,IF(G368&gt;=80,5,IF(G368&gt;=70,4,IF(G368&gt;=60,3.5,IF(G368&gt;=50,3,IF(G368&gt;=40,2,IF(G368&gt;=33,1,0)))))))</f>
        <v/>
      </c>
      <c r="AF368">
        <f>IF(H368+I368&lt;66,0,IF((H368+I368)/2&gt;=80,5,IF((H368+I368)/2&gt;=70,4,IF((H368+I368)/2&gt;=60,3.5,IF((H368+I368)/2&gt;=50,3,IF((H368+I368)/2&gt;=40,2,IF((H368+I368)/2&gt;=33,1,0)))))))</f>
        <v/>
      </c>
      <c r="AG368">
        <f>IF(Y368,0,IF((J368+K368+L368+M368)/2&gt;=80,5,IF((J368+K368+L368+M368)/2&gt;=70,4,IF((J368+K368+L368+M368)/2&gt;=60,3.5,IF((J368+K368+L368+M368)/2&gt;=50,3,IF((J368+K368+L368+M368)/2&gt;=40,2,IF((J368+K368+L368+M368)/2&gt;=33,1,0)))))))</f>
        <v/>
      </c>
      <c r="AH368">
        <f>IF(Z368,0,IF(N368+O368&gt;=80,5,IF(N368+O368&gt;=70,4,IF(N368+O368&gt;=60,3.5,IF(N368+O368&gt;=50,3,IF(N368+O368&gt;=40,2,IF(N368+O368&gt;=33,1,0)))))))</f>
        <v/>
      </c>
      <c r="AI368">
        <f>IF(AA368,0,IF(P368+Q368&gt;=80,5,IF(P368+Q368&gt;=70,4,IF(P368+Q368&gt;=60,3.5,IF(P368+Q368&gt;=50,3,IF(P368+Q368&gt;=40,2,IF(P368+Q368&gt;=33,1,0)))))))</f>
        <v/>
      </c>
      <c r="AJ368">
        <f>IF(R368&lt;8.25,0,IF(R368*2&gt;=80,5,IF(R368*2&gt;=70,4,IF(R368*2&gt;=60,3.5,IF(R368*2&gt;=50,3,IF(R368*2&gt;=40,2,IF(R368*2&gt;=33,1,0)))))))</f>
        <v/>
      </c>
      <c r="AK368">
        <f>IF(S368&lt;33,0,IF(S368&gt;=80,5,IF(S368&gt;=70,4,IF(S368&gt;=60,3.5,IF(S368&gt;=50,3,IF(S368&gt;=40,2,IF(S368&gt;=33,1,0)))))))</f>
        <v/>
      </c>
      <c r="AL368">
        <f>(AC368+AD368+AE368+AF368+AG368+AH368+AI368+AJ368)/8</f>
        <v/>
      </c>
      <c r="AM368">
        <f>IF(AK368&gt;=2,(AK368-2)/8,0)</f>
        <v/>
      </c>
    </row>
    <row r="369">
      <c r="T369">
        <f>SUM(C369:R369)</f>
        <v/>
      </c>
      <c r="U369" s="6">
        <f>ROUND(T369/11.5,2)</f>
        <v/>
      </c>
      <c r="V369" s="7">
        <f>IF(B369="","",IF(AB369,0,ROUND(AL369,2)))</f>
        <v/>
      </c>
      <c r="W369" s="7">
        <f>IF(B369="","",IF(AB369,0,MIN(5,ROUND(AL369+AM369,2))))</f>
        <v/>
      </c>
      <c r="X369" s="8">
        <f>IF(B369="","",IF(W369&gt;=5,"A+",IF(W369&gt;=4,"A",IF(W369&gt;=3.5,"A-",IF(W369&gt;=3,"B",IF(W369&gt;=2,"C",IF(W369&gt;=1,"D","F")))))))</f>
        <v/>
      </c>
      <c r="Y369">
        <f>NOT(OR(AND(J369&gt;=10,K369&gt;=23,L369&gt;=10,M369&gt;=23),AND(J369+L369&gt;=20,K369+M369&gt;=46)))</f>
        <v/>
      </c>
      <c r="Z369">
        <f>OR(N369&lt;10,O369&lt;23)</f>
        <v/>
      </c>
      <c r="AA369">
        <f>OR(P369&lt;10,Q369&lt;23)</f>
        <v/>
      </c>
      <c r="AB369">
        <f>OR((C369+D369)&lt;66,(E369+F369)&lt;66,G369&lt;33,(H369+I369)&lt;66,Y369,Z369,AA369,R369&lt;8.25)</f>
        <v/>
      </c>
      <c r="AC369">
        <f>IF(C369+D369&lt;66,0,IF((C369+D369)/2&gt;=80,5,IF((C369+D369)/2&gt;=70,4,IF((C369+D369)/2&gt;=60,3.5,IF((C369+D369)/2&gt;=50,3,IF((C369+D369)/2&gt;=40,2,IF((C369+D369)/2&gt;=33,1,0)))))))</f>
        <v/>
      </c>
      <c r="AD369">
        <f>IF(E369+F369&lt;66,0,IF((E369+F369)/2&gt;=80,5,IF((E369+F369)/2&gt;=70,4,IF((E369+F369)/2&gt;=60,3.5,IF((E369+F369)/2&gt;=50,3,IF((E369+F369)/2&gt;=40,2,IF((E369+F369)/2&gt;=33,1,0)))))))</f>
        <v/>
      </c>
      <c r="AE369">
        <f>IF(G369&lt;33,0,IF(G369&gt;=80,5,IF(G369&gt;=70,4,IF(G369&gt;=60,3.5,IF(G369&gt;=50,3,IF(G369&gt;=40,2,IF(G369&gt;=33,1,0)))))))</f>
        <v/>
      </c>
      <c r="AF369">
        <f>IF(H369+I369&lt;66,0,IF((H369+I369)/2&gt;=80,5,IF((H369+I369)/2&gt;=70,4,IF((H369+I369)/2&gt;=60,3.5,IF((H369+I369)/2&gt;=50,3,IF((H369+I369)/2&gt;=40,2,IF((H369+I369)/2&gt;=33,1,0)))))))</f>
        <v/>
      </c>
      <c r="AG369">
        <f>IF(Y369,0,IF((J369+K369+L369+M369)/2&gt;=80,5,IF((J369+K369+L369+M369)/2&gt;=70,4,IF((J369+K369+L369+M369)/2&gt;=60,3.5,IF((J369+K369+L369+M369)/2&gt;=50,3,IF((J369+K369+L369+M369)/2&gt;=40,2,IF((J369+K369+L369+M369)/2&gt;=33,1,0)))))))</f>
        <v/>
      </c>
      <c r="AH369">
        <f>IF(Z369,0,IF(N369+O369&gt;=80,5,IF(N369+O369&gt;=70,4,IF(N369+O369&gt;=60,3.5,IF(N369+O369&gt;=50,3,IF(N369+O369&gt;=40,2,IF(N369+O369&gt;=33,1,0)))))))</f>
        <v/>
      </c>
      <c r="AI369">
        <f>IF(AA369,0,IF(P369+Q369&gt;=80,5,IF(P369+Q369&gt;=70,4,IF(P369+Q369&gt;=60,3.5,IF(P369+Q369&gt;=50,3,IF(P369+Q369&gt;=40,2,IF(P369+Q369&gt;=33,1,0)))))))</f>
        <v/>
      </c>
      <c r="AJ369">
        <f>IF(R369&lt;8.25,0,IF(R369*2&gt;=80,5,IF(R369*2&gt;=70,4,IF(R369*2&gt;=60,3.5,IF(R369*2&gt;=50,3,IF(R369*2&gt;=40,2,IF(R369*2&gt;=33,1,0)))))))</f>
        <v/>
      </c>
      <c r="AK369">
        <f>IF(S369&lt;33,0,IF(S369&gt;=80,5,IF(S369&gt;=70,4,IF(S369&gt;=60,3.5,IF(S369&gt;=50,3,IF(S369&gt;=40,2,IF(S369&gt;=33,1,0)))))))</f>
        <v/>
      </c>
      <c r="AL369">
        <f>(AC369+AD369+AE369+AF369+AG369+AH369+AI369+AJ369)/8</f>
        <v/>
      </c>
      <c r="AM369">
        <f>IF(AK369&gt;=2,(AK369-2)/8,0)</f>
        <v/>
      </c>
    </row>
    <row r="370">
      <c r="T370">
        <f>SUM(C370:R370)</f>
        <v/>
      </c>
      <c r="U370" s="6">
        <f>ROUND(T370/11.5,2)</f>
        <v/>
      </c>
      <c r="V370" s="7">
        <f>IF(B370="","",IF(AB370,0,ROUND(AL370,2)))</f>
        <v/>
      </c>
      <c r="W370" s="7">
        <f>IF(B370="","",IF(AB370,0,MIN(5,ROUND(AL370+AM370,2))))</f>
        <v/>
      </c>
      <c r="X370" s="8">
        <f>IF(B370="","",IF(W370&gt;=5,"A+",IF(W370&gt;=4,"A",IF(W370&gt;=3.5,"A-",IF(W370&gt;=3,"B",IF(W370&gt;=2,"C",IF(W370&gt;=1,"D","F")))))))</f>
        <v/>
      </c>
      <c r="Y370">
        <f>NOT(OR(AND(J370&gt;=10,K370&gt;=23,L370&gt;=10,M370&gt;=23),AND(J370+L370&gt;=20,K370+M370&gt;=46)))</f>
        <v/>
      </c>
      <c r="Z370">
        <f>OR(N370&lt;10,O370&lt;23)</f>
        <v/>
      </c>
      <c r="AA370">
        <f>OR(P370&lt;10,Q370&lt;23)</f>
        <v/>
      </c>
      <c r="AB370">
        <f>OR((C370+D370)&lt;66,(E370+F370)&lt;66,G370&lt;33,(H370+I370)&lt;66,Y370,Z370,AA370,R370&lt;8.25)</f>
        <v/>
      </c>
      <c r="AC370">
        <f>IF(C370+D370&lt;66,0,IF((C370+D370)/2&gt;=80,5,IF((C370+D370)/2&gt;=70,4,IF((C370+D370)/2&gt;=60,3.5,IF((C370+D370)/2&gt;=50,3,IF((C370+D370)/2&gt;=40,2,IF((C370+D370)/2&gt;=33,1,0)))))))</f>
        <v/>
      </c>
      <c r="AD370">
        <f>IF(E370+F370&lt;66,0,IF((E370+F370)/2&gt;=80,5,IF((E370+F370)/2&gt;=70,4,IF((E370+F370)/2&gt;=60,3.5,IF((E370+F370)/2&gt;=50,3,IF((E370+F370)/2&gt;=40,2,IF((E370+F370)/2&gt;=33,1,0)))))))</f>
        <v/>
      </c>
      <c r="AE370">
        <f>IF(G370&lt;33,0,IF(G370&gt;=80,5,IF(G370&gt;=70,4,IF(G370&gt;=60,3.5,IF(G370&gt;=50,3,IF(G370&gt;=40,2,IF(G370&gt;=33,1,0)))))))</f>
        <v/>
      </c>
      <c r="AF370">
        <f>IF(H370+I370&lt;66,0,IF((H370+I370)/2&gt;=80,5,IF((H370+I370)/2&gt;=70,4,IF((H370+I370)/2&gt;=60,3.5,IF((H370+I370)/2&gt;=50,3,IF((H370+I370)/2&gt;=40,2,IF((H370+I370)/2&gt;=33,1,0)))))))</f>
        <v/>
      </c>
      <c r="AG370">
        <f>IF(Y370,0,IF((J370+K370+L370+M370)/2&gt;=80,5,IF((J370+K370+L370+M370)/2&gt;=70,4,IF((J370+K370+L370+M370)/2&gt;=60,3.5,IF((J370+K370+L370+M370)/2&gt;=50,3,IF((J370+K370+L370+M370)/2&gt;=40,2,IF((J370+K370+L370+M370)/2&gt;=33,1,0)))))))</f>
        <v/>
      </c>
      <c r="AH370">
        <f>IF(Z370,0,IF(N370+O370&gt;=80,5,IF(N370+O370&gt;=70,4,IF(N370+O370&gt;=60,3.5,IF(N370+O370&gt;=50,3,IF(N370+O370&gt;=40,2,IF(N370+O370&gt;=33,1,0)))))))</f>
        <v/>
      </c>
      <c r="AI370">
        <f>IF(AA370,0,IF(P370+Q370&gt;=80,5,IF(P370+Q370&gt;=70,4,IF(P370+Q370&gt;=60,3.5,IF(P370+Q370&gt;=50,3,IF(P370+Q370&gt;=40,2,IF(P370+Q370&gt;=33,1,0)))))))</f>
        <v/>
      </c>
      <c r="AJ370">
        <f>IF(R370&lt;8.25,0,IF(R370*2&gt;=80,5,IF(R370*2&gt;=70,4,IF(R370*2&gt;=60,3.5,IF(R370*2&gt;=50,3,IF(R370*2&gt;=40,2,IF(R370*2&gt;=33,1,0)))))))</f>
        <v/>
      </c>
      <c r="AK370">
        <f>IF(S370&lt;33,0,IF(S370&gt;=80,5,IF(S370&gt;=70,4,IF(S370&gt;=60,3.5,IF(S370&gt;=50,3,IF(S370&gt;=40,2,IF(S370&gt;=33,1,0)))))))</f>
        <v/>
      </c>
      <c r="AL370">
        <f>(AC370+AD370+AE370+AF370+AG370+AH370+AI370+AJ370)/8</f>
        <v/>
      </c>
      <c r="AM370">
        <f>IF(AK370&gt;=2,(AK370-2)/8,0)</f>
        <v/>
      </c>
    </row>
    <row r="371">
      <c r="T371">
        <f>SUM(C371:R371)</f>
        <v/>
      </c>
      <c r="U371" s="6">
        <f>ROUND(T371/11.5,2)</f>
        <v/>
      </c>
      <c r="V371" s="7">
        <f>IF(B371="","",IF(AB371,0,ROUND(AL371,2)))</f>
        <v/>
      </c>
      <c r="W371" s="7">
        <f>IF(B371="","",IF(AB371,0,MIN(5,ROUND(AL371+AM371,2))))</f>
        <v/>
      </c>
      <c r="X371" s="8">
        <f>IF(B371="","",IF(W371&gt;=5,"A+",IF(W371&gt;=4,"A",IF(W371&gt;=3.5,"A-",IF(W371&gt;=3,"B",IF(W371&gt;=2,"C",IF(W371&gt;=1,"D","F")))))))</f>
        <v/>
      </c>
      <c r="Y371">
        <f>NOT(OR(AND(J371&gt;=10,K371&gt;=23,L371&gt;=10,M371&gt;=23),AND(J371+L371&gt;=20,K371+M371&gt;=46)))</f>
        <v/>
      </c>
      <c r="Z371">
        <f>OR(N371&lt;10,O371&lt;23)</f>
        <v/>
      </c>
      <c r="AA371">
        <f>OR(P371&lt;10,Q371&lt;23)</f>
        <v/>
      </c>
      <c r="AB371">
        <f>OR((C371+D371)&lt;66,(E371+F371)&lt;66,G371&lt;33,(H371+I371)&lt;66,Y371,Z371,AA371,R371&lt;8.25)</f>
        <v/>
      </c>
      <c r="AC371">
        <f>IF(C371+D371&lt;66,0,IF((C371+D371)/2&gt;=80,5,IF((C371+D371)/2&gt;=70,4,IF((C371+D371)/2&gt;=60,3.5,IF((C371+D371)/2&gt;=50,3,IF((C371+D371)/2&gt;=40,2,IF((C371+D371)/2&gt;=33,1,0)))))))</f>
        <v/>
      </c>
      <c r="AD371">
        <f>IF(E371+F371&lt;66,0,IF((E371+F371)/2&gt;=80,5,IF((E371+F371)/2&gt;=70,4,IF((E371+F371)/2&gt;=60,3.5,IF((E371+F371)/2&gt;=50,3,IF((E371+F371)/2&gt;=40,2,IF((E371+F371)/2&gt;=33,1,0)))))))</f>
        <v/>
      </c>
      <c r="AE371">
        <f>IF(G371&lt;33,0,IF(G371&gt;=80,5,IF(G371&gt;=70,4,IF(G371&gt;=60,3.5,IF(G371&gt;=50,3,IF(G371&gt;=40,2,IF(G371&gt;=33,1,0)))))))</f>
        <v/>
      </c>
      <c r="AF371">
        <f>IF(H371+I371&lt;66,0,IF((H371+I371)/2&gt;=80,5,IF((H371+I371)/2&gt;=70,4,IF((H371+I371)/2&gt;=60,3.5,IF((H371+I371)/2&gt;=50,3,IF((H371+I371)/2&gt;=40,2,IF((H371+I371)/2&gt;=33,1,0)))))))</f>
        <v/>
      </c>
      <c r="AG371">
        <f>IF(Y371,0,IF((J371+K371+L371+M371)/2&gt;=80,5,IF((J371+K371+L371+M371)/2&gt;=70,4,IF((J371+K371+L371+M371)/2&gt;=60,3.5,IF((J371+K371+L371+M371)/2&gt;=50,3,IF((J371+K371+L371+M371)/2&gt;=40,2,IF((J371+K371+L371+M371)/2&gt;=33,1,0)))))))</f>
        <v/>
      </c>
      <c r="AH371">
        <f>IF(Z371,0,IF(N371+O371&gt;=80,5,IF(N371+O371&gt;=70,4,IF(N371+O371&gt;=60,3.5,IF(N371+O371&gt;=50,3,IF(N371+O371&gt;=40,2,IF(N371+O371&gt;=33,1,0)))))))</f>
        <v/>
      </c>
      <c r="AI371">
        <f>IF(AA371,0,IF(P371+Q371&gt;=80,5,IF(P371+Q371&gt;=70,4,IF(P371+Q371&gt;=60,3.5,IF(P371+Q371&gt;=50,3,IF(P371+Q371&gt;=40,2,IF(P371+Q371&gt;=33,1,0)))))))</f>
        <v/>
      </c>
      <c r="AJ371">
        <f>IF(R371&lt;8.25,0,IF(R371*2&gt;=80,5,IF(R371*2&gt;=70,4,IF(R371*2&gt;=60,3.5,IF(R371*2&gt;=50,3,IF(R371*2&gt;=40,2,IF(R371*2&gt;=33,1,0)))))))</f>
        <v/>
      </c>
      <c r="AK371">
        <f>IF(S371&lt;33,0,IF(S371&gt;=80,5,IF(S371&gt;=70,4,IF(S371&gt;=60,3.5,IF(S371&gt;=50,3,IF(S371&gt;=40,2,IF(S371&gt;=33,1,0)))))))</f>
        <v/>
      </c>
      <c r="AL371">
        <f>(AC371+AD371+AE371+AF371+AG371+AH371+AI371+AJ371)/8</f>
        <v/>
      </c>
      <c r="AM371">
        <f>IF(AK371&gt;=2,(AK371-2)/8,0)</f>
        <v/>
      </c>
    </row>
    <row r="372">
      <c r="T372">
        <f>SUM(C372:R372)</f>
        <v/>
      </c>
      <c r="U372" s="6">
        <f>ROUND(T372/11.5,2)</f>
        <v/>
      </c>
      <c r="V372" s="7">
        <f>IF(B372="","",IF(AB372,0,ROUND(AL372,2)))</f>
        <v/>
      </c>
      <c r="W372" s="7">
        <f>IF(B372="","",IF(AB372,0,MIN(5,ROUND(AL372+AM372,2))))</f>
        <v/>
      </c>
      <c r="X372" s="8">
        <f>IF(B372="","",IF(W372&gt;=5,"A+",IF(W372&gt;=4,"A",IF(W372&gt;=3.5,"A-",IF(W372&gt;=3,"B",IF(W372&gt;=2,"C",IF(W372&gt;=1,"D","F")))))))</f>
        <v/>
      </c>
      <c r="Y372">
        <f>NOT(OR(AND(J372&gt;=10,K372&gt;=23,L372&gt;=10,M372&gt;=23),AND(J372+L372&gt;=20,K372+M372&gt;=46)))</f>
        <v/>
      </c>
      <c r="Z372">
        <f>OR(N372&lt;10,O372&lt;23)</f>
        <v/>
      </c>
      <c r="AA372">
        <f>OR(P372&lt;10,Q372&lt;23)</f>
        <v/>
      </c>
      <c r="AB372">
        <f>OR((C372+D372)&lt;66,(E372+F372)&lt;66,G372&lt;33,(H372+I372)&lt;66,Y372,Z372,AA372,R372&lt;8.25)</f>
        <v/>
      </c>
      <c r="AC372">
        <f>IF(C372+D372&lt;66,0,IF((C372+D372)/2&gt;=80,5,IF((C372+D372)/2&gt;=70,4,IF((C372+D372)/2&gt;=60,3.5,IF((C372+D372)/2&gt;=50,3,IF((C372+D372)/2&gt;=40,2,IF((C372+D372)/2&gt;=33,1,0)))))))</f>
        <v/>
      </c>
      <c r="AD372">
        <f>IF(E372+F372&lt;66,0,IF((E372+F372)/2&gt;=80,5,IF((E372+F372)/2&gt;=70,4,IF((E372+F372)/2&gt;=60,3.5,IF((E372+F372)/2&gt;=50,3,IF((E372+F372)/2&gt;=40,2,IF((E372+F372)/2&gt;=33,1,0)))))))</f>
        <v/>
      </c>
      <c r="AE372">
        <f>IF(G372&lt;33,0,IF(G372&gt;=80,5,IF(G372&gt;=70,4,IF(G372&gt;=60,3.5,IF(G372&gt;=50,3,IF(G372&gt;=40,2,IF(G372&gt;=33,1,0)))))))</f>
        <v/>
      </c>
      <c r="AF372">
        <f>IF(H372+I372&lt;66,0,IF((H372+I372)/2&gt;=80,5,IF((H372+I372)/2&gt;=70,4,IF((H372+I372)/2&gt;=60,3.5,IF((H372+I372)/2&gt;=50,3,IF((H372+I372)/2&gt;=40,2,IF((H372+I372)/2&gt;=33,1,0)))))))</f>
        <v/>
      </c>
      <c r="AG372">
        <f>IF(Y372,0,IF((J372+K372+L372+M372)/2&gt;=80,5,IF((J372+K372+L372+M372)/2&gt;=70,4,IF((J372+K372+L372+M372)/2&gt;=60,3.5,IF((J372+K372+L372+M372)/2&gt;=50,3,IF((J372+K372+L372+M372)/2&gt;=40,2,IF((J372+K372+L372+M372)/2&gt;=33,1,0)))))))</f>
        <v/>
      </c>
      <c r="AH372">
        <f>IF(Z372,0,IF(N372+O372&gt;=80,5,IF(N372+O372&gt;=70,4,IF(N372+O372&gt;=60,3.5,IF(N372+O372&gt;=50,3,IF(N372+O372&gt;=40,2,IF(N372+O372&gt;=33,1,0)))))))</f>
        <v/>
      </c>
      <c r="AI372">
        <f>IF(AA372,0,IF(P372+Q372&gt;=80,5,IF(P372+Q372&gt;=70,4,IF(P372+Q372&gt;=60,3.5,IF(P372+Q372&gt;=50,3,IF(P372+Q372&gt;=40,2,IF(P372+Q372&gt;=33,1,0)))))))</f>
        <v/>
      </c>
      <c r="AJ372">
        <f>IF(R372&lt;8.25,0,IF(R372*2&gt;=80,5,IF(R372*2&gt;=70,4,IF(R372*2&gt;=60,3.5,IF(R372*2&gt;=50,3,IF(R372*2&gt;=40,2,IF(R372*2&gt;=33,1,0)))))))</f>
        <v/>
      </c>
      <c r="AK372">
        <f>IF(S372&lt;33,0,IF(S372&gt;=80,5,IF(S372&gt;=70,4,IF(S372&gt;=60,3.5,IF(S372&gt;=50,3,IF(S372&gt;=40,2,IF(S372&gt;=33,1,0)))))))</f>
        <v/>
      </c>
      <c r="AL372">
        <f>(AC372+AD372+AE372+AF372+AG372+AH372+AI372+AJ372)/8</f>
        <v/>
      </c>
      <c r="AM372">
        <f>IF(AK372&gt;=2,(AK372-2)/8,0)</f>
        <v/>
      </c>
    </row>
    <row r="373">
      <c r="T373">
        <f>SUM(C373:R373)</f>
        <v/>
      </c>
      <c r="U373" s="6">
        <f>ROUND(T373/11.5,2)</f>
        <v/>
      </c>
      <c r="V373" s="7">
        <f>IF(B373="","",IF(AB373,0,ROUND(AL373,2)))</f>
        <v/>
      </c>
      <c r="W373" s="7">
        <f>IF(B373="","",IF(AB373,0,MIN(5,ROUND(AL373+AM373,2))))</f>
        <v/>
      </c>
      <c r="X373" s="8">
        <f>IF(B373="","",IF(W373&gt;=5,"A+",IF(W373&gt;=4,"A",IF(W373&gt;=3.5,"A-",IF(W373&gt;=3,"B",IF(W373&gt;=2,"C",IF(W373&gt;=1,"D","F")))))))</f>
        <v/>
      </c>
      <c r="Y373">
        <f>NOT(OR(AND(J373&gt;=10,K373&gt;=23,L373&gt;=10,M373&gt;=23),AND(J373+L373&gt;=20,K373+M373&gt;=46)))</f>
        <v/>
      </c>
      <c r="Z373">
        <f>OR(N373&lt;10,O373&lt;23)</f>
        <v/>
      </c>
      <c r="AA373">
        <f>OR(P373&lt;10,Q373&lt;23)</f>
        <v/>
      </c>
      <c r="AB373">
        <f>OR((C373+D373)&lt;66,(E373+F373)&lt;66,G373&lt;33,(H373+I373)&lt;66,Y373,Z373,AA373,R373&lt;8.25)</f>
        <v/>
      </c>
      <c r="AC373">
        <f>IF(C373+D373&lt;66,0,IF((C373+D373)/2&gt;=80,5,IF((C373+D373)/2&gt;=70,4,IF((C373+D373)/2&gt;=60,3.5,IF((C373+D373)/2&gt;=50,3,IF((C373+D373)/2&gt;=40,2,IF((C373+D373)/2&gt;=33,1,0)))))))</f>
        <v/>
      </c>
      <c r="AD373">
        <f>IF(E373+F373&lt;66,0,IF((E373+F373)/2&gt;=80,5,IF((E373+F373)/2&gt;=70,4,IF((E373+F373)/2&gt;=60,3.5,IF((E373+F373)/2&gt;=50,3,IF((E373+F373)/2&gt;=40,2,IF((E373+F373)/2&gt;=33,1,0)))))))</f>
        <v/>
      </c>
      <c r="AE373">
        <f>IF(G373&lt;33,0,IF(G373&gt;=80,5,IF(G373&gt;=70,4,IF(G373&gt;=60,3.5,IF(G373&gt;=50,3,IF(G373&gt;=40,2,IF(G373&gt;=33,1,0)))))))</f>
        <v/>
      </c>
      <c r="AF373">
        <f>IF(H373+I373&lt;66,0,IF((H373+I373)/2&gt;=80,5,IF((H373+I373)/2&gt;=70,4,IF((H373+I373)/2&gt;=60,3.5,IF((H373+I373)/2&gt;=50,3,IF((H373+I373)/2&gt;=40,2,IF((H373+I373)/2&gt;=33,1,0)))))))</f>
        <v/>
      </c>
      <c r="AG373">
        <f>IF(Y373,0,IF((J373+K373+L373+M373)/2&gt;=80,5,IF((J373+K373+L373+M373)/2&gt;=70,4,IF((J373+K373+L373+M373)/2&gt;=60,3.5,IF((J373+K373+L373+M373)/2&gt;=50,3,IF((J373+K373+L373+M373)/2&gt;=40,2,IF((J373+K373+L373+M373)/2&gt;=33,1,0)))))))</f>
        <v/>
      </c>
      <c r="AH373">
        <f>IF(Z373,0,IF(N373+O373&gt;=80,5,IF(N373+O373&gt;=70,4,IF(N373+O373&gt;=60,3.5,IF(N373+O373&gt;=50,3,IF(N373+O373&gt;=40,2,IF(N373+O373&gt;=33,1,0)))))))</f>
        <v/>
      </c>
      <c r="AI373">
        <f>IF(AA373,0,IF(P373+Q373&gt;=80,5,IF(P373+Q373&gt;=70,4,IF(P373+Q373&gt;=60,3.5,IF(P373+Q373&gt;=50,3,IF(P373+Q373&gt;=40,2,IF(P373+Q373&gt;=33,1,0)))))))</f>
        <v/>
      </c>
      <c r="AJ373">
        <f>IF(R373&lt;8.25,0,IF(R373*2&gt;=80,5,IF(R373*2&gt;=70,4,IF(R373*2&gt;=60,3.5,IF(R373*2&gt;=50,3,IF(R373*2&gt;=40,2,IF(R373*2&gt;=33,1,0)))))))</f>
        <v/>
      </c>
      <c r="AK373">
        <f>IF(S373&lt;33,0,IF(S373&gt;=80,5,IF(S373&gt;=70,4,IF(S373&gt;=60,3.5,IF(S373&gt;=50,3,IF(S373&gt;=40,2,IF(S373&gt;=33,1,0)))))))</f>
        <v/>
      </c>
      <c r="AL373">
        <f>(AC373+AD373+AE373+AF373+AG373+AH373+AI373+AJ373)/8</f>
        <v/>
      </c>
      <c r="AM373">
        <f>IF(AK373&gt;=2,(AK373-2)/8,0)</f>
        <v/>
      </c>
    </row>
    <row r="374">
      <c r="T374">
        <f>SUM(C374:R374)</f>
        <v/>
      </c>
      <c r="U374" s="6">
        <f>ROUND(T374/11.5,2)</f>
        <v/>
      </c>
      <c r="V374" s="7">
        <f>IF(B374="","",IF(AB374,0,ROUND(AL374,2)))</f>
        <v/>
      </c>
      <c r="W374" s="7">
        <f>IF(B374="","",IF(AB374,0,MIN(5,ROUND(AL374+AM374,2))))</f>
        <v/>
      </c>
      <c r="X374" s="8">
        <f>IF(B374="","",IF(W374&gt;=5,"A+",IF(W374&gt;=4,"A",IF(W374&gt;=3.5,"A-",IF(W374&gt;=3,"B",IF(W374&gt;=2,"C",IF(W374&gt;=1,"D","F")))))))</f>
        <v/>
      </c>
      <c r="Y374">
        <f>NOT(OR(AND(J374&gt;=10,K374&gt;=23,L374&gt;=10,M374&gt;=23),AND(J374+L374&gt;=20,K374+M374&gt;=46)))</f>
        <v/>
      </c>
      <c r="Z374">
        <f>OR(N374&lt;10,O374&lt;23)</f>
        <v/>
      </c>
      <c r="AA374">
        <f>OR(P374&lt;10,Q374&lt;23)</f>
        <v/>
      </c>
      <c r="AB374">
        <f>OR((C374+D374)&lt;66,(E374+F374)&lt;66,G374&lt;33,(H374+I374)&lt;66,Y374,Z374,AA374,R374&lt;8.25)</f>
        <v/>
      </c>
      <c r="AC374">
        <f>IF(C374+D374&lt;66,0,IF((C374+D374)/2&gt;=80,5,IF((C374+D374)/2&gt;=70,4,IF((C374+D374)/2&gt;=60,3.5,IF((C374+D374)/2&gt;=50,3,IF((C374+D374)/2&gt;=40,2,IF((C374+D374)/2&gt;=33,1,0)))))))</f>
        <v/>
      </c>
      <c r="AD374">
        <f>IF(E374+F374&lt;66,0,IF((E374+F374)/2&gt;=80,5,IF((E374+F374)/2&gt;=70,4,IF((E374+F374)/2&gt;=60,3.5,IF((E374+F374)/2&gt;=50,3,IF((E374+F374)/2&gt;=40,2,IF((E374+F374)/2&gt;=33,1,0)))))))</f>
        <v/>
      </c>
      <c r="AE374">
        <f>IF(G374&lt;33,0,IF(G374&gt;=80,5,IF(G374&gt;=70,4,IF(G374&gt;=60,3.5,IF(G374&gt;=50,3,IF(G374&gt;=40,2,IF(G374&gt;=33,1,0)))))))</f>
        <v/>
      </c>
      <c r="AF374">
        <f>IF(H374+I374&lt;66,0,IF((H374+I374)/2&gt;=80,5,IF((H374+I374)/2&gt;=70,4,IF((H374+I374)/2&gt;=60,3.5,IF((H374+I374)/2&gt;=50,3,IF((H374+I374)/2&gt;=40,2,IF((H374+I374)/2&gt;=33,1,0)))))))</f>
        <v/>
      </c>
      <c r="AG374">
        <f>IF(Y374,0,IF((J374+K374+L374+M374)/2&gt;=80,5,IF((J374+K374+L374+M374)/2&gt;=70,4,IF((J374+K374+L374+M374)/2&gt;=60,3.5,IF((J374+K374+L374+M374)/2&gt;=50,3,IF((J374+K374+L374+M374)/2&gt;=40,2,IF((J374+K374+L374+M374)/2&gt;=33,1,0)))))))</f>
        <v/>
      </c>
      <c r="AH374">
        <f>IF(Z374,0,IF(N374+O374&gt;=80,5,IF(N374+O374&gt;=70,4,IF(N374+O374&gt;=60,3.5,IF(N374+O374&gt;=50,3,IF(N374+O374&gt;=40,2,IF(N374+O374&gt;=33,1,0)))))))</f>
        <v/>
      </c>
      <c r="AI374">
        <f>IF(AA374,0,IF(P374+Q374&gt;=80,5,IF(P374+Q374&gt;=70,4,IF(P374+Q374&gt;=60,3.5,IF(P374+Q374&gt;=50,3,IF(P374+Q374&gt;=40,2,IF(P374+Q374&gt;=33,1,0)))))))</f>
        <v/>
      </c>
      <c r="AJ374">
        <f>IF(R374&lt;8.25,0,IF(R374*2&gt;=80,5,IF(R374*2&gt;=70,4,IF(R374*2&gt;=60,3.5,IF(R374*2&gt;=50,3,IF(R374*2&gt;=40,2,IF(R374*2&gt;=33,1,0)))))))</f>
        <v/>
      </c>
      <c r="AK374">
        <f>IF(S374&lt;33,0,IF(S374&gt;=80,5,IF(S374&gt;=70,4,IF(S374&gt;=60,3.5,IF(S374&gt;=50,3,IF(S374&gt;=40,2,IF(S374&gt;=33,1,0)))))))</f>
        <v/>
      </c>
      <c r="AL374">
        <f>(AC374+AD374+AE374+AF374+AG374+AH374+AI374+AJ374)/8</f>
        <v/>
      </c>
      <c r="AM374">
        <f>IF(AK374&gt;=2,(AK374-2)/8,0)</f>
        <v/>
      </c>
    </row>
    <row r="375">
      <c r="T375">
        <f>SUM(C375:R375)</f>
        <v/>
      </c>
      <c r="U375" s="6">
        <f>ROUND(T375/11.5,2)</f>
        <v/>
      </c>
      <c r="V375" s="7">
        <f>IF(B375="","",IF(AB375,0,ROUND(AL375,2)))</f>
        <v/>
      </c>
      <c r="W375" s="7">
        <f>IF(B375="","",IF(AB375,0,MIN(5,ROUND(AL375+AM375,2))))</f>
        <v/>
      </c>
      <c r="X375" s="8">
        <f>IF(B375="","",IF(W375&gt;=5,"A+",IF(W375&gt;=4,"A",IF(W375&gt;=3.5,"A-",IF(W375&gt;=3,"B",IF(W375&gt;=2,"C",IF(W375&gt;=1,"D","F")))))))</f>
        <v/>
      </c>
      <c r="Y375">
        <f>NOT(OR(AND(J375&gt;=10,K375&gt;=23,L375&gt;=10,M375&gt;=23),AND(J375+L375&gt;=20,K375+M375&gt;=46)))</f>
        <v/>
      </c>
      <c r="Z375">
        <f>OR(N375&lt;10,O375&lt;23)</f>
        <v/>
      </c>
      <c r="AA375">
        <f>OR(P375&lt;10,Q375&lt;23)</f>
        <v/>
      </c>
      <c r="AB375">
        <f>OR((C375+D375)&lt;66,(E375+F375)&lt;66,G375&lt;33,(H375+I375)&lt;66,Y375,Z375,AA375,R375&lt;8.25)</f>
        <v/>
      </c>
      <c r="AC375">
        <f>IF(C375+D375&lt;66,0,IF((C375+D375)/2&gt;=80,5,IF((C375+D375)/2&gt;=70,4,IF((C375+D375)/2&gt;=60,3.5,IF((C375+D375)/2&gt;=50,3,IF((C375+D375)/2&gt;=40,2,IF((C375+D375)/2&gt;=33,1,0)))))))</f>
        <v/>
      </c>
      <c r="AD375">
        <f>IF(E375+F375&lt;66,0,IF((E375+F375)/2&gt;=80,5,IF((E375+F375)/2&gt;=70,4,IF((E375+F375)/2&gt;=60,3.5,IF((E375+F375)/2&gt;=50,3,IF((E375+F375)/2&gt;=40,2,IF((E375+F375)/2&gt;=33,1,0)))))))</f>
        <v/>
      </c>
      <c r="AE375">
        <f>IF(G375&lt;33,0,IF(G375&gt;=80,5,IF(G375&gt;=70,4,IF(G375&gt;=60,3.5,IF(G375&gt;=50,3,IF(G375&gt;=40,2,IF(G375&gt;=33,1,0)))))))</f>
        <v/>
      </c>
      <c r="AF375">
        <f>IF(H375+I375&lt;66,0,IF((H375+I375)/2&gt;=80,5,IF((H375+I375)/2&gt;=70,4,IF((H375+I375)/2&gt;=60,3.5,IF((H375+I375)/2&gt;=50,3,IF((H375+I375)/2&gt;=40,2,IF((H375+I375)/2&gt;=33,1,0)))))))</f>
        <v/>
      </c>
      <c r="AG375">
        <f>IF(Y375,0,IF((J375+K375+L375+M375)/2&gt;=80,5,IF((J375+K375+L375+M375)/2&gt;=70,4,IF((J375+K375+L375+M375)/2&gt;=60,3.5,IF((J375+K375+L375+M375)/2&gt;=50,3,IF((J375+K375+L375+M375)/2&gt;=40,2,IF((J375+K375+L375+M375)/2&gt;=33,1,0)))))))</f>
        <v/>
      </c>
      <c r="AH375">
        <f>IF(Z375,0,IF(N375+O375&gt;=80,5,IF(N375+O375&gt;=70,4,IF(N375+O375&gt;=60,3.5,IF(N375+O375&gt;=50,3,IF(N375+O375&gt;=40,2,IF(N375+O375&gt;=33,1,0)))))))</f>
        <v/>
      </c>
      <c r="AI375">
        <f>IF(AA375,0,IF(P375+Q375&gt;=80,5,IF(P375+Q375&gt;=70,4,IF(P375+Q375&gt;=60,3.5,IF(P375+Q375&gt;=50,3,IF(P375+Q375&gt;=40,2,IF(P375+Q375&gt;=33,1,0)))))))</f>
        <v/>
      </c>
      <c r="AJ375">
        <f>IF(R375&lt;8.25,0,IF(R375*2&gt;=80,5,IF(R375*2&gt;=70,4,IF(R375*2&gt;=60,3.5,IF(R375*2&gt;=50,3,IF(R375*2&gt;=40,2,IF(R375*2&gt;=33,1,0)))))))</f>
        <v/>
      </c>
      <c r="AK375">
        <f>IF(S375&lt;33,0,IF(S375&gt;=80,5,IF(S375&gt;=70,4,IF(S375&gt;=60,3.5,IF(S375&gt;=50,3,IF(S375&gt;=40,2,IF(S375&gt;=33,1,0)))))))</f>
        <v/>
      </c>
      <c r="AL375">
        <f>(AC375+AD375+AE375+AF375+AG375+AH375+AI375+AJ375)/8</f>
        <v/>
      </c>
      <c r="AM375">
        <f>IF(AK375&gt;=2,(AK375-2)/8,0)</f>
        <v/>
      </c>
    </row>
    <row r="376">
      <c r="T376">
        <f>SUM(C376:R376)</f>
        <v/>
      </c>
      <c r="U376" s="6">
        <f>ROUND(T376/11.5,2)</f>
        <v/>
      </c>
      <c r="V376" s="7">
        <f>IF(B376="","",IF(AB376,0,ROUND(AL376,2)))</f>
        <v/>
      </c>
      <c r="W376" s="7">
        <f>IF(B376="","",IF(AB376,0,MIN(5,ROUND(AL376+AM376,2))))</f>
        <v/>
      </c>
      <c r="X376" s="8">
        <f>IF(B376="","",IF(W376&gt;=5,"A+",IF(W376&gt;=4,"A",IF(W376&gt;=3.5,"A-",IF(W376&gt;=3,"B",IF(W376&gt;=2,"C",IF(W376&gt;=1,"D","F")))))))</f>
        <v/>
      </c>
      <c r="Y376">
        <f>NOT(OR(AND(J376&gt;=10,K376&gt;=23,L376&gt;=10,M376&gt;=23),AND(J376+L376&gt;=20,K376+M376&gt;=46)))</f>
        <v/>
      </c>
      <c r="Z376">
        <f>OR(N376&lt;10,O376&lt;23)</f>
        <v/>
      </c>
      <c r="AA376">
        <f>OR(P376&lt;10,Q376&lt;23)</f>
        <v/>
      </c>
      <c r="AB376">
        <f>OR((C376+D376)&lt;66,(E376+F376)&lt;66,G376&lt;33,(H376+I376)&lt;66,Y376,Z376,AA376,R376&lt;8.25)</f>
        <v/>
      </c>
      <c r="AC376">
        <f>IF(C376+D376&lt;66,0,IF((C376+D376)/2&gt;=80,5,IF((C376+D376)/2&gt;=70,4,IF((C376+D376)/2&gt;=60,3.5,IF((C376+D376)/2&gt;=50,3,IF((C376+D376)/2&gt;=40,2,IF((C376+D376)/2&gt;=33,1,0)))))))</f>
        <v/>
      </c>
      <c r="AD376">
        <f>IF(E376+F376&lt;66,0,IF((E376+F376)/2&gt;=80,5,IF((E376+F376)/2&gt;=70,4,IF((E376+F376)/2&gt;=60,3.5,IF((E376+F376)/2&gt;=50,3,IF((E376+F376)/2&gt;=40,2,IF((E376+F376)/2&gt;=33,1,0)))))))</f>
        <v/>
      </c>
      <c r="AE376">
        <f>IF(G376&lt;33,0,IF(G376&gt;=80,5,IF(G376&gt;=70,4,IF(G376&gt;=60,3.5,IF(G376&gt;=50,3,IF(G376&gt;=40,2,IF(G376&gt;=33,1,0)))))))</f>
        <v/>
      </c>
      <c r="AF376">
        <f>IF(H376+I376&lt;66,0,IF((H376+I376)/2&gt;=80,5,IF((H376+I376)/2&gt;=70,4,IF((H376+I376)/2&gt;=60,3.5,IF((H376+I376)/2&gt;=50,3,IF((H376+I376)/2&gt;=40,2,IF((H376+I376)/2&gt;=33,1,0)))))))</f>
        <v/>
      </c>
      <c r="AG376">
        <f>IF(Y376,0,IF((J376+K376+L376+M376)/2&gt;=80,5,IF((J376+K376+L376+M376)/2&gt;=70,4,IF((J376+K376+L376+M376)/2&gt;=60,3.5,IF((J376+K376+L376+M376)/2&gt;=50,3,IF((J376+K376+L376+M376)/2&gt;=40,2,IF((J376+K376+L376+M376)/2&gt;=33,1,0)))))))</f>
        <v/>
      </c>
      <c r="AH376">
        <f>IF(Z376,0,IF(N376+O376&gt;=80,5,IF(N376+O376&gt;=70,4,IF(N376+O376&gt;=60,3.5,IF(N376+O376&gt;=50,3,IF(N376+O376&gt;=40,2,IF(N376+O376&gt;=33,1,0)))))))</f>
        <v/>
      </c>
      <c r="AI376">
        <f>IF(AA376,0,IF(P376+Q376&gt;=80,5,IF(P376+Q376&gt;=70,4,IF(P376+Q376&gt;=60,3.5,IF(P376+Q376&gt;=50,3,IF(P376+Q376&gt;=40,2,IF(P376+Q376&gt;=33,1,0)))))))</f>
        <v/>
      </c>
      <c r="AJ376">
        <f>IF(R376&lt;8.25,0,IF(R376*2&gt;=80,5,IF(R376*2&gt;=70,4,IF(R376*2&gt;=60,3.5,IF(R376*2&gt;=50,3,IF(R376*2&gt;=40,2,IF(R376*2&gt;=33,1,0)))))))</f>
        <v/>
      </c>
      <c r="AK376">
        <f>IF(S376&lt;33,0,IF(S376&gt;=80,5,IF(S376&gt;=70,4,IF(S376&gt;=60,3.5,IF(S376&gt;=50,3,IF(S376&gt;=40,2,IF(S376&gt;=33,1,0)))))))</f>
        <v/>
      </c>
      <c r="AL376">
        <f>(AC376+AD376+AE376+AF376+AG376+AH376+AI376+AJ376)/8</f>
        <v/>
      </c>
      <c r="AM376">
        <f>IF(AK376&gt;=2,(AK376-2)/8,0)</f>
        <v/>
      </c>
    </row>
    <row r="377">
      <c r="T377">
        <f>SUM(C377:R377)</f>
        <v/>
      </c>
      <c r="U377" s="6">
        <f>ROUND(T377/11.5,2)</f>
        <v/>
      </c>
      <c r="V377" s="7">
        <f>IF(B377="","",IF(AB377,0,ROUND(AL377,2)))</f>
        <v/>
      </c>
      <c r="W377" s="7">
        <f>IF(B377="","",IF(AB377,0,MIN(5,ROUND(AL377+AM377,2))))</f>
        <v/>
      </c>
      <c r="X377" s="8">
        <f>IF(B377="","",IF(W377&gt;=5,"A+",IF(W377&gt;=4,"A",IF(W377&gt;=3.5,"A-",IF(W377&gt;=3,"B",IF(W377&gt;=2,"C",IF(W377&gt;=1,"D","F")))))))</f>
        <v/>
      </c>
      <c r="Y377">
        <f>NOT(OR(AND(J377&gt;=10,K377&gt;=23,L377&gt;=10,M377&gt;=23),AND(J377+L377&gt;=20,K377+M377&gt;=46)))</f>
        <v/>
      </c>
      <c r="Z377">
        <f>OR(N377&lt;10,O377&lt;23)</f>
        <v/>
      </c>
      <c r="AA377">
        <f>OR(P377&lt;10,Q377&lt;23)</f>
        <v/>
      </c>
      <c r="AB377">
        <f>OR((C377+D377)&lt;66,(E377+F377)&lt;66,G377&lt;33,(H377+I377)&lt;66,Y377,Z377,AA377,R377&lt;8.25)</f>
        <v/>
      </c>
      <c r="AC377">
        <f>IF(C377+D377&lt;66,0,IF((C377+D377)/2&gt;=80,5,IF((C377+D377)/2&gt;=70,4,IF((C377+D377)/2&gt;=60,3.5,IF((C377+D377)/2&gt;=50,3,IF((C377+D377)/2&gt;=40,2,IF((C377+D377)/2&gt;=33,1,0)))))))</f>
        <v/>
      </c>
      <c r="AD377">
        <f>IF(E377+F377&lt;66,0,IF((E377+F377)/2&gt;=80,5,IF((E377+F377)/2&gt;=70,4,IF((E377+F377)/2&gt;=60,3.5,IF((E377+F377)/2&gt;=50,3,IF((E377+F377)/2&gt;=40,2,IF((E377+F377)/2&gt;=33,1,0)))))))</f>
        <v/>
      </c>
      <c r="AE377">
        <f>IF(G377&lt;33,0,IF(G377&gt;=80,5,IF(G377&gt;=70,4,IF(G377&gt;=60,3.5,IF(G377&gt;=50,3,IF(G377&gt;=40,2,IF(G377&gt;=33,1,0)))))))</f>
        <v/>
      </c>
      <c r="AF377">
        <f>IF(H377+I377&lt;66,0,IF((H377+I377)/2&gt;=80,5,IF((H377+I377)/2&gt;=70,4,IF((H377+I377)/2&gt;=60,3.5,IF((H377+I377)/2&gt;=50,3,IF((H377+I377)/2&gt;=40,2,IF((H377+I377)/2&gt;=33,1,0)))))))</f>
        <v/>
      </c>
      <c r="AG377">
        <f>IF(Y377,0,IF((J377+K377+L377+M377)/2&gt;=80,5,IF((J377+K377+L377+M377)/2&gt;=70,4,IF((J377+K377+L377+M377)/2&gt;=60,3.5,IF((J377+K377+L377+M377)/2&gt;=50,3,IF((J377+K377+L377+M377)/2&gt;=40,2,IF((J377+K377+L377+M377)/2&gt;=33,1,0)))))))</f>
        <v/>
      </c>
      <c r="AH377">
        <f>IF(Z377,0,IF(N377+O377&gt;=80,5,IF(N377+O377&gt;=70,4,IF(N377+O377&gt;=60,3.5,IF(N377+O377&gt;=50,3,IF(N377+O377&gt;=40,2,IF(N377+O377&gt;=33,1,0)))))))</f>
        <v/>
      </c>
      <c r="AI377">
        <f>IF(AA377,0,IF(P377+Q377&gt;=80,5,IF(P377+Q377&gt;=70,4,IF(P377+Q377&gt;=60,3.5,IF(P377+Q377&gt;=50,3,IF(P377+Q377&gt;=40,2,IF(P377+Q377&gt;=33,1,0)))))))</f>
        <v/>
      </c>
      <c r="AJ377">
        <f>IF(R377&lt;8.25,0,IF(R377*2&gt;=80,5,IF(R377*2&gt;=70,4,IF(R377*2&gt;=60,3.5,IF(R377*2&gt;=50,3,IF(R377*2&gt;=40,2,IF(R377*2&gt;=33,1,0)))))))</f>
        <v/>
      </c>
      <c r="AK377">
        <f>IF(S377&lt;33,0,IF(S377&gt;=80,5,IF(S377&gt;=70,4,IF(S377&gt;=60,3.5,IF(S377&gt;=50,3,IF(S377&gt;=40,2,IF(S377&gt;=33,1,0)))))))</f>
        <v/>
      </c>
      <c r="AL377">
        <f>(AC377+AD377+AE377+AF377+AG377+AH377+AI377+AJ377)/8</f>
        <v/>
      </c>
      <c r="AM377">
        <f>IF(AK377&gt;=2,(AK377-2)/8,0)</f>
        <v/>
      </c>
    </row>
    <row r="378">
      <c r="T378">
        <f>SUM(C378:R378)</f>
        <v/>
      </c>
      <c r="U378" s="6">
        <f>ROUND(T378/11.5,2)</f>
        <v/>
      </c>
      <c r="V378" s="7">
        <f>IF(B378="","",IF(AB378,0,ROUND(AL378,2)))</f>
        <v/>
      </c>
      <c r="W378" s="7">
        <f>IF(B378="","",IF(AB378,0,MIN(5,ROUND(AL378+AM378,2))))</f>
        <v/>
      </c>
      <c r="X378" s="8">
        <f>IF(B378="","",IF(W378&gt;=5,"A+",IF(W378&gt;=4,"A",IF(W378&gt;=3.5,"A-",IF(W378&gt;=3,"B",IF(W378&gt;=2,"C",IF(W378&gt;=1,"D","F")))))))</f>
        <v/>
      </c>
      <c r="Y378">
        <f>NOT(OR(AND(J378&gt;=10,K378&gt;=23,L378&gt;=10,M378&gt;=23),AND(J378+L378&gt;=20,K378+M378&gt;=46)))</f>
        <v/>
      </c>
      <c r="Z378">
        <f>OR(N378&lt;10,O378&lt;23)</f>
        <v/>
      </c>
      <c r="AA378">
        <f>OR(P378&lt;10,Q378&lt;23)</f>
        <v/>
      </c>
      <c r="AB378">
        <f>OR((C378+D378)&lt;66,(E378+F378)&lt;66,G378&lt;33,(H378+I378)&lt;66,Y378,Z378,AA378,R378&lt;8.25)</f>
        <v/>
      </c>
      <c r="AC378">
        <f>IF(C378+D378&lt;66,0,IF((C378+D378)/2&gt;=80,5,IF((C378+D378)/2&gt;=70,4,IF((C378+D378)/2&gt;=60,3.5,IF((C378+D378)/2&gt;=50,3,IF((C378+D378)/2&gt;=40,2,IF((C378+D378)/2&gt;=33,1,0)))))))</f>
        <v/>
      </c>
      <c r="AD378">
        <f>IF(E378+F378&lt;66,0,IF((E378+F378)/2&gt;=80,5,IF((E378+F378)/2&gt;=70,4,IF((E378+F378)/2&gt;=60,3.5,IF((E378+F378)/2&gt;=50,3,IF((E378+F378)/2&gt;=40,2,IF((E378+F378)/2&gt;=33,1,0)))))))</f>
        <v/>
      </c>
      <c r="AE378">
        <f>IF(G378&lt;33,0,IF(G378&gt;=80,5,IF(G378&gt;=70,4,IF(G378&gt;=60,3.5,IF(G378&gt;=50,3,IF(G378&gt;=40,2,IF(G378&gt;=33,1,0)))))))</f>
        <v/>
      </c>
      <c r="AF378">
        <f>IF(H378+I378&lt;66,0,IF((H378+I378)/2&gt;=80,5,IF((H378+I378)/2&gt;=70,4,IF((H378+I378)/2&gt;=60,3.5,IF((H378+I378)/2&gt;=50,3,IF((H378+I378)/2&gt;=40,2,IF((H378+I378)/2&gt;=33,1,0)))))))</f>
        <v/>
      </c>
      <c r="AG378">
        <f>IF(Y378,0,IF((J378+K378+L378+M378)/2&gt;=80,5,IF((J378+K378+L378+M378)/2&gt;=70,4,IF((J378+K378+L378+M378)/2&gt;=60,3.5,IF((J378+K378+L378+M378)/2&gt;=50,3,IF((J378+K378+L378+M378)/2&gt;=40,2,IF((J378+K378+L378+M378)/2&gt;=33,1,0)))))))</f>
        <v/>
      </c>
      <c r="AH378">
        <f>IF(Z378,0,IF(N378+O378&gt;=80,5,IF(N378+O378&gt;=70,4,IF(N378+O378&gt;=60,3.5,IF(N378+O378&gt;=50,3,IF(N378+O378&gt;=40,2,IF(N378+O378&gt;=33,1,0)))))))</f>
        <v/>
      </c>
      <c r="AI378">
        <f>IF(AA378,0,IF(P378+Q378&gt;=80,5,IF(P378+Q378&gt;=70,4,IF(P378+Q378&gt;=60,3.5,IF(P378+Q378&gt;=50,3,IF(P378+Q378&gt;=40,2,IF(P378+Q378&gt;=33,1,0)))))))</f>
        <v/>
      </c>
      <c r="AJ378">
        <f>IF(R378&lt;8.25,0,IF(R378*2&gt;=80,5,IF(R378*2&gt;=70,4,IF(R378*2&gt;=60,3.5,IF(R378*2&gt;=50,3,IF(R378*2&gt;=40,2,IF(R378*2&gt;=33,1,0)))))))</f>
        <v/>
      </c>
      <c r="AK378">
        <f>IF(S378&lt;33,0,IF(S378&gt;=80,5,IF(S378&gt;=70,4,IF(S378&gt;=60,3.5,IF(S378&gt;=50,3,IF(S378&gt;=40,2,IF(S378&gt;=33,1,0)))))))</f>
        <v/>
      </c>
      <c r="AL378">
        <f>(AC378+AD378+AE378+AF378+AG378+AH378+AI378+AJ378)/8</f>
        <v/>
      </c>
      <c r="AM378">
        <f>IF(AK378&gt;=2,(AK378-2)/8,0)</f>
        <v/>
      </c>
    </row>
    <row r="379">
      <c r="T379">
        <f>SUM(C379:R379)</f>
        <v/>
      </c>
      <c r="U379" s="6">
        <f>ROUND(T379/11.5,2)</f>
        <v/>
      </c>
      <c r="V379" s="7">
        <f>IF(B379="","",IF(AB379,0,ROUND(AL379,2)))</f>
        <v/>
      </c>
      <c r="W379" s="7">
        <f>IF(B379="","",IF(AB379,0,MIN(5,ROUND(AL379+AM379,2))))</f>
        <v/>
      </c>
      <c r="X379" s="8">
        <f>IF(B379="","",IF(W379&gt;=5,"A+",IF(W379&gt;=4,"A",IF(W379&gt;=3.5,"A-",IF(W379&gt;=3,"B",IF(W379&gt;=2,"C",IF(W379&gt;=1,"D","F")))))))</f>
        <v/>
      </c>
      <c r="Y379">
        <f>NOT(OR(AND(J379&gt;=10,K379&gt;=23,L379&gt;=10,M379&gt;=23),AND(J379+L379&gt;=20,K379+M379&gt;=46)))</f>
        <v/>
      </c>
      <c r="Z379">
        <f>OR(N379&lt;10,O379&lt;23)</f>
        <v/>
      </c>
      <c r="AA379">
        <f>OR(P379&lt;10,Q379&lt;23)</f>
        <v/>
      </c>
      <c r="AB379">
        <f>OR((C379+D379)&lt;66,(E379+F379)&lt;66,G379&lt;33,(H379+I379)&lt;66,Y379,Z379,AA379,R379&lt;8.25)</f>
        <v/>
      </c>
      <c r="AC379">
        <f>IF(C379+D379&lt;66,0,IF((C379+D379)/2&gt;=80,5,IF((C379+D379)/2&gt;=70,4,IF((C379+D379)/2&gt;=60,3.5,IF((C379+D379)/2&gt;=50,3,IF((C379+D379)/2&gt;=40,2,IF((C379+D379)/2&gt;=33,1,0)))))))</f>
        <v/>
      </c>
      <c r="AD379">
        <f>IF(E379+F379&lt;66,0,IF((E379+F379)/2&gt;=80,5,IF((E379+F379)/2&gt;=70,4,IF((E379+F379)/2&gt;=60,3.5,IF((E379+F379)/2&gt;=50,3,IF((E379+F379)/2&gt;=40,2,IF((E379+F379)/2&gt;=33,1,0)))))))</f>
        <v/>
      </c>
      <c r="AE379">
        <f>IF(G379&lt;33,0,IF(G379&gt;=80,5,IF(G379&gt;=70,4,IF(G379&gt;=60,3.5,IF(G379&gt;=50,3,IF(G379&gt;=40,2,IF(G379&gt;=33,1,0)))))))</f>
        <v/>
      </c>
      <c r="AF379">
        <f>IF(H379+I379&lt;66,0,IF((H379+I379)/2&gt;=80,5,IF((H379+I379)/2&gt;=70,4,IF((H379+I379)/2&gt;=60,3.5,IF((H379+I379)/2&gt;=50,3,IF((H379+I379)/2&gt;=40,2,IF((H379+I379)/2&gt;=33,1,0)))))))</f>
        <v/>
      </c>
      <c r="AG379">
        <f>IF(Y379,0,IF((J379+K379+L379+M379)/2&gt;=80,5,IF((J379+K379+L379+M379)/2&gt;=70,4,IF((J379+K379+L379+M379)/2&gt;=60,3.5,IF((J379+K379+L379+M379)/2&gt;=50,3,IF((J379+K379+L379+M379)/2&gt;=40,2,IF((J379+K379+L379+M379)/2&gt;=33,1,0)))))))</f>
        <v/>
      </c>
      <c r="AH379">
        <f>IF(Z379,0,IF(N379+O379&gt;=80,5,IF(N379+O379&gt;=70,4,IF(N379+O379&gt;=60,3.5,IF(N379+O379&gt;=50,3,IF(N379+O379&gt;=40,2,IF(N379+O379&gt;=33,1,0)))))))</f>
        <v/>
      </c>
      <c r="AI379">
        <f>IF(AA379,0,IF(P379+Q379&gt;=80,5,IF(P379+Q379&gt;=70,4,IF(P379+Q379&gt;=60,3.5,IF(P379+Q379&gt;=50,3,IF(P379+Q379&gt;=40,2,IF(P379+Q379&gt;=33,1,0)))))))</f>
        <v/>
      </c>
      <c r="AJ379">
        <f>IF(R379&lt;8.25,0,IF(R379*2&gt;=80,5,IF(R379*2&gt;=70,4,IF(R379*2&gt;=60,3.5,IF(R379*2&gt;=50,3,IF(R379*2&gt;=40,2,IF(R379*2&gt;=33,1,0)))))))</f>
        <v/>
      </c>
      <c r="AK379">
        <f>IF(S379&lt;33,0,IF(S379&gt;=80,5,IF(S379&gt;=70,4,IF(S379&gt;=60,3.5,IF(S379&gt;=50,3,IF(S379&gt;=40,2,IF(S379&gt;=33,1,0)))))))</f>
        <v/>
      </c>
      <c r="AL379">
        <f>(AC379+AD379+AE379+AF379+AG379+AH379+AI379+AJ379)/8</f>
        <v/>
      </c>
      <c r="AM379">
        <f>IF(AK379&gt;=2,(AK379-2)/8,0)</f>
        <v/>
      </c>
    </row>
    <row r="380">
      <c r="T380">
        <f>SUM(C380:R380)</f>
        <v/>
      </c>
      <c r="U380" s="6">
        <f>ROUND(T380/11.5,2)</f>
        <v/>
      </c>
      <c r="V380" s="7">
        <f>IF(B380="","",IF(AB380,0,ROUND(AL380,2)))</f>
        <v/>
      </c>
      <c r="W380" s="7">
        <f>IF(B380="","",IF(AB380,0,MIN(5,ROUND(AL380+AM380,2))))</f>
        <v/>
      </c>
      <c r="X380" s="8">
        <f>IF(B380="","",IF(W380&gt;=5,"A+",IF(W380&gt;=4,"A",IF(W380&gt;=3.5,"A-",IF(W380&gt;=3,"B",IF(W380&gt;=2,"C",IF(W380&gt;=1,"D","F")))))))</f>
        <v/>
      </c>
      <c r="Y380">
        <f>NOT(OR(AND(J380&gt;=10,K380&gt;=23,L380&gt;=10,M380&gt;=23),AND(J380+L380&gt;=20,K380+M380&gt;=46)))</f>
        <v/>
      </c>
      <c r="Z380">
        <f>OR(N380&lt;10,O380&lt;23)</f>
        <v/>
      </c>
      <c r="AA380">
        <f>OR(P380&lt;10,Q380&lt;23)</f>
        <v/>
      </c>
      <c r="AB380">
        <f>OR((C380+D380)&lt;66,(E380+F380)&lt;66,G380&lt;33,(H380+I380)&lt;66,Y380,Z380,AA380,R380&lt;8.25)</f>
        <v/>
      </c>
      <c r="AC380">
        <f>IF(C380+D380&lt;66,0,IF((C380+D380)/2&gt;=80,5,IF((C380+D380)/2&gt;=70,4,IF((C380+D380)/2&gt;=60,3.5,IF((C380+D380)/2&gt;=50,3,IF((C380+D380)/2&gt;=40,2,IF((C380+D380)/2&gt;=33,1,0)))))))</f>
        <v/>
      </c>
      <c r="AD380">
        <f>IF(E380+F380&lt;66,0,IF((E380+F380)/2&gt;=80,5,IF((E380+F380)/2&gt;=70,4,IF((E380+F380)/2&gt;=60,3.5,IF((E380+F380)/2&gt;=50,3,IF((E380+F380)/2&gt;=40,2,IF((E380+F380)/2&gt;=33,1,0)))))))</f>
        <v/>
      </c>
      <c r="AE380">
        <f>IF(G380&lt;33,0,IF(G380&gt;=80,5,IF(G380&gt;=70,4,IF(G380&gt;=60,3.5,IF(G380&gt;=50,3,IF(G380&gt;=40,2,IF(G380&gt;=33,1,0)))))))</f>
        <v/>
      </c>
      <c r="AF380">
        <f>IF(H380+I380&lt;66,0,IF((H380+I380)/2&gt;=80,5,IF((H380+I380)/2&gt;=70,4,IF((H380+I380)/2&gt;=60,3.5,IF((H380+I380)/2&gt;=50,3,IF((H380+I380)/2&gt;=40,2,IF((H380+I380)/2&gt;=33,1,0)))))))</f>
        <v/>
      </c>
      <c r="AG380">
        <f>IF(Y380,0,IF((J380+K380+L380+M380)/2&gt;=80,5,IF((J380+K380+L380+M380)/2&gt;=70,4,IF((J380+K380+L380+M380)/2&gt;=60,3.5,IF((J380+K380+L380+M380)/2&gt;=50,3,IF((J380+K380+L380+M380)/2&gt;=40,2,IF((J380+K380+L380+M380)/2&gt;=33,1,0)))))))</f>
        <v/>
      </c>
      <c r="AH380">
        <f>IF(Z380,0,IF(N380+O380&gt;=80,5,IF(N380+O380&gt;=70,4,IF(N380+O380&gt;=60,3.5,IF(N380+O380&gt;=50,3,IF(N380+O380&gt;=40,2,IF(N380+O380&gt;=33,1,0)))))))</f>
        <v/>
      </c>
      <c r="AI380">
        <f>IF(AA380,0,IF(P380+Q380&gt;=80,5,IF(P380+Q380&gt;=70,4,IF(P380+Q380&gt;=60,3.5,IF(P380+Q380&gt;=50,3,IF(P380+Q380&gt;=40,2,IF(P380+Q380&gt;=33,1,0)))))))</f>
        <v/>
      </c>
      <c r="AJ380">
        <f>IF(R380&lt;8.25,0,IF(R380*2&gt;=80,5,IF(R380*2&gt;=70,4,IF(R380*2&gt;=60,3.5,IF(R380*2&gt;=50,3,IF(R380*2&gt;=40,2,IF(R380*2&gt;=33,1,0)))))))</f>
        <v/>
      </c>
      <c r="AK380">
        <f>IF(S380&lt;33,0,IF(S380&gt;=80,5,IF(S380&gt;=70,4,IF(S380&gt;=60,3.5,IF(S380&gt;=50,3,IF(S380&gt;=40,2,IF(S380&gt;=33,1,0)))))))</f>
        <v/>
      </c>
      <c r="AL380">
        <f>(AC380+AD380+AE380+AF380+AG380+AH380+AI380+AJ380)/8</f>
        <v/>
      </c>
      <c r="AM380">
        <f>IF(AK380&gt;=2,(AK380-2)/8,0)</f>
        <v/>
      </c>
    </row>
    <row r="381">
      <c r="T381">
        <f>SUM(C381:R381)</f>
        <v/>
      </c>
      <c r="U381" s="6">
        <f>ROUND(T381/11.5,2)</f>
        <v/>
      </c>
      <c r="V381" s="7">
        <f>IF(B381="","",IF(AB381,0,ROUND(AL381,2)))</f>
        <v/>
      </c>
      <c r="W381" s="7">
        <f>IF(B381="","",IF(AB381,0,MIN(5,ROUND(AL381+AM381,2))))</f>
        <v/>
      </c>
      <c r="X381" s="8">
        <f>IF(B381="","",IF(W381&gt;=5,"A+",IF(W381&gt;=4,"A",IF(W381&gt;=3.5,"A-",IF(W381&gt;=3,"B",IF(W381&gt;=2,"C",IF(W381&gt;=1,"D","F")))))))</f>
        <v/>
      </c>
      <c r="Y381">
        <f>NOT(OR(AND(J381&gt;=10,K381&gt;=23,L381&gt;=10,M381&gt;=23),AND(J381+L381&gt;=20,K381+M381&gt;=46)))</f>
        <v/>
      </c>
      <c r="Z381">
        <f>OR(N381&lt;10,O381&lt;23)</f>
        <v/>
      </c>
      <c r="AA381">
        <f>OR(P381&lt;10,Q381&lt;23)</f>
        <v/>
      </c>
      <c r="AB381">
        <f>OR((C381+D381)&lt;66,(E381+F381)&lt;66,G381&lt;33,(H381+I381)&lt;66,Y381,Z381,AA381,R381&lt;8.25)</f>
        <v/>
      </c>
      <c r="AC381">
        <f>IF(C381+D381&lt;66,0,IF((C381+D381)/2&gt;=80,5,IF((C381+D381)/2&gt;=70,4,IF((C381+D381)/2&gt;=60,3.5,IF((C381+D381)/2&gt;=50,3,IF((C381+D381)/2&gt;=40,2,IF((C381+D381)/2&gt;=33,1,0)))))))</f>
        <v/>
      </c>
      <c r="AD381">
        <f>IF(E381+F381&lt;66,0,IF((E381+F381)/2&gt;=80,5,IF((E381+F381)/2&gt;=70,4,IF((E381+F381)/2&gt;=60,3.5,IF((E381+F381)/2&gt;=50,3,IF((E381+F381)/2&gt;=40,2,IF((E381+F381)/2&gt;=33,1,0)))))))</f>
        <v/>
      </c>
      <c r="AE381">
        <f>IF(G381&lt;33,0,IF(G381&gt;=80,5,IF(G381&gt;=70,4,IF(G381&gt;=60,3.5,IF(G381&gt;=50,3,IF(G381&gt;=40,2,IF(G381&gt;=33,1,0)))))))</f>
        <v/>
      </c>
      <c r="AF381">
        <f>IF(H381+I381&lt;66,0,IF((H381+I381)/2&gt;=80,5,IF((H381+I381)/2&gt;=70,4,IF((H381+I381)/2&gt;=60,3.5,IF((H381+I381)/2&gt;=50,3,IF((H381+I381)/2&gt;=40,2,IF((H381+I381)/2&gt;=33,1,0)))))))</f>
        <v/>
      </c>
      <c r="AG381">
        <f>IF(Y381,0,IF((J381+K381+L381+M381)/2&gt;=80,5,IF((J381+K381+L381+M381)/2&gt;=70,4,IF((J381+K381+L381+M381)/2&gt;=60,3.5,IF((J381+K381+L381+M381)/2&gt;=50,3,IF((J381+K381+L381+M381)/2&gt;=40,2,IF((J381+K381+L381+M381)/2&gt;=33,1,0)))))))</f>
        <v/>
      </c>
      <c r="AH381">
        <f>IF(Z381,0,IF(N381+O381&gt;=80,5,IF(N381+O381&gt;=70,4,IF(N381+O381&gt;=60,3.5,IF(N381+O381&gt;=50,3,IF(N381+O381&gt;=40,2,IF(N381+O381&gt;=33,1,0)))))))</f>
        <v/>
      </c>
      <c r="AI381">
        <f>IF(AA381,0,IF(P381+Q381&gt;=80,5,IF(P381+Q381&gt;=70,4,IF(P381+Q381&gt;=60,3.5,IF(P381+Q381&gt;=50,3,IF(P381+Q381&gt;=40,2,IF(P381+Q381&gt;=33,1,0)))))))</f>
        <v/>
      </c>
      <c r="AJ381">
        <f>IF(R381&lt;8.25,0,IF(R381*2&gt;=80,5,IF(R381*2&gt;=70,4,IF(R381*2&gt;=60,3.5,IF(R381*2&gt;=50,3,IF(R381*2&gt;=40,2,IF(R381*2&gt;=33,1,0)))))))</f>
        <v/>
      </c>
      <c r="AK381">
        <f>IF(S381&lt;33,0,IF(S381&gt;=80,5,IF(S381&gt;=70,4,IF(S381&gt;=60,3.5,IF(S381&gt;=50,3,IF(S381&gt;=40,2,IF(S381&gt;=33,1,0)))))))</f>
        <v/>
      </c>
      <c r="AL381">
        <f>(AC381+AD381+AE381+AF381+AG381+AH381+AI381+AJ381)/8</f>
        <v/>
      </c>
      <c r="AM381">
        <f>IF(AK381&gt;=2,(AK381-2)/8,0)</f>
        <v/>
      </c>
    </row>
    <row r="382">
      <c r="T382">
        <f>SUM(C382:R382)</f>
        <v/>
      </c>
      <c r="U382" s="6">
        <f>ROUND(T382/11.5,2)</f>
        <v/>
      </c>
      <c r="V382" s="7">
        <f>IF(B382="","",IF(AB382,0,ROUND(AL382,2)))</f>
        <v/>
      </c>
      <c r="W382" s="7">
        <f>IF(B382="","",IF(AB382,0,MIN(5,ROUND(AL382+AM382,2))))</f>
        <v/>
      </c>
      <c r="X382" s="8">
        <f>IF(B382="","",IF(W382&gt;=5,"A+",IF(W382&gt;=4,"A",IF(W382&gt;=3.5,"A-",IF(W382&gt;=3,"B",IF(W382&gt;=2,"C",IF(W382&gt;=1,"D","F")))))))</f>
        <v/>
      </c>
      <c r="Y382">
        <f>NOT(OR(AND(J382&gt;=10,K382&gt;=23,L382&gt;=10,M382&gt;=23),AND(J382+L382&gt;=20,K382+M382&gt;=46)))</f>
        <v/>
      </c>
      <c r="Z382">
        <f>OR(N382&lt;10,O382&lt;23)</f>
        <v/>
      </c>
      <c r="AA382">
        <f>OR(P382&lt;10,Q382&lt;23)</f>
        <v/>
      </c>
      <c r="AB382">
        <f>OR((C382+D382)&lt;66,(E382+F382)&lt;66,G382&lt;33,(H382+I382)&lt;66,Y382,Z382,AA382,R382&lt;8.25)</f>
        <v/>
      </c>
      <c r="AC382">
        <f>IF(C382+D382&lt;66,0,IF((C382+D382)/2&gt;=80,5,IF((C382+D382)/2&gt;=70,4,IF((C382+D382)/2&gt;=60,3.5,IF((C382+D382)/2&gt;=50,3,IF((C382+D382)/2&gt;=40,2,IF((C382+D382)/2&gt;=33,1,0)))))))</f>
        <v/>
      </c>
      <c r="AD382">
        <f>IF(E382+F382&lt;66,0,IF((E382+F382)/2&gt;=80,5,IF((E382+F382)/2&gt;=70,4,IF((E382+F382)/2&gt;=60,3.5,IF((E382+F382)/2&gt;=50,3,IF((E382+F382)/2&gt;=40,2,IF((E382+F382)/2&gt;=33,1,0)))))))</f>
        <v/>
      </c>
      <c r="AE382">
        <f>IF(G382&lt;33,0,IF(G382&gt;=80,5,IF(G382&gt;=70,4,IF(G382&gt;=60,3.5,IF(G382&gt;=50,3,IF(G382&gt;=40,2,IF(G382&gt;=33,1,0)))))))</f>
        <v/>
      </c>
      <c r="AF382">
        <f>IF(H382+I382&lt;66,0,IF((H382+I382)/2&gt;=80,5,IF((H382+I382)/2&gt;=70,4,IF((H382+I382)/2&gt;=60,3.5,IF((H382+I382)/2&gt;=50,3,IF((H382+I382)/2&gt;=40,2,IF((H382+I382)/2&gt;=33,1,0)))))))</f>
        <v/>
      </c>
      <c r="AG382">
        <f>IF(Y382,0,IF((J382+K382+L382+M382)/2&gt;=80,5,IF((J382+K382+L382+M382)/2&gt;=70,4,IF((J382+K382+L382+M382)/2&gt;=60,3.5,IF((J382+K382+L382+M382)/2&gt;=50,3,IF((J382+K382+L382+M382)/2&gt;=40,2,IF((J382+K382+L382+M382)/2&gt;=33,1,0)))))))</f>
        <v/>
      </c>
      <c r="AH382">
        <f>IF(Z382,0,IF(N382+O382&gt;=80,5,IF(N382+O382&gt;=70,4,IF(N382+O382&gt;=60,3.5,IF(N382+O382&gt;=50,3,IF(N382+O382&gt;=40,2,IF(N382+O382&gt;=33,1,0)))))))</f>
        <v/>
      </c>
      <c r="AI382">
        <f>IF(AA382,0,IF(P382+Q382&gt;=80,5,IF(P382+Q382&gt;=70,4,IF(P382+Q382&gt;=60,3.5,IF(P382+Q382&gt;=50,3,IF(P382+Q382&gt;=40,2,IF(P382+Q382&gt;=33,1,0)))))))</f>
        <v/>
      </c>
      <c r="AJ382">
        <f>IF(R382&lt;8.25,0,IF(R382*2&gt;=80,5,IF(R382*2&gt;=70,4,IF(R382*2&gt;=60,3.5,IF(R382*2&gt;=50,3,IF(R382*2&gt;=40,2,IF(R382*2&gt;=33,1,0)))))))</f>
        <v/>
      </c>
      <c r="AK382">
        <f>IF(S382&lt;33,0,IF(S382&gt;=80,5,IF(S382&gt;=70,4,IF(S382&gt;=60,3.5,IF(S382&gt;=50,3,IF(S382&gt;=40,2,IF(S382&gt;=33,1,0)))))))</f>
        <v/>
      </c>
      <c r="AL382">
        <f>(AC382+AD382+AE382+AF382+AG382+AH382+AI382+AJ382)/8</f>
        <v/>
      </c>
      <c r="AM382">
        <f>IF(AK382&gt;=2,(AK382-2)/8,0)</f>
        <v/>
      </c>
    </row>
    <row r="383">
      <c r="T383">
        <f>SUM(C383:R383)</f>
        <v/>
      </c>
      <c r="U383" s="6">
        <f>ROUND(T383/11.5,2)</f>
        <v/>
      </c>
      <c r="V383" s="7">
        <f>IF(B383="","",IF(AB383,0,ROUND(AL383,2)))</f>
        <v/>
      </c>
      <c r="W383" s="7">
        <f>IF(B383="","",IF(AB383,0,MIN(5,ROUND(AL383+AM383,2))))</f>
        <v/>
      </c>
      <c r="X383" s="8">
        <f>IF(B383="","",IF(W383&gt;=5,"A+",IF(W383&gt;=4,"A",IF(W383&gt;=3.5,"A-",IF(W383&gt;=3,"B",IF(W383&gt;=2,"C",IF(W383&gt;=1,"D","F")))))))</f>
        <v/>
      </c>
      <c r="Y383">
        <f>NOT(OR(AND(J383&gt;=10,K383&gt;=23,L383&gt;=10,M383&gt;=23),AND(J383+L383&gt;=20,K383+M383&gt;=46)))</f>
        <v/>
      </c>
      <c r="Z383">
        <f>OR(N383&lt;10,O383&lt;23)</f>
        <v/>
      </c>
      <c r="AA383">
        <f>OR(P383&lt;10,Q383&lt;23)</f>
        <v/>
      </c>
      <c r="AB383">
        <f>OR((C383+D383)&lt;66,(E383+F383)&lt;66,G383&lt;33,(H383+I383)&lt;66,Y383,Z383,AA383,R383&lt;8.25)</f>
        <v/>
      </c>
      <c r="AC383">
        <f>IF(C383+D383&lt;66,0,IF((C383+D383)/2&gt;=80,5,IF((C383+D383)/2&gt;=70,4,IF((C383+D383)/2&gt;=60,3.5,IF((C383+D383)/2&gt;=50,3,IF((C383+D383)/2&gt;=40,2,IF((C383+D383)/2&gt;=33,1,0)))))))</f>
        <v/>
      </c>
      <c r="AD383">
        <f>IF(E383+F383&lt;66,0,IF((E383+F383)/2&gt;=80,5,IF((E383+F383)/2&gt;=70,4,IF((E383+F383)/2&gt;=60,3.5,IF((E383+F383)/2&gt;=50,3,IF((E383+F383)/2&gt;=40,2,IF((E383+F383)/2&gt;=33,1,0)))))))</f>
        <v/>
      </c>
      <c r="AE383">
        <f>IF(G383&lt;33,0,IF(G383&gt;=80,5,IF(G383&gt;=70,4,IF(G383&gt;=60,3.5,IF(G383&gt;=50,3,IF(G383&gt;=40,2,IF(G383&gt;=33,1,0)))))))</f>
        <v/>
      </c>
      <c r="AF383">
        <f>IF(H383+I383&lt;66,0,IF((H383+I383)/2&gt;=80,5,IF((H383+I383)/2&gt;=70,4,IF((H383+I383)/2&gt;=60,3.5,IF((H383+I383)/2&gt;=50,3,IF((H383+I383)/2&gt;=40,2,IF((H383+I383)/2&gt;=33,1,0)))))))</f>
        <v/>
      </c>
      <c r="AG383">
        <f>IF(Y383,0,IF((J383+K383+L383+M383)/2&gt;=80,5,IF((J383+K383+L383+M383)/2&gt;=70,4,IF((J383+K383+L383+M383)/2&gt;=60,3.5,IF((J383+K383+L383+M383)/2&gt;=50,3,IF((J383+K383+L383+M383)/2&gt;=40,2,IF((J383+K383+L383+M383)/2&gt;=33,1,0)))))))</f>
        <v/>
      </c>
      <c r="AH383">
        <f>IF(Z383,0,IF(N383+O383&gt;=80,5,IF(N383+O383&gt;=70,4,IF(N383+O383&gt;=60,3.5,IF(N383+O383&gt;=50,3,IF(N383+O383&gt;=40,2,IF(N383+O383&gt;=33,1,0)))))))</f>
        <v/>
      </c>
      <c r="AI383">
        <f>IF(AA383,0,IF(P383+Q383&gt;=80,5,IF(P383+Q383&gt;=70,4,IF(P383+Q383&gt;=60,3.5,IF(P383+Q383&gt;=50,3,IF(P383+Q383&gt;=40,2,IF(P383+Q383&gt;=33,1,0)))))))</f>
        <v/>
      </c>
      <c r="AJ383">
        <f>IF(R383&lt;8.25,0,IF(R383*2&gt;=80,5,IF(R383*2&gt;=70,4,IF(R383*2&gt;=60,3.5,IF(R383*2&gt;=50,3,IF(R383*2&gt;=40,2,IF(R383*2&gt;=33,1,0)))))))</f>
        <v/>
      </c>
      <c r="AK383">
        <f>IF(S383&lt;33,0,IF(S383&gt;=80,5,IF(S383&gt;=70,4,IF(S383&gt;=60,3.5,IF(S383&gt;=50,3,IF(S383&gt;=40,2,IF(S383&gt;=33,1,0)))))))</f>
        <v/>
      </c>
      <c r="AL383">
        <f>(AC383+AD383+AE383+AF383+AG383+AH383+AI383+AJ383)/8</f>
        <v/>
      </c>
      <c r="AM383">
        <f>IF(AK383&gt;=2,(AK383-2)/8,0)</f>
        <v/>
      </c>
    </row>
    <row r="384">
      <c r="T384">
        <f>SUM(C384:R384)</f>
        <v/>
      </c>
      <c r="U384" s="6">
        <f>ROUND(T384/11.5,2)</f>
        <v/>
      </c>
      <c r="V384" s="7">
        <f>IF(B384="","",IF(AB384,0,ROUND(AL384,2)))</f>
        <v/>
      </c>
      <c r="W384" s="7">
        <f>IF(B384="","",IF(AB384,0,MIN(5,ROUND(AL384+AM384,2))))</f>
        <v/>
      </c>
      <c r="X384" s="8">
        <f>IF(B384="","",IF(W384&gt;=5,"A+",IF(W384&gt;=4,"A",IF(W384&gt;=3.5,"A-",IF(W384&gt;=3,"B",IF(W384&gt;=2,"C",IF(W384&gt;=1,"D","F")))))))</f>
        <v/>
      </c>
      <c r="Y384">
        <f>NOT(OR(AND(J384&gt;=10,K384&gt;=23,L384&gt;=10,M384&gt;=23),AND(J384+L384&gt;=20,K384+M384&gt;=46)))</f>
        <v/>
      </c>
      <c r="Z384">
        <f>OR(N384&lt;10,O384&lt;23)</f>
        <v/>
      </c>
      <c r="AA384">
        <f>OR(P384&lt;10,Q384&lt;23)</f>
        <v/>
      </c>
      <c r="AB384">
        <f>OR((C384+D384)&lt;66,(E384+F384)&lt;66,G384&lt;33,(H384+I384)&lt;66,Y384,Z384,AA384,R384&lt;8.25)</f>
        <v/>
      </c>
      <c r="AC384">
        <f>IF(C384+D384&lt;66,0,IF((C384+D384)/2&gt;=80,5,IF((C384+D384)/2&gt;=70,4,IF((C384+D384)/2&gt;=60,3.5,IF((C384+D384)/2&gt;=50,3,IF((C384+D384)/2&gt;=40,2,IF((C384+D384)/2&gt;=33,1,0)))))))</f>
        <v/>
      </c>
      <c r="AD384">
        <f>IF(E384+F384&lt;66,0,IF((E384+F384)/2&gt;=80,5,IF((E384+F384)/2&gt;=70,4,IF((E384+F384)/2&gt;=60,3.5,IF((E384+F384)/2&gt;=50,3,IF((E384+F384)/2&gt;=40,2,IF((E384+F384)/2&gt;=33,1,0)))))))</f>
        <v/>
      </c>
      <c r="AE384">
        <f>IF(G384&lt;33,0,IF(G384&gt;=80,5,IF(G384&gt;=70,4,IF(G384&gt;=60,3.5,IF(G384&gt;=50,3,IF(G384&gt;=40,2,IF(G384&gt;=33,1,0)))))))</f>
        <v/>
      </c>
      <c r="AF384">
        <f>IF(H384+I384&lt;66,0,IF((H384+I384)/2&gt;=80,5,IF((H384+I384)/2&gt;=70,4,IF((H384+I384)/2&gt;=60,3.5,IF((H384+I384)/2&gt;=50,3,IF((H384+I384)/2&gt;=40,2,IF((H384+I384)/2&gt;=33,1,0)))))))</f>
        <v/>
      </c>
      <c r="AG384">
        <f>IF(Y384,0,IF((J384+K384+L384+M384)/2&gt;=80,5,IF((J384+K384+L384+M384)/2&gt;=70,4,IF((J384+K384+L384+M384)/2&gt;=60,3.5,IF((J384+K384+L384+M384)/2&gt;=50,3,IF((J384+K384+L384+M384)/2&gt;=40,2,IF((J384+K384+L384+M384)/2&gt;=33,1,0)))))))</f>
        <v/>
      </c>
      <c r="AH384">
        <f>IF(Z384,0,IF(N384+O384&gt;=80,5,IF(N384+O384&gt;=70,4,IF(N384+O384&gt;=60,3.5,IF(N384+O384&gt;=50,3,IF(N384+O384&gt;=40,2,IF(N384+O384&gt;=33,1,0)))))))</f>
        <v/>
      </c>
      <c r="AI384">
        <f>IF(AA384,0,IF(P384+Q384&gt;=80,5,IF(P384+Q384&gt;=70,4,IF(P384+Q384&gt;=60,3.5,IF(P384+Q384&gt;=50,3,IF(P384+Q384&gt;=40,2,IF(P384+Q384&gt;=33,1,0)))))))</f>
        <v/>
      </c>
      <c r="AJ384">
        <f>IF(R384&lt;8.25,0,IF(R384*2&gt;=80,5,IF(R384*2&gt;=70,4,IF(R384*2&gt;=60,3.5,IF(R384*2&gt;=50,3,IF(R384*2&gt;=40,2,IF(R384*2&gt;=33,1,0)))))))</f>
        <v/>
      </c>
      <c r="AK384">
        <f>IF(S384&lt;33,0,IF(S384&gt;=80,5,IF(S384&gt;=70,4,IF(S384&gt;=60,3.5,IF(S384&gt;=50,3,IF(S384&gt;=40,2,IF(S384&gt;=33,1,0)))))))</f>
        <v/>
      </c>
      <c r="AL384">
        <f>(AC384+AD384+AE384+AF384+AG384+AH384+AI384+AJ384)/8</f>
        <v/>
      </c>
      <c r="AM384">
        <f>IF(AK384&gt;=2,(AK384-2)/8,0)</f>
        <v/>
      </c>
    </row>
    <row r="385">
      <c r="T385">
        <f>SUM(C385:R385)</f>
        <v/>
      </c>
      <c r="U385" s="6">
        <f>ROUND(T385/11.5,2)</f>
        <v/>
      </c>
      <c r="V385" s="7">
        <f>IF(B385="","",IF(AB385,0,ROUND(AL385,2)))</f>
        <v/>
      </c>
      <c r="W385" s="7">
        <f>IF(B385="","",IF(AB385,0,MIN(5,ROUND(AL385+AM385,2))))</f>
        <v/>
      </c>
      <c r="X385" s="8">
        <f>IF(B385="","",IF(W385&gt;=5,"A+",IF(W385&gt;=4,"A",IF(W385&gt;=3.5,"A-",IF(W385&gt;=3,"B",IF(W385&gt;=2,"C",IF(W385&gt;=1,"D","F")))))))</f>
        <v/>
      </c>
      <c r="Y385">
        <f>NOT(OR(AND(J385&gt;=10,K385&gt;=23,L385&gt;=10,M385&gt;=23),AND(J385+L385&gt;=20,K385+M385&gt;=46)))</f>
        <v/>
      </c>
      <c r="Z385">
        <f>OR(N385&lt;10,O385&lt;23)</f>
        <v/>
      </c>
      <c r="AA385">
        <f>OR(P385&lt;10,Q385&lt;23)</f>
        <v/>
      </c>
      <c r="AB385">
        <f>OR((C385+D385)&lt;66,(E385+F385)&lt;66,G385&lt;33,(H385+I385)&lt;66,Y385,Z385,AA385,R385&lt;8.25)</f>
        <v/>
      </c>
      <c r="AC385">
        <f>IF(C385+D385&lt;66,0,IF((C385+D385)/2&gt;=80,5,IF((C385+D385)/2&gt;=70,4,IF((C385+D385)/2&gt;=60,3.5,IF((C385+D385)/2&gt;=50,3,IF((C385+D385)/2&gt;=40,2,IF((C385+D385)/2&gt;=33,1,0)))))))</f>
        <v/>
      </c>
      <c r="AD385">
        <f>IF(E385+F385&lt;66,0,IF((E385+F385)/2&gt;=80,5,IF((E385+F385)/2&gt;=70,4,IF((E385+F385)/2&gt;=60,3.5,IF((E385+F385)/2&gt;=50,3,IF((E385+F385)/2&gt;=40,2,IF((E385+F385)/2&gt;=33,1,0)))))))</f>
        <v/>
      </c>
      <c r="AE385">
        <f>IF(G385&lt;33,0,IF(G385&gt;=80,5,IF(G385&gt;=70,4,IF(G385&gt;=60,3.5,IF(G385&gt;=50,3,IF(G385&gt;=40,2,IF(G385&gt;=33,1,0)))))))</f>
        <v/>
      </c>
      <c r="AF385">
        <f>IF(H385+I385&lt;66,0,IF((H385+I385)/2&gt;=80,5,IF((H385+I385)/2&gt;=70,4,IF((H385+I385)/2&gt;=60,3.5,IF((H385+I385)/2&gt;=50,3,IF((H385+I385)/2&gt;=40,2,IF((H385+I385)/2&gt;=33,1,0)))))))</f>
        <v/>
      </c>
      <c r="AG385">
        <f>IF(Y385,0,IF((J385+K385+L385+M385)/2&gt;=80,5,IF((J385+K385+L385+M385)/2&gt;=70,4,IF((J385+K385+L385+M385)/2&gt;=60,3.5,IF((J385+K385+L385+M385)/2&gt;=50,3,IF((J385+K385+L385+M385)/2&gt;=40,2,IF((J385+K385+L385+M385)/2&gt;=33,1,0)))))))</f>
        <v/>
      </c>
      <c r="AH385">
        <f>IF(Z385,0,IF(N385+O385&gt;=80,5,IF(N385+O385&gt;=70,4,IF(N385+O385&gt;=60,3.5,IF(N385+O385&gt;=50,3,IF(N385+O385&gt;=40,2,IF(N385+O385&gt;=33,1,0)))))))</f>
        <v/>
      </c>
      <c r="AI385">
        <f>IF(AA385,0,IF(P385+Q385&gt;=80,5,IF(P385+Q385&gt;=70,4,IF(P385+Q385&gt;=60,3.5,IF(P385+Q385&gt;=50,3,IF(P385+Q385&gt;=40,2,IF(P385+Q385&gt;=33,1,0)))))))</f>
        <v/>
      </c>
      <c r="AJ385">
        <f>IF(R385&lt;8.25,0,IF(R385*2&gt;=80,5,IF(R385*2&gt;=70,4,IF(R385*2&gt;=60,3.5,IF(R385*2&gt;=50,3,IF(R385*2&gt;=40,2,IF(R385*2&gt;=33,1,0)))))))</f>
        <v/>
      </c>
      <c r="AK385">
        <f>IF(S385&lt;33,0,IF(S385&gt;=80,5,IF(S385&gt;=70,4,IF(S385&gt;=60,3.5,IF(S385&gt;=50,3,IF(S385&gt;=40,2,IF(S385&gt;=33,1,0)))))))</f>
        <v/>
      </c>
      <c r="AL385">
        <f>(AC385+AD385+AE385+AF385+AG385+AH385+AI385+AJ385)/8</f>
        <v/>
      </c>
      <c r="AM385">
        <f>IF(AK385&gt;=2,(AK385-2)/8,0)</f>
        <v/>
      </c>
    </row>
    <row r="386">
      <c r="T386">
        <f>SUM(C386:R386)</f>
        <v/>
      </c>
      <c r="U386" s="6">
        <f>ROUND(T386/11.5,2)</f>
        <v/>
      </c>
      <c r="V386" s="7">
        <f>IF(B386="","",IF(AB386,0,ROUND(AL386,2)))</f>
        <v/>
      </c>
      <c r="W386" s="7">
        <f>IF(B386="","",IF(AB386,0,MIN(5,ROUND(AL386+AM386,2))))</f>
        <v/>
      </c>
      <c r="X386" s="8">
        <f>IF(B386="","",IF(W386&gt;=5,"A+",IF(W386&gt;=4,"A",IF(W386&gt;=3.5,"A-",IF(W386&gt;=3,"B",IF(W386&gt;=2,"C",IF(W386&gt;=1,"D","F")))))))</f>
        <v/>
      </c>
      <c r="Y386">
        <f>NOT(OR(AND(J386&gt;=10,K386&gt;=23,L386&gt;=10,M386&gt;=23),AND(J386+L386&gt;=20,K386+M386&gt;=46)))</f>
        <v/>
      </c>
      <c r="Z386">
        <f>OR(N386&lt;10,O386&lt;23)</f>
        <v/>
      </c>
      <c r="AA386">
        <f>OR(P386&lt;10,Q386&lt;23)</f>
        <v/>
      </c>
      <c r="AB386">
        <f>OR((C386+D386)&lt;66,(E386+F386)&lt;66,G386&lt;33,(H386+I386)&lt;66,Y386,Z386,AA386,R386&lt;8.25)</f>
        <v/>
      </c>
      <c r="AC386">
        <f>IF(C386+D386&lt;66,0,IF((C386+D386)/2&gt;=80,5,IF((C386+D386)/2&gt;=70,4,IF((C386+D386)/2&gt;=60,3.5,IF((C386+D386)/2&gt;=50,3,IF((C386+D386)/2&gt;=40,2,IF((C386+D386)/2&gt;=33,1,0)))))))</f>
        <v/>
      </c>
      <c r="AD386">
        <f>IF(E386+F386&lt;66,0,IF((E386+F386)/2&gt;=80,5,IF((E386+F386)/2&gt;=70,4,IF((E386+F386)/2&gt;=60,3.5,IF((E386+F386)/2&gt;=50,3,IF((E386+F386)/2&gt;=40,2,IF((E386+F386)/2&gt;=33,1,0)))))))</f>
        <v/>
      </c>
      <c r="AE386">
        <f>IF(G386&lt;33,0,IF(G386&gt;=80,5,IF(G386&gt;=70,4,IF(G386&gt;=60,3.5,IF(G386&gt;=50,3,IF(G386&gt;=40,2,IF(G386&gt;=33,1,0)))))))</f>
        <v/>
      </c>
      <c r="AF386">
        <f>IF(H386+I386&lt;66,0,IF((H386+I386)/2&gt;=80,5,IF((H386+I386)/2&gt;=70,4,IF((H386+I386)/2&gt;=60,3.5,IF((H386+I386)/2&gt;=50,3,IF((H386+I386)/2&gt;=40,2,IF((H386+I386)/2&gt;=33,1,0)))))))</f>
        <v/>
      </c>
      <c r="AG386">
        <f>IF(Y386,0,IF((J386+K386+L386+M386)/2&gt;=80,5,IF((J386+K386+L386+M386)/2&gt;=70,4,IF((J386+K386+L386+M386)/2&gt;=60,3.5,IF((J386+K386+L386+M386)/2&gt;=50,3,IF((J386+K386+L386+M386)/2&gt;=40,2,IF((J386+K386+L386+M386)/2&gt;=33,1,0)))))))</f>
        <v/>
      </c>
      <c r="AH386">
        <f>IF(Z386,0,IF(N386+O386&gt;=80,5,IF(N386+O386&gt;=70,4,IF(N386+O386&gt;=60,3.5,IF(N386+O386&gt;=50,3,IF(N386+O386&gt;=40,2,IF(N386+O386&gt;=33,1,0)))))))</f>
        <v/>
      </c>
      <c r="AI386">
        <f>IF(AA386,0,IF(P386+Q386&gt;=80,5,IF(P386+Q386&gt;=70,4,IF(P386+Q386&gt;=60,3.5,IF(P386+Q386&gt;=50,3,IF(P386+Q386&gt;=40,2,IF(P386+Q386&gt;=33,1,0)))))))</f>
        <v/>
      </c>
      <c r="AJ386">
        <f>IF(R386&lt;8.25,0,IF(R386*2&gt;=80,5,IF(R386*2&gt;=70,4,IF(R386*2&gt;=60,3.5,IF(R386*2&gt;=50,3,IF(R386*2&gt;=40,2,IF(R386*2&gt;=33,1,0)))))))</f>
        <v/>
      </c>
      <c r="AK386">
        <f>IF(S386&lt;33,0,IF(S386&gt;=80,5,IF(S386&gt;=70,4,IF(S386&gt;=60,3.5,IF(S386&gt;=50,3,IF(S386&gt;=40,2,IF(S386&gt;=33,1,0)))))))</f>
        <v/>
      </c>
      <c r="AL386">
        <f>(AC386+AD386+AE386+AF386+AG386+AH386+AI386+AJ386)/8</f>
        <v/>
      </c>
      <c r="AM386">
        <f>IF(AK386&gt;=2,(AK386-2)/8,0)</f>
        <v/>
      </c>
    </row>
    <row r="387">
      <c r="T387">
        <f>SUM(C387:R387)</f>
        <v/>
      </c>
      <c r="U387" s="6">
        <f>ROUND(T387/11.5,2)</f>
        <v/>
      </c>
      <c r="V387" s="7">
        <f>IF(B387="","",IF(AB387,0,ROUND(AL387,2)))</f>
        <v/>
      </c>
      <c r="W387" s="7">
        <f>IF(B387="","",IF(AB387,0,MIN(5,ROUND(AL387+AM387,2))))</f>
        <v/>
      </c>
      <c r="X387" s="8">
        <f>IF(B387="","",IF(W387&gt;=5,"A+",IF(W387&gt;=4,"A",IF(W387&gt;=3.5,"A-",IF(W387&gt;=3,"B",IF(W387&gt;=2,"C",IF(W387&gt;=1,"D","F")))))))</f>
        <v/>
      </c>
      <c r="Y387">
        <f>NOT(OR(AND(J387&gt;=10,K387&gt;=23,L387&gt;=10,M387&gt;=23),AND(J387+L387&gt;=20,K387+M387&gt;=46)))</f>
        <v/>
      </c>
      <c r="Z387">
        <f>OR(N387&lt;10,O387&lt;23)</f>
        <v/>
      </c>
      <c r="AA387">
        <f>OR(P387&lt;10,Q387&lt;23)</f>
        <v/>
      </c>
      <c r="AB387">
        <f>OR((C387+D387)&lt;66,(E387+F387)&lt;66,G387&lt;33,(H387+I387)&lt;66,Y387,Z387,AA387,R387&lt;8.25)</f>
        <v/>
      </c>
      <c r="AC387">
        <f>IF(C387+D387&lt;66,0,IF((C387+D387)/2&gt;=80,5,IF((C387+D387)/2&gt;=70,4,IF((C387+D387)/2&gt;=60,3.5,IF((C387+D387)/2&gt;=50,3,IF((C387+D387)/2&gt;=40,2,IF((C387+D387)/2&gt;=33,1,0)))))))</f>
        <v/>
      </c>
      <c r="AD387">
        <f>IF(E387+F387&lt;66,0,IF((E387+F387)/2&gt;=80,5,IF((E387+F387)/2&gt;=70,4,IF((E387+F387)/2&gt;=60,3.5,IF((E387+F387)/2&gt;=50,3,IF((E387+F387)/2&gt;=40,2,IF((E387+F387)/2&gt;=33,1,0)))))))</f>
        <v/>
      </c>
      <c r="AE387">
        <f>IF(G387&lt;33,0,IF(G387&gt;=80,5,IF(G387&gt;=70,4,IF(G387&gt;=60,3.5,IF(G387&gt;=50,3,IF(G387&gt;=40,2,IF(G387&gt;=33,1,0)))))))</f>
        <v/>
      </c>
      <c r="AF387">
        <f>IF(H387+I387&lt;66,0,IF((H387+I387)/2&gt;=80,5,IF((H387+I387)/2&gt;=70,4,IF((H387+I387)/2&gt;=60,3.5,IF((H387+I387)/2&gt;=50,3,IF((H387+I387)/2&gt;=40,2,IF((H387+I387)/2&gt;=33,1,0)))))))</f>
        <v/>
      </c>
      <c r="AG387">
        <f>IF(Y387,0,IF((J387+K387+L387+M387)/2&gt;=80,5,IF((J387+K387+L387+M387)/2&gt;=70,4,IF((J387+K387+L387+M387)/2&gt;=60,3.5,IF((J387+K387+L387+M387)/2&gt;=50,3,IF((J387+K387+L387+M387)/2&gt;=40,2,IF((J387+K387+L387+M387)/2&gt;=33,1,0)))))))</f>
        <v/>
      </c>
      <c r="AH387">
        <f>IF(Z387,0,IF(N387+O387&gt;=80,5,IF(N387+O387&gt;=70,4,IF(N387+O387&gt;=60,3.5,IF(N387+O387&gt;=50,3,IF(N387+O387&gt;=40,2,IF(N387+O387&gt;=33,1,0)))))))</f>
        <v/>
      </c>
      <c r="AI387">
        <f>IF(AA387,0,IF(P387+Q387&gt;=80,5,IF(P387+Q387&gt;=70,4,IF(P387+Q387&gt;=60,3.5,IF(P387+Q387&gt;=50,3,IF(P387+Q387&gt;=40,2,IF(P387+Q387&gt;=33,1,0)))))))</f>
        <v/>
      </c>
      <c r="AJ387">
        <f>IF(R387&lt;8.25,0,IF(R387*2&gt;=80,5,IF(R387*2&gt;=70,4,IF(R387*2&gt;=60,3.5,IF(R387*2&gt;=50,3,IF(R387*2&gt;=40,2,IF(R387*2&gt;=33,1,0)))))))</f>
        <v/>
      </c>
      <c r="AK387">
        <f>IF(S387&lt;33,0,IF(S387&gt;=80,5,IF(S387&gt;=70,4,IF(S387&gt;=60,3.5,IF(S387&gt;=50,3,IF(S387&gt;=40,2,IF(S387&gt;=33,1,0)))))))</f>
        <v/>
      </c>
      <c r="AL387">
        <f>(AC387+AD387+AE387+AF387+AG387+AH387+AI387+AJ387)/8</f>
        <v/>
      </c>
      <c r="AM387">
        <f>IF(AK387&gt;=2,(AK387-2)/8,0)</f>
        <v/>
      </c>
    </row>
    <row r="388">
      <c r="T388">
        <f>SUM(C388:R388)</f>
        <v/>
      </c>
      <c r="U388" s="6">
        <f>ROUND(T388/11.5,2)</f>
        <v/>
      </c>
      <c r="V388" s="7">
        <f>IF(B388="","",IF(AB388,0,ROUND(AL388,2)))</f>
        <v/>
      </c>
      <c r="W388" s="7">
        <f>IF(B388="","",IF(AB388,0,MIN(5,ROUND(AL388+AM388,2))))</f>
        <v/>
      </c>
      <c r="X388" s="8">
        <f>IF(B388="","",IF(W388&gt;=5,"A+",IF(W388&gt;=4,"A",IF(W388&gt;=3.5,"A-",IF(W388&gt;=3,"B",IF(W388&gt;=2,"C",IF(W388&gt;=1,"D","F")))))))</f>
        <v/>
      </c>
      <c r="Y388">
        <f>NOT(OR(AND(J388&gt;=10,K388&gt;=23,L388&gt;=10,M388&gt;=23),AND(J388+L388&gt;=20,K388+M388&gt;=46)))</f>
        <v/>
      </c>
      <c r="Z388">
        <f>OR(N388&lt;10,O388&lt;23)</f>
        <v/>
      </c>
      <c r="AA388">
        <f>OR(P388&lt;10,Q388&lt;23)</f>
        <v/>
      </c>
      <c r="AB388">
        <f>OR((C388+D388)&lt;66,(E388+F388)&lt;66,G388&lt;33,(H388+I388)&lt;66,Y388,Z388,AA388,R388&lt;8.25)</f>
        <v/>
      </c>
      <c r="AC388">
        <f>IF(C388+D388&lt;66,0,IF((C388+D388)/2&gt;=80,5,IF((C388+D388)/2&gt;=70,4,IF((C388+D388)/2&gt;=60,3.5,IF((C388+D388)/2&gt;=50,3,IF((C388+D388)/2&gt;=40,2,IF((C388+D388)/2&gt;=33,1,0)))))))</f>
        <v/>
      </c>
      <c r="AD388">
        <f>IF(E388+F388&lt;66,0,IF((E388+F388)/2&gt;=80,5,IF((E388+F388)/2&gt;=70,4,IF((E388+F388)/2&gt;=60,3.5,IF((E388+F388)/2&gt;=50,3,IF((E388+F388)/2&gt;=40,2,IF((E388+F388)/2&gt;=33,1,0)))))))</f>
        <v/>
      </c>
      <c r="AE388">
        <f>IF(G388&lt;33,0,IF(G388&gt;=80,5,IF(G388&gt;=70,4,IF(G388&gt;=60,3.5,IF(G388&gt;=50,3,IF(G388&gt;=40,2,IF(G388&gt;=33,1,0)))))))</f>
        <v/>
      </c>
      <c r="AF388">
        <f>IF(H388+I388&lt;66,0,IF((H388+I388)/2&gt;=80,5,IF((H388+I388)/2&gt;=70,4,IF((H388+I388)/2&gt;=60,3.5,IF((H388+I388)/2&gt;=50,3,IF((H388+I388)/2&gt;=40,2,IF((H388+I388)/2&gt;=33,1,0)))))))</f>
        <v/>
      </c>
      <c r="AG388">
        <f>IF(Y388,0,IF((J388+K388+L388+M388)/2&gt;=80,5,IF((J388+K388+L388+M388)/2&gt;=70,4,IF((J388+K388+L388+M388)/2&gt;=60,3.5,IF((J388+K388+L388+M388)/2&gt;=50,3,IF((J388+K388+L388+M388)/2&gt;=40,2,IF((J388+K388+L388+M388)/2&gt;=33,1,0)))))))</f>
        <v/>
      </c>
      <c r="AH388">
        <f>IF(Z388,0,IF(N388+O388&gt;=80,5,IF(N388+O388&gt;=70,4,IF(N388+O388&gt;=60,3.5,IF(N388+O388&gt;=50,3,IF(N388+O388&gt;=40,2,IF(N388+O388&gt;=33,1,0)))))))</f>
        <v/>
      </c>
      <c r="AI388">
        <f>IF(AA388,0,IF(P388+Q388&gt;=80,5,IF(P388+Q388&gt;=70,4,IF(P388+Q388&gt;=60,3.5,IF(P388+Q388&gt;=50,3,IF(P388+Q388&gt;=40,2,IF(P388+Q388&gt;=33,1,0)))))))</f>
        <v/>
      </c>
      <c r="AJ388">
        <f>IF(R388&lt;8.25,0,IF(R388*2&gt;=80,5,IF(R388*2&gt;=70,4,IF(R388*2&gt;=60,3.5,IF(R388*2&gt;=50,3,IF(R388*2&gt;=40,2,IF(R388*2&gt;=33,1,0)))))))</f>
        <v/>
      </c>
      <c r="AK388">
        <f>IF(S388&lt;33,0,IF(S388&gt;=80,5,IF(S388&gt;=70,4,IF(S388&gt;=60,3.5,IF(S388&gt;=50,3,IF(S388&gt;=40,2,IF(S388&gt;=33,1,0)))))))</f>
        <v/>
      </c>
      <c r="AL388">
        <f>(AC388+AD388+AE388+AF388+AG388+AH388+AI388+AJ388)/8</f>
        <v/>
      </c>
      <c r="AM388">
        <f>IF(AK388&gt;=2,(AK388-2)/8,0)</f>
        <v/>
      </c>
    </row>
    <row r="389">
      <c r="T389">
        <f>SUM(C389:R389)</f>
        <v/>
      </c>
      <c r="U389" s="6">
        <f>ROUND(T389/11.5,2)</f>
        <v/>
      </c>
      <c r="V389" s="7">
        <f>IF(B389="","",IF(AB389,0,ROUND(AL389,2)))</f>
        <v/>
      </c>
      <c r="W389" s="7">
        <f>IF(B389="","",IF(AB389,0,MIN(5,ROUND(AL389+AM389,2))))</f>
        <v/>
      </c>
      <c r="X389" s="8">
        <f>IF(B389="","",IF(W389&gt;=5,"A+",IF(W389&gt;=4,"A",IF(W389&gt;=3.5,"A-",IF(W389&gt;=3,"B",IF(W389&gt;=2,"C",IF(W389&gt;=1,"D","F")))))))</f>
        <v/>
      </c>
      <c r="Y389">
        <f>NOT(OR(AND(J389&gt;=10,K389&gt;=23,L389&gt;=10,M389&gt;=23),AND(J389+L389&gt;=20,K389+M389&gt;=46)))</f>
        <v/>
      </c>
      <c r="Z389">
        <f>OR(N389&lt;10,O389&lt;23)</f>
        <v/>
      </c>
      <c r="AA389">
        <f>OR(P389&lt;10,Q389&lt;23)</f>
        <v/>
      </c>
      <c r="AB389">
        <f>OR((C389+D389)&lt;66,(E389+F389)&lt;66,G389&lt;33,(H389+I389)&lt;66,Y389,Z389,AA389,R389&lt;8.25)</f>
        <v/>
      </c>
      <c r="AC389">
        <f>IF(C389+D389&lt;66,0,IF((C389+D389)/2&gt;=80,5,IF((C389+D389)/2&gt;=70,4,IF((C389+D389)/2&gt;=60,3.5,IF((C389+D389)/2&gt;=50,3,IF((C389+D389)/2&gt;=40,2,IF((C389+D389)/2&gt;=33,1,0)))))))</f>
        <v/>
      </c>
      <c r="AD389">
        <f>IF(E389+F389&lt;66,0,IF((E389+F389)/2&gt;=80,5,IF((E389+F389)/2&gt;=70,4,IF((E389+F389)/2&gt;=60,3.5,IF((E389+F389)/2&gt;=50,3,IF((E389+F389)/2&gt;=40,2,IF((E389+F389)/2&gt;=33,1,0)))))))</f>
        <v/>
      </c>
      <c r="AE389">
        <f>IF(G389&lt;33,0,IF(G389&gt;=80,5,IF(G389&gt;=70,4,IF(G389&gt;=60,3.5,IF(G389&gt;=50,3,IF(G389&gt;=40,2,IF(G389&gt;=33,1,0)))))))</f>
        <v/>
      </c>
      <c r="AF389">
        <f>IF(H389+I389&lt;66,0,IF((H389+I389)/2&gt;=80,5,IF((H389+I389)/2&gt;=70,4,IF((H389+I389)/2&gt;=60,3.5,IF((H389+I389)/2&gt;=50,3,IF((H389+I389)/2&gt;=40,2,IF((H389+I389)/2&gt;=33,1,0)))))))</f>
        <v/>
      </c>
      <c r="AG389">
        <f>IF(Y389,0,IF((J389+K389+L389+M389)/2&gt;=80,5,IF((J389+K389+L389+M389)/2&gt;=70,4,IF((J389+K389+L389+M389)/2&gt;=60,3.5,IF((J389+K389+L389+M389)/2&gt;=50,3,IF((J389+K389+L389+M389)/2&gt;=40,2,IF((J389+K389+L389+M389)/2&gt;=33,1,0)))))))</f>
        <v/>
      </c>
      <c r="AH389">
        <f>IF(Z389,0,IF(N389+O389&gt;=80,5,IF(N389+O389&gt;=70,4,IF(N389+O389&gt;=60,3.5,IF(N389+O389&gt;=50,3,IF(N389+O389&gt;=40,2,IF(N389+O389&gt;=33,1,0)))))))</f>
        <v/>
      </c>
      <c r="AI389">
        <f>IF(AA389,0,IF(P389+Q389&gt;=80,5,IF(P389+Q389&gt;=70,4,IF(P389+Q389&gt;=60,3.5,IF(P389+Q389&gt;=50,3,IF(P389+Q389&gt;=40,2,IF(P389+Q389&gt;=33,1,0)))))))</f>
        <v/>
      </c>
      <c r="AJ389">
        <f>IF(R389&lt;8.25,0,IF(R389*2&gt;=80,5,IF(R389*2&gt;=70,4,IF(R389*2&gt;=60,3.5,IF(R389*2&gt;=50,3,IF(R389*2&gt;=40,2,IF(R389*2&gt;=33,1,0)))))))</f>
        <v/>
      </c>
      <c r="AK389">
        <f>IF(S389&lt;33,0,IF(S389&gt;=80,5,IF(S389&gt;=70,4,IF(S389&gt;=60,3.5,IF(S389&gt;=50,3,IF(S389&gt;=40,2,IF(S389&gt;=33,1,0)))))))</f>
        <v/>
      </c>
      <c r="AL389">
        <f>(AC389+AD389+AE389+AF389+AG389+AH389+AI389+AJ389)/8</f>
        <v/>
      </c>
      <c r="AM389">
        <f>IF(AK389&gt;=2,(AK389-2)/8,0)</f>
        <v/>
      </c>
    </row>
    <row r="390">
      <c r="T390">
        <f>SUM(C390:R390)</f>
        <v/>
      </c>
      <c r="U390" s="6">
        <f>ROUND(T390/11.5,2)</f>
        <v/>
      </c>
      <c r="V390" s="7">
        <f>IF(B390="","",IF(AB390,0,ROUND(AL390,2)))</f>
        <v/>
      </c>
      <c r="W390" s="7">
        <f>IF(B390="","",IF(AB390,0,MIN(5,ROUND(AL390+AM390,2))))</f>
        <v/>
      </c>
      <c r="X390" s="8">
        <f>IF(B390="","",IF(W390&gt;=5,"A+",IF(W390&gt;=4,"A",IF(W390&gt;=3.5,"A-",IF(W390&gt;=3,"B",IF(W390&gt;=2,"C",IF(W390&gt;=1,"D","F")))))))</f>
        <v/>
      </c>
      <c r="Y390">
        <f>NOT(OR(AND(J390&gt;=10,K390&gt;=23,L390&gt;=10,M390&gt;=23),AND(J390+L390&gt;=20,K390+M390&gt;=46)))</f>
        <v/>
      </c>
      <c r="Z390">
        <f>OR(N390&lt;10,O390&lt;23)</f>
        <v/>
      </c>
      <c r="AA390">
        <f>OR(P390&lt;10,Q390&lt;23)</f>
        <v/>
      </c>
      <c r="AB390">
        <f>OR((C390+D390)&lt;66,(E390+F390)&lt;66,G390&lt;33,(H390+I390)&lt;66,Y390,Z390,AA390,R390&lt;8.25)</f>
        <v/>
      </c>
      <c r="AC390">
        <f>IF(C390+D390&lt;66,0,IF((C390+D390)/2&gt;=80,5,IF((C390+D390)/2&gt;=70,4,IF((C390+D390)/2&gt;=60,3.5,IF((C390+D390)/2&gt;=50,3,IF((C390+D390)/2&gt;=40,2,IF((C390+D390)/2&gt;=33,1,0)))))))</f>
        <v/>
      </c>
      <c r="AD390">
        <f>IF(E390+F390&lt;66,0,IF((E390+F390)/2&gt;=80,5,IF((E390+F390)/2&gt;=70,4,IF((E390+F390)/2&gt;=60,3.5,IF((E390+F390)/2&gt;=50,3,IF((E390+F390)/2&gt;=40,2,IF((E390+F390)/2&gt;=33,1,0)))))))</f>
        <v/>
      </c>
      <c r="AE390">
        <f>IF(G390&lt;33,0,IF(G390&gt;=80,5,IF(G390&gt;=70,4,IF(G390&gt;=60,3.5,IF(G390&gt;=50,3,IF(G390&gt;=40,2,IF(G390&gt;=33,1,0)))))))</f>
        <v/>
      </c>
      <c r="AF390">
        <f>IF(H390+I390&lt;66,0,IF((H390+I390)/2&gt;=80,5,IF((H390+I390)/2&gt;=70,4,IF((H390+I390)/2&gt;=60,3.5,IF((H390+I390)/2&gt;=50,3,IF((H390+I390)/2&gt;=40,2,IF((H390+I390)/2&gt;=33,1,0)))))))</f>
        <v/>
      </c>
      <c r="AG390">
        <f>IF(Y390,0,IF((J390+K390+L390+M390)/2&gt;=80,5,IF((J390+K390+L390+M390)/2&gt;=70,4,IF((J390+K390+L390+M390)/2&gt;=60,3.5,IF((J390+K390+L390+M390)/2&gt;=50,3,IF((J390+K390+L390+M390)/2&gt;=40,2,IF((J390+K390+L390+M390)/2&gt;=33,1,0)))))))</f>
        <v/>
      </c>
      <c r="AH390">
        <f>IF(Z390,0,IF(N390+O390&gt;=80,5,IF(N390+O390&gt;=70,4,IF(N390+O390&gt;=60,3.5,IF(N390+O390&gt;=50,3,IF(N390+O390&gt;=40,2,IF(N390+O390&gt;=33,1,0)))))))</f>
        <v/>
      </c>
      <c r="AI390">
        <f>IF(AA390,0,IF(P390+Q390&gt;=80,5,IF(P390+Q390&gt;=70,4,IF(P390+Q390&gt;=60,3.5,IF(P390+Q390&gt;=50,3,IF(P390+Q390&gt;=40,2,IF(P390+Q390&gt;=33,1,0)))))))</f>
        <v/>
      </c>
      <c r="AJ390">
        <f>IF(R390&lt;8.25,0,IF(R390*2&gt;=80,5,IF(R390*2&gt;=70,4,IF(R390*2&gt;=60,3.5,IF(R390*2&gt;=50,3,IF(R390*2&gt;=40,2,IF(R390*2&gt;=33,1,0)))))))</f>
        <v/>
      </c>
      <c r="AK390">
        <f>IF(S390&lt;33,0,IF(S390&gt;=80,5,IF(S390&gt;=70,4,IF(S390&gt;=60,3.5,IF(S390&gt;=50,3,IF(S390&gt;=40,2,IF(S390&gt;=33,1,0)))))))</f>
        <v/>
      </c>
      <c r="AL390">
        <f>(AC390+AD390+AE390+AF390+AG390+AH390+AI390+AJ390)/8</f>
        <v/>
      </c>
      <c r="AM390">
        <f>IF(AK390&gt;=2,(AK390-2)/8,0)</f>
        <v/>
      </c>
    </row>
    <row r="391">
      <c r="T391">
        <f>SUM(C391:R391)</f>
        <v/>
      </c>
      <c r="U391" s="6">
        <f>ROUND(T391/11.5,2)</f>
        <v/>
      </c>
      <c r="V391" s="7">
        <f>IF(B391="","",IF(AB391,0,ROUND(AL391,2)))</f>
        <v/>
      </c>
      <c r="W391" s="7">
        <f>IF(B391="","",IF(AB391,0,MIN(5,ROUND(AL391+AM391,2))))</f>
        <v/>
      </c>
      <c r="X391" s="8">
        <f>IF(B391="","",IF(W391&gt;=5,"A+",IF(W391&gt;=4,"A",IF(W391&gt;=3.5,"A-",IF(W391&gt;=3,"B",IF(W391&gt;=2,"C",IF(W391&gt;=1,"D","F")))))))</f>
        <v/>
      </c>
      <c r="Y391">
        <f>NOT(OR(AND(J391&gt;=10,K391&gt;=23,L391&gt;=10,M391&gt;=23),AND(J391+L391&gt;=20,K391+M391&gt;=46)))</f>
        <v/>
      </c>
      <c r="Z391">
        <f>OR(N391&lt;10,O391&lt;23)</f>
        <v/>
      </c>
      <c r="AA391">
        <f>OR(P391&lt;10,Q391&lt;23)</f>
        <v/>
      </c>
      <c r="AB391">
        <f>OR((C391+D391)&lt;66,(E391+F391)&lt;66,G391&lt;33,(H391+I391)&lt;66,Y391,Z391,AA391,R391&lt;8.25)</f>
        <v/>
      </c>
      <c r="AC391">
        <f>IF(C391+D391&lt;66,0,IF((C391+D391)/2&gt;=80,5,IF((C391+D391)/2&gt;=70,4,IF((C391+D391)/2&gt;=60,3.5,IF((C391+D391)/2&gt;=50,3,IF((C391+D391)/2&gt;=40,2,IF((C391+D391)/2&gt;=33,1,0)))))))</f>
        <v/>
      </c>
      <c r="AD391">
        <f>IF(E391+F391&lt;66,0,IF((E391+F391)/2&gt;=80,5,IF((E391+F391)/2&gt;=70,4,IF((E391+F391)/2&gt;=60,3.5,IF((E391+F391)/2&gt;=50,3,IF((E391+F391)/2&gt;=40,2,IF((E391+F391)/2&gt;=33,1,0)))))))</f>
        <v/>
      </c>
      <c r="AE391">
        <f>IF(G391&lt;33,0,IF(G391&gt;=80,5,IF(G391&gt;=70,4,IF(G391&gt;=60,3.5,IF(G391&gt;=50,3,IF(G391&gt;=40,2,IF(G391&gt;=33,1,0)))))))</f>
        <v/>
      </c>
      <c r="AF391">
        <f>IF(H391+I391&lt;66,0,IF((H391+I391)/2&gt;=80,5,IF((H391+I391)/2&gt;=70,4,IF((H391+I391)/2&gt;=60,3.5,IF((H391+I391)/2&gt;=50,3,IF((H391+I391)/2&gt;=40,2,IF((H391+I391)/2&gt;=33,1,0)))))))</f>
        <v/>
      </c>
      <c r="AG391">
        <f>IF(Y391,0,IF((J391+K391+L391+M391)/2&gt;=80,5,IF((J391+K391+L391+M391)/2&gt;=70,4,IF((J391+K391+L391+M391)/2&gt;=60,3.5,IF((J391+K391+L391+M391)/2&gt;=50,3,IF((J391+K391+L391+M391)/2&gt;=40,2,IF((J391+K391+L391+M391)/2&gt;=33,1,0)))))))</f>
        <v/>
      </c>
      <c r="AH391">
        <f>IF(Z391,0,IF(N391+O391&gt;=80,5,IF(N391+O391&gt;=70,4,IF(N391+O391&gt;=60,3.5,IF(N391+O391&gt;=50,3,IF(N391+O391&gt;=40,2,IF(N391+O391&gt;=33,1,0)))))))</f>
        <v/>
      </c>
      <c r="AI391">
        <f>IF(AA391,0,IF(P391+Q391&gt;=80,5,IF(P391+Q391&gt;=70,4,IF(P391+Q391&gt;=60,3.5,IF(P391+Q391&gt;=50,3,IF(P391+Q391&gt;=40,2,IF(P391+Q391&gt;=33,1,0)))))))</f>
        <v/>
      </c>
      <c r="AJ391">
        <f>IF(R391&lt;8.25,0,IF(R391*2&gt;=80,5,IF(R391*2&gt;=70,4,IF(R391*2&gt;=60,3.5,IF(R391*2&gt;=50,3,IF(R391*2&gt;=40,2,IF(R391*2&gt;=33,1,0)))))))</f>
        <v/>
      </c>
      <c r="AK391">
        <f>IF(S391&lt;33,0,IF(S391&gt;=80,5,IF(S391&gt;=70,4,IF(S391&gt;=60,3.5,IF(S391&gt;=50,3,IF(S391&gt;=40,2,IF(S391&gt;=33,1,0)))))))</f>
        <v/>
      </c>
      <c r="AL391">
        <f>(AC391+AD391+AE391+AF391+AG391+AH391+AI391+AJ391)/8</f>
        <v/>
      </c>
      <c r="AM391">
        <f>IF(AK391&gt;=2,(AK391-2)/8,0)</f>
        <v/>
      </c>
    </row>
    <row r="392">
      <c r="T392">
        <f>SUM(C392:R392)</f>
        <v/>
      </c>
      <c r="U392" s="6">
        <f>ROUND(T392/11.5,2)</f>
        <v/>
      </c>
      <c r="V392" s="7">
        <f>IF(B392="","",IF(AB392,0,ROUND(AL392,2)))</f>
        <v/>
      </c>
      <c r="W392" s="7">
        <f>IF(B392="","",IF(AB392,0,MIN(5,ROUND(AL392+AM392,2))))</f>
        <v/>
      </c>
      <c r="X392" s="8">
        <f>IF(B392="","",IF(W392&gt;=5,"A+",IF(W392&gt;=4,"A",IF(W392&gt;=3.5,"A-",IF(W392&gt;=3,"B",IF(W392&gt;=2,"C",IF(W392&gt;=1,"D","F")))))))</f>
        <v/>
      </c>
      <c r="Y392">
        <f>NOT(OR(AND(J392&gt;=10,K392&gt;=23,L392&gt;=10,M392&gt;=23),AND(J392+L392&gt;=20,K392+M392&gt;=46)))</f>
        <v/>
      </c>
      <c r="Z392">
        <f>OR(N392&lt;10,O392&lt;23)</f>
        <v/>
      </c>
      <c r="AA392">
        <f>OR(P392&lt;10,Q392&lt;23)</f>
        <v/>
      </c>
      <c r="AB392">
        <f>OR((C392+D392)&lt;66,(E392+F392)&lt;66,G392&lt;33,(H392+I392)&lt;66,Y392,Z392,AA392,R392&lt;8.25)</f>
        <v/>
      </c>
      <c r="AC392">
        <f>IF(C392+D392&lt;66,0,IF((C392+D392)/2&gt;=80,5,IF((C392+D392)/2&gt;=70,4,IF((C392+D392)/2&gt;=60,3.5,IF((C392+D392)/2&gt;=50,3,IF((C392+D392)/2&gt;=40,2,IF((C392+D392)/2&gt;=33,1,0)))))))</f>
        <v/>
      </c>
      <c r="AD392">
        <f>IF(E392+F392&lt;66,0,IF((E392+F392)/2&gt;=80,5,IF((E392+F392)/2&gt;=70,4,IF((E392+F392)/2&gt;=60,3.5,IF((E392+F392)/2&gt;=50,3,IF((E392+F392)/2&gt;=40,2,IF((E392+F392)/2&gt;=33,1,0)))))))</f>
        <v/>
      </c>
      <c r="AE392">
        <f>IF(G392&lt;33,0,IF(G392&gt;=80,5,IF(G392&gt;=70,4,IF(G392&gt;=60,3.5,IF(G392&gt;=50,3,IF(G392&gt;=40,2,IF(G392&gt;=33,1,0)))))))</f>
        <v/>
      </c>
      <c r="AF392">
        <f>IF(H392+I392&lt;66,0,IF((H392+I392)/2&gt;=80,5,IF((H392+I392)/2&gt;=70,4,IF((H392+I392)/2&gt;=60,3.5,IF((H392+I392)/2&gt;=50,3,IF((H392+I392)/2&gt;=40,2,IF((H392+I392)/2&gt;=33,1,0)))))))</f>
        <v/>
      </c>
      <c r="AG392">
        <f>IF(Y392,0,IF((J392+K392+L392+M392)/2&gt;=80,5,IF((J392+K392+L392+M392)/2&gt;=70,4,IF((J392+K392+L392+M392)/2&gt;=60,3.5,IF((J392+K392+L392+M392)/2&gt;=50,3,IF((J392+K392+L392+M392)/2&gt;=40,2,IF((J392+K392+L392+M392)/2&gt;=33,1,0)))))))</f>
        <v/>
      </c>
      <c r="AH392">
        <f>IF(Z392,0,IF(N392+O392&gt;=80,5,IF(N392+O392&gt;=70,4,IF(N392+O392&gt;=60,3.5,IF(N392+O392&gt;=50,3,IF(N392+O392&gt;=40,2,IF(N392+O392&gt;=33,1,0)))))))</f>
        <v/>
      </c>
      <c r="AI392">
        <f>IF(AA392,0,IF(P392+Q392&gt;=80,5,IF(P392+Q392&gt;=70,4,IF(P392+Q392&gt;=60,3.5,IF(P392+Q392&gt;=50,3,IF(P392+Q392&gt;=40,2,IF(P392+Q392&gt;=33,1,0)))))))</f>
        <v/>
      </c>
      <c r="AJ392">
        <f>IF(R392&lt;8.25,0,IF(R392*2&gt;=80,5,IF(R392*2&gt;=70,4,IF(R392*2&gt;=60,3.5,IF(R392*2&gt;=50,3,IF(R392*2&gt;=40,2,IF(R392*2&gt;=33,1,0)))))))</f>
        <v/>
      </c>
      <c r="AK392">
        <f>IF(S392&lt;33,0,IF(S392&gt;=80,5,IF(S392&gt;=70,4,IF(S392&gt;=60,3.5,IF(S392&gt;=50,3,IF(S392&gt;=40,2,IF(S392&gt;=33,1,0)))))))</f>
        <v/>
      </c>
      <c r="AL392">
        <f>(AC392+AD392+AE392+AF392+AG392+AH392+AI392+AJ392)/8</f>
        <v/>
      </c>
      <c r="AM392">
        <f>IF(AK392&gt;=2,(AK392-2)/8,0)</f>
        <v/>
      </c>
    </row>
    <row r="393">
      <c r="T393">
        <f>SUM(C393:R393)</f>
        <v/>
      </c>
      <c r="U393" s="6">
        <f>ROUND(T393/11.5,2)</f>
        <v/>
      </c>
      <c r="V393" s="7">
        <f>IF(B393="","",IF(AB393,0,ROUND(AL393,2)))</f>
        <v/>
      </c>
      <c r="W393" s="7">
        <f>IF(B393="","",IF(AB393,0,MIN(5,ROUND(AL393+AM393,2))))</f>
        <v/>
      </c>
      <c r="X393" s="8">
        <f>IF(B393="","",IF(W393&gt;=5,"A+",IF(W393&gt;=4,"A",IF(W393&gt;=3.5,"A-",IF(W393&gt;=3,"B",IF(W393&gt;=2,"C",IF(W393&gt;=1,"D","F")))))))</f>
        <v/>
      </c>
      <c r="Y393">
        <f>NOT(OR(AND(J393&gt;=10,K393&gt;=23,L393&gt;=10,M393&gt;=23),AND(J393+L393&gt;=20,K393+M393&gt;=46)))</f>
        <v/>
      </c>
      <c r="Z393">
        <f>OR(N393&lt;10,O393&lt;23)</f>
        <v/>
      </c>
      <c r="AA393">
        <f>OR(P393&lt;10,Q393&lt;23)</f>
        <v/>
      </c>
      <c r="AB393">
        <f>OR((C393+D393)&lt;66,(E393+F393)&lt;66,G393&lt;33,(H393+I393)&lt;66,Y393,Z393,AA393,R393&lt;8.25)</f>
        <v/>
      </c>
      <c r="AC393">
        <f>IF(C393+D393&lt;66,0,IF((C393+D393)/2&gt;=80,5,IF((C393+D393)/2&gt;=70,4,IF((C393+D393)/2&gt;=60,3.5,IF((C393+D393)/2&gt;=50,3,IF((C393+D393)/2&gt;=40,2,IF((C393+D393)/2&gt;=33,1,0)))))))</f>
        <v/>
      </c>
      <c r="AD393">
        <f>IF(E393+F393&lt;66,0,IF((E393+F393)/2&gt;=80,5,IF((E393+F393)/2&gt;=70,4,IF((E393+F393)/2&gt;=60,3.5,IF((E393+F393)/2&gt;=50,3,IF((E393+F393)/2&gt;=40,2,IF((E393+F393)/2&gt;=33,1,0)))))))</f>
        <v/>
      </c>
      <c r="AE393">
        <f>IF(G393&lt;33,0,IF(G393&gt;=80,5,IF(G393&gt;=70,4,IF(G393&gt;=60,3.5,IF(G393&gt;=50,3,IF(G393&gt;=40,2,IF(G393&gt;=33,1,0)))))))</f>
        <v/>
      </c>
      <c r="AF393">
        <f>IF(H393+I393&lt;66,0,IF((H393+I393)/2&gt;=80,5,IF((H393+I393)/2&gt;=70,4,IF((H393+I393)/2&gt;=60,3.5,IF((H393+I393)/2&gt;=50,3,IF((H393+I393)/2&gt;=40,2,IF((H393+I393)/2&gt;=33,1,0)))))))</f>
        <v/>
      </c>
      <c r="AG393">
        <f>IF(Y393,0,IF((J393+K393+L393+M393)/2&gt;=80,5,IF((J393+K393+L393+M393)/2&gt;=70,4,IF((J393+K393+L393+M393)/2&gt;=60,3.5,IF((J393+K393+L393+M393)/2&gt;=50,3,IF((J393+K393+L393+M393)/2&gt;=40,2,IF((J393+K393+L393+M393)/2&gt;=33,1,0)))))))</f>
        <v/>
      </c>
      <c r="AH393">
        <f>IF(Z393,0,IF(N393+O393&gt;=80,5,IF(N393+O393&gt;=70,4,IF(N393+O393&gt;=60,3.5,IF(N393+O393&gt;=50,3,IF(N393+O393&gt;=40,2,IF(N393+O393&gt;=33,1,0)))))))</f>
        <v/>
      </c>
      <c r="AI393">
        <f>IF(AA393,0,IF(P393+Q393&gt;=80,5,IF(P393+Q393&gt;=70,4,IF(P393+Q393&gt;=60,3.5,IF(P393+Q393&gt;=50,3,IF(P393+Q393&gt;=40,2,IF(P393+Q393&gt;=33,1,0)))))))</f>
        <v/>
      </c>
      <c r="AJ393">
        <f>IF(R393&lt;8.25,0,IF(R393*2&gt;=80,5,IF(R393*2&gt;=70,4,IF(R393*2&gt;=60,3.5,IF(R393*2&gt;=50,3,IF(R393*2&gt;=40,2,IF(R393*2&gt;=33,1,0)))))))</f>
        <v/>
      </c>
      <c r="AK393">
        <f>IF(S393&lt;33,0,IF(S393&gt;=80,5,IF(S393&gt;=70,4,IF(S393&gt;=60,3.5,IF(S393&gt;=50,3,IF(S393&gt;=40,2,IF(S393&gt;=33,1,0)))))))</f>
        <v/>
      </c>
      <c r="AL393">
        <f>(AC393+AD393+AE393+AF393+AG393+AH393+AI393+AJ393)/8</f>
        <v/>
      </c>
      <c r="AM393">
        <f>IF(AK393&gt;=2,(AK393-2)/8,0)</f>
        <v/>
      </c>
    </row>
    <row r="394">
      <c r="T394">
        <f>SUM(C394:R394)</f>
        <v/>
      </c>
      <c r="U394" s="6">
        <f>ROUND(T394/11.5,2)</f>
        <v/>
      </c>
      <c r="V394" s="7">
        <f>IF(B394="","",IF(AB394,0,ROUND(AL394,2)))</f>
        <v/>
      </c>
      <c r="W394" s="7">
        <f>IF(B394="","",IF(AB394,0,MIN(5,ROUND(AL394+AM394,2))))</f>
        <v/>
      </c>
      <c r="X394" s="8">
        <f>IF(B394="","",IF(W394&gt;=5,"A+",IF(W394&gt;=4,"A",IF(W394&gt;=3.5,"A-",IF(W394&gt;=3,"B",IF(W394&gt;=2,"C",IF(W394&gt;=1,"D","F")))))))</f>
        <v/>
      </c>
      <c r="Y394">
        <f>NOT(OR(AND(J394&gt;=10,K394&gt;=23,L394&gt;=10,M394&gt;=23),AND(J394+L394&gt;=20,K394+M394&gt;=46)))</f>
        <v/>
      </c>
      <c r="Z394">
        <f>OR(N394&lt;10,O394&lt;23)</f>
        <v/>
      </c>
      <c r="AA394">
        <f>OR(P394&lt;10,Q394&lt;23)</f>
        <v/>
      </c>
      <c r="AB394">
        <f>OR((C394+D394)&lt;66,(E394+F394)&lt;66,G394&lt;33,(H394+I394)&lt;66,Y394,Z394,AA394,R394&lt;8.25)</f>
        <v/>
      </c>
      <c r="AC394">
        <f>IF(C394+D394&lt;66,0,IF((C394+D394)/2&gt;=80,5,IF((C394+D394)/2&gt;=70,4,IF((C394+D394)/2&gt;=60,3.5,IF((C394+D394)/2&gt;=50,3,IF((C394+D394)/2&gt;=40,2,IF((C394+D394)/2&gt;=33,1,0)))))))</f>
        <v/>
      </c>
      <c r="AD394">
        <f>IF(E394+F394&lt;66,0,IF((E394+F394)/2&gt;=80,5,IF((E394+F394)/2&gt;=70,4,IF((E394+F394)/2&gt;=60,3.5,IF((E394+F394)/2&gt;=50,3,IF((E394+F394)/2&gt;=40,2,IF((E394+F394)/2&gt;=33,1,0)))))))</f>
        <v/>
      </c>
      <c r="AE394">
        <f>IF(G394&lt;33,0,IF(G394&gt;=80,5,IF(G394&gt;=70,4,IF(G394&gt;=60,3.5,IF(G394&gt;=50,3,IF(G394&gt;=40,2,IF(G394&gt;=33,1,0)))))))</f>
        <v/>
      </c>
      <c r="AF394">
        <f>IF(H394+I394&lt;66,0,IF((H394+I394)/2&gt;=80,5,IF((H394+I394)/2&gt;=70,4,IF((H394+I394)/2&gt;=60,3.5,IF((H394+I394)/2&gt;=50,3,IF((H394+I394)/2&gt;=40,2,IF((H394+I394)/2&gt;=33,1,0)))))))</f>
        <v/>
      </c>
      <c r="AG394">
        <f>IF(Y394,0,IF((J394+K394+L394+M394)/2&gt;=80,5,IF((J394+K394+L394+M394)/2&gt;=70,4,IF((J394+K394+L394+M394)/2&gt;=60,3.5,IF((J394+K394+L394+M394)/2&gt;=50,3,IF((J394+K394+L394+M394)/2&gt;=40,2,IF((J394+K394+L394+M394)/2&gt;=33,1,0)))))))</f>
        <v/>
      </c>
      <c r="AH394">
        <f>IF(Z394,0,IF(N394+O394&gt;=80,5,IF(N394+O394&gt;=70,4,IF(N394+O394&gt;=60,3.5,IF(N394+O394&gt;=50,3,IF(N394+O394&gt;=40,2,IF(N394+O394&gt;=33,1,0)))))))</f>
        <v/>
      </c>
      <c r="AI394">
        <f>IF(AA394,0,IF(P394+Q394&gt;=80,5,IF(P394+Q394&gt;=70,4,IF(P394+Q394&gt;=60,3.5,IF(P394+Q394&gt;=50,3,IF(P394+Q394&gt;=40,2,IF(P394+Q394&gt;=33,1,0)))))))</f>
        <v/>
      </c>
      <c r="AJ394">
        <f>IF(R394&lt;8.25,0,IF(R394*2&gt;=80,5,IF(R394*2&gt;=70,4,IF(R394*2&gt;=60,3.5,IF(R394*2&gt;=50,3,IF(R394*2&gt;=40,2,IF(R394*2&gt;=33,1,0)))))))</f>
        <v/>
      </c>
      <c r="AK394">
        <f>IF(S394&lt;33,0,IF(S394&gt;=80,5,IF(S394&gt;=70,4,IF(S394&gt;=60,3.5,IF(S394&gt;=50,3,IF(S394&gt;=40,2,IF(S394&gt;=33,1,0)))))))</f>
        <v/>
      </c>
      <c r="AL394">
        <f>(AC394+AD394+AE394+AF394+AG394+AH394+AI394+AJ394)/8</f>
        <v/>
      </c>
      <c r="AM394">
        <f>IF(AK394&gt;=2,(AK394-2)/8,0)</f>
        <v/>
      </c>
    </row>
    <row r="395">
      <c r="T395">
        <f>SUM(C395:R395)</f>
        <v/>
      </c>
      <c r="U395" s="6">
        <f>ROUND(T395/11.5,2)</f>
        <v/>
      </c>
      <c r="V395" s="7">
        <f>IF(B395="","",IF(AB395,0,ROUND(AL395,2)))</f>
        <v/>
      </c>
      <c r="W395" s="7">
        <f>IF(B395="","",IF(AB395,0,MIN(5,ROUND(AL395+AM395,2))))</f>
        <v/>
      </c>
      <c r="X395" s="8">
        <f>IF(B395="","",IF(W395&gt;=5,"A+",IF(W395&gt;=4,"A",IF(W395&gt;=3.5,"A-",IF(W395&gt;=3,"B",IF(W395&gt;=2,"C",IF(W395&gt;=1,"D","F")))))))</f>
        <v/>
      </c>
      <c r="Y395">
        <f>NOT(OR(AND(J395&gt;=10,K395&gt;=23,L395&gt;=10,M395&gt;=23),AND(J395+L395&gt;=20,K395+M395&gt;=46)))</f>
        <v/>
      </c>
      <c r="Z395">
        <f>OR(N395&lt;10,O395&lt;23)</f>
        <v/>
      </c>
      <c r="AA395">
        <f>OR(P395&lt;10,Q395&lt;23)</f>
        <v/>
      </c>
      <c r="AB395">
        <f>OR((C395+D395)&lt;66,(E395+F395)&lt;66,G395&lt;33,(H395+I395)&lt;66,Y395,Z395,AA395,R395&lt;8.25)</f>
        <v/>
      </c>
      <c r="AC395">
        <f>IF(C395+D395&lt;66,0,IF((C395+D395)/2&gt;=80,5,IF((C395+D395)/2&gt;=70,4,IF((C395+D395)/2&gt;=60,3.5,IF((C395+D395)/2&gt;=50,3,IF((C395+D395)/2&gt;=40,2,IF((C395+D395)/2&gt;=33,1,0)))))))</f>
        <v/>
      </c>
      <c r="AD395">
        <f>IF(E395+F395&lt;66,0,IF((E395+F395)/2&gt;=80,5,IF((E395+F395)/2&gt;=70,4,IF((E395+F395)/2&gt;=60,3.5,IF((E395+F395)/2&gt;=50,3,IF((E395+F395)/2&gt;=40,2,IF((E395+F395)/2&gt;=33,1,0)))))))</f>
        <v/>
      </c>
      <c r="AE395">
        <f>IF(G395&lt;33,0,IF(G395&gt;=80,5,IF(G395&gt;=70,4,IF(G395&gt;=60,3.5,IF(G395&gt;=50,3,IF(G395&gt;=40,2,IF(G395&gt;=33,1,0)))))))</f>
        <v/>
      </c>
      <c r="AF395">
        <f>IF(H395+I395&lt;66,0,IF((H395+I395)/2&gt;=80,5,IF((H395+I395)/2&gt;=70,4,IF((H395+I395)/2&gt;=60,3.5,IF((H395+I395)/2&gt;=50,3,IF((H395+I395)/2&gt;=40,2,IF((H395+I395)/2&gt;=33,1,0)))))))</f>
        <v/>
      </c>
      <c r="AG395">
        <f>IF(Y395,0,IF((J395+K395+L395+M395)/2&gt;=80,5,IF((J395+K395+L395+M395)/2&gt;=70,4,IF((J395+K395+L395+M395)/2&gt;=60,3.5,IF((J395+K395+L395+M395)/2&gt;=50,3,IF((J395+K395+L395+M395)/2&gt;=40,2,IF((J395+K395+L395+M395)/2&gt;=33,1,0)))))))</f>
        <v/>
      </c>
      <c r="AH395">
        <f>IF(Z395,0,IF(N395+O395&gt;=80,5,IF(N395+O395&gt;=70,4,IF(N395+O395&gt;=60,3.5,IF(N395+O395&gt;=50,3,IF(N395+O395&gt;=40,2,IF(N395+O395&gt;=33,1,0)))))))</f>
        <v/>
      </c>
      <c r="AI395">
        <f>IF(AA395,0,IF(P395+Q395&gt;=80,5,IF(P395+Q395&gt;=70,4,IF(P395+Q395&gt;=60,3.5,IF(P395+Q395&gt;=50,3,IF(P395+Q395&gt;=40,2,IF(P395+Q395&gt;=33,1,0)))))))</f>
        <v/>
      </c>
      <c r="AJ395">
        <f>IF(R395&lt;8.25,0,IF(R395*2&gt;=80,5,IF(R395*2&gt;=70,4,IF(R395*2&gt;=60,3.5,IF(R395*2&gt;=50,3,IF(R395*2&gt;=40,2,IF(R395*2&gt;=33,1,0)))))))</f>
        <v/>
      </c>
      <c r="AK395">
        <f>IF(S395&lt;33,0,IF(S395&gt;=80,5,IF(S395&gt;=70,4,IF(S395&gt;=60,3.5,IF(S395&gt;=50,3,IF(S395&gt;=40,2,IF(S395&gt;=33,1,0)))))))</f>
        <v/>
      </c>
      <c r="AL395">
        <f>(AC395+AD395+AE395+AF395+AG395+AH395+AI395+AJ395)/8</f>
        <v/>
      </c>
      <c r="AM395">
        <f>IF(AK395&gt;=2,(AK395-2)/8,0)</f>
        <v/>
      </c>
    </row>
    <row r="396">
      <c r="T396">
        <f>SUM(C396:R396)</f>
        <v/>
      </c>
      <c r="U396" s="6">
        <f>ROUND(T396/11.5,2)</f>
        <v/>
      </c>
      <c r="V396" s="7">
        <f>IF(B396="","",IF(AB396,0,ROUND(AL396,2)))</f>
        <v/>
      </c>
      <c r="W396" s="7">
        <f>IF(B396="","",IF(AB396,0,MIN(5,ROUND(AL396+AM396,2))))</f>
        <v/>
      </c>
      <c r="X396" s="8">
        <f>IF(B396="","",IF(W396&gt;=5,"A+",IF(W396&gt;=4,"A",IF(W396&gt;=3.5,"A-",IF(W396&gt;=3,"B",IF(W396&gt;=2,"C",IF(W396&gt;=1,"D","F")))))))</f>
        <v/>
      </c>
      <c r="Y396">
        <f>NOT(OR(AND(J396&gt;=10,K396&gt;=23,L396&gt;=10,M396&gt;=23),AND(J396+L396&gt;=20,K396+M396&gt;=46)))</f>
        <v/>
      </c>
      <c r="Z396">
        <f>OR(N396&lt;10,O396&lt;23)</f>
        <v/>
      </c>
      <c r="AA396">
        <f>OR(P396&lt;10,Q396&lt;23)</f>
        <v/>
      </c>
      <c r="AB396">
        <f>OR((C396+D396)&lt;66,(E396+F396)&lt;66,G396&lt;33,(H396+I396)&lt;66,Y396,Z396,AA396,R396&lt;8.25)</f>
        <v/>
      </c>
      <c r="AC396">
        <f>IF(C396+D396&lt;66,0,IF((C396+D396)/2&gt;=80,5,IF((C396+D396)/2&gt;=70,4,IF((C396+D396)/2&gt;=60,3.5,IF((C396+D396)/2&gt;=50,3,IF((C396+D396)/2&gt;=40,2,IF((C396+D396)/2&gt;=33,1,0)))))))</f>
        <v/>
      </c>
      <c r="AD396">
        <f>IF(E396+F396&lt;66,0,IF((E396+F396)/2&gt;=80,5,IF((E396+F396)/2&gt;=70,4,IF((E396+F396)/2&gt;=60,3.5,IF((E396+F396)/2&gt;=50,3,IF((E396+F396)/2&gt;=40,2,IF((E396+F396)/2&gt;=33,1,0)))))))</f>
        <v/>
      </c>
      <c r="AE396">
        <f>IF(G396&lt;33,0,IF(G396&gt;=80,5,IF(G396&gt;=70,4,IF(G396&gt;=60,3.5,IF(G396&gt;=50,3,IF(G396&gt;=40,2,IF(G396&gt;=33,1,0)))))))</f>
        <v/>
      </c>
      <c r="AF396">
        <f>IF(H396+I396&lt;66,0,IF((H396+I396)/2&gt;=80,5,IF((H396+I396)/2&gt;=70,4,IF((H396+I396)/2&gt;=60,3.5,IF((H396+I396)/2&gt;=50,3,IF((H396+I396)/2&gt;=40,2,IF((H396+I396)/2&gt;=33,1,0)))))))</f>
        <v/>
      </c>
      <c r="AG396">
        <f>IF(Y396,0,IF((J396+K396+L396+M396)/2&gt;=80,5,IF((J396+K396+L396+M396)/2&gt;=70,4,IF((J396+K396+L396+M396)/2&gt;=60,3.5,IF((J396+K396+L396+M396)/2&gt;=50,3,IF((J396+K396+L396+M396)/2&gt;=40,2,IF((J396+K396+L396+M396)/2&gt;=33,1,0)))))))</f>
        <v/>
      </c>
      <c r="AH396">
        <f>IF(Z396,0,IF(N396+O396&gt;=80,5,IF(N396+O396&gt;=70,4,IF(N396+O396&gt;=60,3.5,IF(N396+O396&gt;=50,3,IF(N396+O396&gt;=40,2,IF(N396+O396&gt;=33,1,0)))))))</f>
        <v/>
      </c>
      <c r="AI396">
        <f>IF(AA396,0,IF(P396+Q396&gt;=80,5,IF(P396+Q396&gt;=70,4,IF(P396+Q396&gt;=60,3.5,IF(P396+Q396&gt;=50,3,IF(P396+Q396&gt;=40,2,IF(P396+Q396&gt;=33,1,0)))))))</f>
        <v/>
      </c>
      <c r="AJ396">
        <f>IF(R396&lt;8.25,0,IF(R396*2&gt;=80,5,IF(R396*2&gt;=70,4,IF(R396*2&gt;=60,3.5,IF(R396*2&gt;=50,3,IF(R396*2&gt;=40,2,IF(R396*2&gt;=33,1,0)))))))</f>
        <v/>
      </c>
      <c r="AK396">
        <f>IF(S396&lt;33,0,IF(S396&gt;=80,5,IF(S396&gt;=70,4,IF(S396&gt;=60,3.5,IF(S396&gt;=50,3,IF(S396&gt;=40,2,IF(S396&gt;=33,1,0)))))))</f>
        <v/>
      </c>
      <c r="AL396">
        <f>(AC396+AD396+AE396+AF396+AG396+AH396+AI396+AJ396)/8</f>
        <v/>
      </c>
      <c r="AM396">
        <f>IF(AK396&gt;=2,(AK396-2)/8,0)</f>
        <v/>
      </c>
    </row>
    <row r="397">
      <c r="T397">
        <f>SUM(C397:R397)</f>
        <v/>
      </c>
      <c r="U397" s="6">
        <f>ROUND(T397/11.5,2)</f>
        <v/>
      </c>
      <c r="V397" s="7">
        <f>IF(B397="","",IF(AB397,0,ROUND(AL397,2)))</f>
        <v/>
      </c>
      <c r="W397" s="7">
        <f>IF(B397="","",IF(AB397,0,MIN(5,ROUND(AL397+AM397,2))))</f>
        <v/>
      </c>
      <c r="X397" s="8">
        <f>IF(B397="","",IF(W397&gt;=5,"A+",IF(W397&gt;=4,"A",IF(W397&gt;=3.5,"A-",IF(W397&gt;=3,"B",IF(W397&gt;=2,"C",IF(W397&gt;=1,"D","F")))))))</f>
        <v/>
      </c>
      <c r="Y397">
        <f>NOT(OR(AND(J397&gt;=10,K397&gt;=23,L397&gt;=10,M397&gt;=23),AND(J397+L397&gt;=20,K397+M397&gt;=46)))</f>
        <v/>
      </c>
      <c r="Z397">
        <f>OR(N397&lt;10,O397&lt;23)</f>
        <v/>
      </c>
      <c r="AA397">
        <f>OR(P397&lt;10,Q397&lt;23)</f>
        <v/>
      </c>
      <c r="AB397">
        <f>OR((C397+D397)&lt;66,(E397+F397)&lt;66,G397&lt;33,(H397+I397)&lt;66,Y397,Z397,AA397,R397&lt;8.25)</f>
        <v/>
      </c>
      <c r="AC397">
        <f>IF(C397+D397&lt;66,0,IF((C397+D397)/2&gt;=80,5,IF((C397+D397)/2&gt;=70,4,IF((C397+D397)/2&gt;=60,3.5,IF((C397+D397)/2&gt;=50,3,IF((C397+D397)/2&gt;=40,2,IF((C397+D397)/2&gt;=33,1,0)))))))</f>
        <v/>
      </c>
      <c r="AD397">
        <f>IF(E397+F397&lt;66,0,IF((E397+F397)/2&gt;=80,5,IF((E397+F397)/2&gt;=70,4,IF((E397+F397)/2&gt;=60,3.5,IF((E397+F397)/2&gt;=50,3,IF((E397+F397)/2&gt;=40,2,IF((E397+F397)/2&gt;=33,1,0)))))))</f>
        <v/>
      </c>
      <c r="AE397">
        <f>IF(G397&lt;33,0,IF(G397&gt;=80,5,IF(G397&gt;=70,4,IF(G397&gt;=60,3.5,IF(G397&gt;=50,3,IF(G397&gt;=40,2,IF(G397&gt;=33,1,0)))))))</f>
        <v/>
      </c>
      <c r="AF397">
        <f>IF(H397+I397&lt;66,0,IF((H397+I397)/2&gt;=80,5,IF((H397+I397)/2&gt;=70,4,IF((H397+I397)/2&gt;=60,3.5,IF((H397+I397)/2&gt;=50,3,IF((H397+I397)/2&gt;=40,2,IF((H397+I397)/2&gt;=33,1,0)))))))</f>
        <v/>
      </c>
      <c r="AG397">
        <f>IF(Y397,0,IF((J397+K397+L397+M397)/2&gt;=80,5,IF((J397+K397+L397+M397)/2&gt;=70,4,IF((J397+K397+L397+M397)/2&gt;=60,3.5,IF((J397+K397+L397+M397)/2&gt;=50,3,IF((J397+K397+L397+M397)/2&gt;=40,2,IF((J397+K397+L397+M397)/2&gt;=33,1,0)))))))</f>
        <v/>
      </c>
      <c r="AH397">
        <f>IF(Z397,0,IF(N397+O397&gt;=80,5,IF(N397+O397&gt;=70,4,IF(N397+O397&gt;=60,3.5,IF(N397+O397&gt;=50,3,IF(N397+O397&gt;=40,2,IF(N397+O397&gt;=33,1,0)))))))</f>
        <v/>
      </c>
      <c r="AI397">
        <f>IF(AA397,0,IF(P397+Q397&gt;=80,5,IF(P397+Q397&gt;=70,4,IF(P397+Q397&gt;=60,3.5,IF(P397+Q397&gt;=50,3,IF(P397+Q397&gt;=40,2,IF(P397+Q397&gt;=33,1,0)))))))</f>
        <v/>
      </c>
      <c r="AJ397">
        <f>IF(R397&lt;8.25,0,IF(R397*2&gt;=80,5,IF(R397*2&gt;=70,4,IF(R397*2&gt;=60,3.5,IF(R397*2&gt;=50,3,IF(R397*2&gt;=40,2,IF(R397*2&gt;=33,1,0)))))))</f>
        <v/>
      </c>
      <c r="AK397">
        <f>IF(S397&lt;33,0,IF(S397&gt;=80,5,IF(S397&gt;=70,4,IF(S397&gt;=60,3.5,IF(S397&gt;=50,3,IF(S397&gt;=40,2,IF(S397&gt;=33,1,0)))))))</f>
        <v/>
      </c>
      <c r="AL397">
        <f>(AC397+AD397+AE397+AF397+AG397+AH397+AI397+AJ397)/8</f>
        <v/>
      </c>
      <c r="AM397">
        <f>IF(AK397&gt;=2,(AK397-2)/8,0)</f>
        <v/>
      </c>
    </row>
    <row r="398">
      <c r="T398">
        <f>SUM(C398:R398)</f>
        <v/>
      </c>
      <c r="U398" s="6">
        <f>ROUND(T398/11.5,2)</f>
        <v/>
      </c>
      <c r="V398" s="7">
        <f>IF(B398="","",IF(AB398,0,ROUND(AL398,2)))</f>
        <v/>
      </c>
      <c r="W398" s="7">
        <f>IF(B398="","",IF(AB398,0,MIN(5,ROUND(AL398+AM398,2))))</f>
        <v/>
      </c>
      <c r="X398" s="8">
        <f>IF(B398="","",IF(W398&gt;=5,"A+",IF(W398&gt;=4,"A",IF(W398&gt;=3.5,"A-",IF(W398&gt;=3,"B",IF(W398&gt;=2,"C",IF(W398&gt;=1,"D","F")))))))</f>
        <v/>
      </c>
      <c r="Y398">
        <f>NOT(OR(AND(J398&gt;=10,K398&gt;=23,L398&gt;=10,M398&gt;=23),AND(J398+L398&gt;=20,K398+M398&gt;=46)))</f>
        <v/>
      </c>
      <c r="Z398">
        <f>OR(N398&lt;10,O398&lt;23)</f>
        <v/>
      </c>
      <c r="AA398">
        <f>OR(P398&lt;10,Q398&lt;23)</f>
        <v/>
      </c>
      <c r="AB398">
        <f>OR((C398+D398)&lt;66,(E398+F398)&lt;66,G398&lt;33,(H398+I398)&lt;66,Y398,Z398,AA398,R398&lt;8.25)</f>
        <v/>
      </c>
      <c r="AC398">
        <f>IF(C398+D398&lt;66,0,IF((C398+D398)/2&gt;=80,5,IF((C398+D398)/2&gt;=70,4,IF((C398+D398)/2&gt;=60,3.5,IF((C398+D398)/2&gt;=50,3,IF((C398+D398)/2&gt;=40,2,IF((C398+D398)/2&gt;=33,1,0)))))))</f>
        <v/>
      </c>
      <c r="AD398">
        <f>IF(E398+F398&lt;66,0,IF((E398+F398)/2&gt;=80,5,IF((E398+F398)/2&gt;=70,4,IF((E398+F398)/2&gt;=60,3.5,IF((E398+F398)/2&gt;=50,3,IF((E398+F398)/2&gt;=40,2,IF((E398+F398)/2&gt;=33,1,0)))))))</f>
        <v/>
      </c>
      <c r="AE398">
        <f>IF(G398&lt;33,0,IF(G398&gt;=80,5,IF(G398&gt;=70,4,IF(G398&gt;=60,3.5,IF(G398&gt;=50,3,IF(G398&gt;=40,2,IF(G398&gt;=33,1,0)))))))</f>
        <v/>
      </c>
      <c r="AF398">
        <f>IF(H398+I398&lt;66,0,IF((H398+I398)/2&gt;=80,5,IF((H398+I398)/2&gt;=70,4,IF((H398+I398)/2&gt;=60,3.5,IF((H398+I398)/2&gt;=50,3,IF((H398+I398)/2&gt;=40,2,IF((H398+I398)/2&gt;=33,1,0)))))))</f>
        <v/>
      </c>
      <c r="AG398">
        <f>IF(Y398,0,IF((J398+K398+L398+M398)/2&gt;=80,5,IF((J398+K398+L398+M398)/2&gt;=70,4,IF((J398+K398+L398+M398)/2&gt;=60,3.5,IF((J398+K398+L398+M398)/2&gt;=50,3,IF((J398+K398+L398+M398)/2&gt;=40,2,IF((J398+K398+L398+M398)/2&gt;=33,1,0)))))))</f>
        <v/>
      </c>
      <c r="AH398">
        <f>IF(Z398,0,IF(N398+O398&gt;=80,5,IF(N398+O398&gt;=70,4,IF(N398+O398&gt;=60,3.5,IF(N398+O398&gt;=50,3,IF(N398+O398&gt;=40,2,IF(N398+O398&gt;=33,1,0)))))))</f>
        <v/>
      </c>
      <c r="AI398">
        <f>IF(AA398,0,IF(P398+Q398&gt;=80,5,IF(P398+Q398&gt;=70,4,IF(P398+Q398&gt;=60,3.5,IF(P398+Q398&gt;=50,3,IF(P398+Q398&gt;=40,2,IF(P398+Q398&gt;=33,1,0)))))))</f>
        <v/>
      </c>
      <c r="AJ398">
        <f>IF(R398&lt;8.25,0,IF(R398*2&gt;=80,5,IF(R398*2&gt;=70,4,IF(R398*2&gt;=60,3.5,IF(R398*2&gt;=50,3,IF(R398*2&gt;=40,2,IF(R398*2&gt;=33,1,0)))))))</f>
        <v/>
      </c>
      <c r="AK398">
        <f>IF(S398&lt;33,0,IF(S398&gt;=80,5,IF(S398&gt;=70,4,IF(S398&gt;=60,3.5,IF(S398&gt;=50,3,IF(S398&gt;=40,2,IF(S398&gt;=33,1,0)))))))</f>
        <v/>
      </c>
      <c r="AL398">
        <f>(AC398+AD398+AE398+AF398+AG398+AH398+AI398+AJ398)/8</f>
        <v/>
      </c>
      <c r="AM398">
        <f>IF(AK398&gt;=2,(AK398-2)/8,0)</f>
        <v/>
      </c>
    </row>
    <row r="399">
      <c r="T399">
        <f>SUM(C399:R399)</f>
        <v/>
      </c>
      <c r="U399" s="6">
        <f>ROUND(T399/11.5,2)</f>
        <v/>
      </c>
      <c r="V399" s="7">
        <f>IF(B399="","",IF(AB399,0,ROUND(AL399,2)))</f>
        <v/>
      </c>
      <c r="W399" s="7">
        <f>IF(B399="","",IF(AB399,0,MIN(5,ROUND(AL399+AM399,2))))</f>
        <v/>
      </c>
      <c r="X399" s="8">
        <f>IF(B399="","",IF(W399&gt;=5,"A+",IF(W399&gt;=4,"A",IF(W399&gt;=3.5,"A-",IF(W399&gt;=3,"B",IF(W399&gt;=2,"C",IF(W399&gt;=1,"D","F")))))))</f>
        <v/>
      </c>
      <c r="Y399">
        <f>NOT(OR(AND(J399&gt;=10,K399&gt;=23,L399&gt;=10,M399&gt;=23),AND(J399+L399&gt;=20,K399+M399&gt;=46)))</f>
        <v/>
      </c>
      <c r="Z399">
        <f>OR(N399&lt;10,O399&lt;23)</f>
        <v/>
      </c>
      <c r="AA399">
        <f>OR(P399&lt;10,Q399&lt;23)</f>
        <v/>
      </c>
      <c r="AB399">
        <f>OR((C399+D399)&lt;66,(E399+F399)&lt;66,G399&lt;33,(H399+I399)&lt;66,Y399,Z399,AA399,R399&lt;8.25)</f>
        <v/>
      </c>
      <c r="AC399">
        <f>IF(C399+D399&lt;66,0,IF((C399+D399)/2&gt;=80,5,IF((C399+D399)/2&gt;=70,4,IF((C399+D399)/2&gt;=60,3.5,IF((C399+D399)/2&gt;=50,3,IF((C399+D399)/2&gt;=40,2,IF((C399+D399)/2&gt;=33,1,0)))))))</f>
        <v/>
      </c>
      <c r="AD399">
        <f>IF(E399+F399&lt;66,0,IF((E399+F399)/2&gt;=80,5,IF((E399+F399)/2&gt;=70,4,IF((E399+F399)/2&gt;=60,3.5,IF((E399+F399)/2&gt;=50,3,IF((E399+F399)/2&gt;=40,2,IF((E399+F399)/2&gt;=33,1,0)))))))</f>
        <v/>
      </c>
      <c r="AE399">
        <f>IF(G399&lt;33,0,IF(G399&gt;=80,5,IF(G399&gt;=70,4,IF(G399&gt;=60,3.5,IF(G399&gt;=50,3,IF(G399&gt;=40,2,IF(G399&gt;=33,1,0)))))))</f>
        <v/>
      </c>
      <c r="AF399">
        <f>IF(H399+I399&lt;66,0,IF((H399+I399)/2&gt;=80,5,IF((H399+I399)/2&gt;=70,4,IF((H399+I399)/2&gt;=60,3.5,IF((H399+I399)/2&gt;=50,3,IF((H399+I399)/2&gt;=40,2,IF((H399+I399)/2&gt;=33,1,0)))))))</f>
        <v/>
      </c>
      <c r="AG399">
        <f>IF(Y399,0,IF((J399+K399+L399+M399)/2&gt;=80,5,IF((J399+K399+L399+M399)/2&gt;=70,4,IF((J399+K399+L399+M399)/2&gt;=60,3.5,IF((J399+K399+L399+M399)/2&gt;=50,3,IF((J399+K399+L399+M399)/2&gt;=40,2,IF((J399+K399+L399+M399)/2&gt;=33,1,0)))))))</f>
        <v/>
      </c>
      <c r="AH399">
        <f>IF(Z399,0,IF(N399+O399&gt;=80,5,IF(N399+O399&gt;=70,4,IF(N399+O399&gt;=60,3.5,IF(N399+O399&gt;=50,3,IF(N399+O399&gt;=40,2,IF(N399+O399&gt;=33,1,0)))))))</f>
        <v/>
      </c>
      <c r="AI399">
        <f>IF(AA399,0,IF(P399+Q399&gt;=80,5,IF(P399+Q399&gt;=70,4,IF(P399+Q399&gt;=60,3.5,IF(P399+Q399&gt;=50,3,IF(P399+Q399&gt;=40,2,IF(P399+Q399&gt;=33,1,0)))))))</f>
        <v/>
      </c>
      <c r="AJ399">
        <f>IF(R399&lt;8.25,0,IF(R399*2&gt;=80,5,IF(R399*2&gt;=70,4,IF(R399*2&gt;=60,3.5,IF(R399*2&gt;=50,3,IF(R399*2&gt;=40,2,IF(R399*2&gt;=33,1,0)))))))</f>
        <v/>
      </c>
      <c r="AK399">
        <f>IF(S399&lt;33,0,IF(S399&gt;=80,5,IF(S399&gt;=70,4,IF(S399&gt;=60,3.5,IF(S399&gt;=50,3,IF(S399&gt;=40,2,IF(S399&gt;=33,1,0)))))))</f>
        <v/>
      </c>
      <c r="AL399">
        <f>(AC399+AD399+AE399+AF399+AG399+AH399+AI399+AJ399)/8</f>
        <v/>
      </c>
      <c r="AM399">
        <f>IF(AK399&gt;=2,(AK399-2)/8,0)</f>
        <v/>
      </c>
    </row>
    <row r="400">
      <c r="T400">
        <f>SUM(C400:R400)</f>
        <v/>
      </c>
      <c r="U400" s="6">
        <f>ROUND(T400/11.5,2)</f>
        <v/>
      </c>
      <c r="V400" s="7">
        <f>IF(B400="","",IF(AB400,0,ROUND(AL400,2)))</f>
        <v/>
      </c>
      <c r="W400" s="7">
        <f>IF(B400="","",IF(AB400,0,MIN(5,ROUND(AL400+AM400,2))))</f>
        <v/>
      </c>
      <c r="X400" s="8">
        <f>IF(B400="","",IF(W400&gt;=5,"A+",IF(W400&gt;=4,"A",IF(W400&gt;=3.5,"A-",IF(W400&gt;=3,"B",IF(W400&gt;=2,"C",IF(W400&gt;=1,"D","F")))))))</f>
        <v/>
      </c>
      <c r="Y400">
        <f>NOT(OR(AND(J400&gt;=10,K400&gt;=23,L400&gt;=10,M400&gt;=23),AND(J400+L400&gt;=20,K400+M400&gt;=46)))</f>
        <v/>
      </c>
      <c r="Z400">
        <f>OR(N400&lt;10,O400&lt;23)</f>
        <v/>
      </c>
      <c r="AA400">
        <f>OR(P400&lt;10,Q400&lt;23)</f>
        <v/>
      </c>
      <c r="AB400">
        <f>OR((C400+D400)&lt;66,(E400+F400)&lt;66,G400&lt;33,(H400+I400)&lt;66,Y400,Z400,AA400,R400&lt;8.25)</f>
        <v/>
      </c>
      <c r="AC400">
        <f>IF(C400+D400&lt;66,0,IF((C400+D400)/2&gt;=80,5,IF((C400+D400)/2&gt;=70,4,IF((C400+D400)/2&gt;=60,3.5,IF((C400+D400)/2&gt;=50,3,IF((C400+D400)/2&gt;=40,2,IF((C400+D400)/2&gt;=33,1,0)))))))</f>
        <v/>
      </c>
      <c r="AD400">
        <f>IF(E400+F400&lt;66,0,IF((E400+F400)/2&gt;=80,5,IF((E400+F400)/2&gt;=70,4,IF((E400+F400)/2&gt;=60,3.5,IF((E400+F400)/2&gt;=50,3,IF((E400+F400)/2&gt;=40,2,IF((E400+F400)/2&gt;=33,1,0)))))))</f>
        <v/>
      </c>
      <c r="AE400">
        <f>IF(G400&lt;33,0,IF(G400&gt;=80,5,IF(G400&gt;=70,4,IF(G400&gt;=60,3.5,IF(G400&gt;=50,3,IF(G400&gt;=40,2,IF(G400&gt;=33,1,0)))))))</f>
        <v/>
      </c>
      <c r="AF400">
        <f>IF(H400+I400&lt;66,0,IF((H400+I400)/2&gt;=80,5,IF((H400+I400)/2&gt;=70,4,IF((H400+I400)/2&gt;=60,3.5,IF((H400+I400)/2&gt;=50,3,IF((H400+I400)/2&gt;=40,2,IF((H400+I400)/2&gt;=33,1,0)))))))</f>
        <v/>
      </c>
      <c r="AG400">
        <f>IF(Y400,0,IF((J400+K400+L400+M400)/2&gt;=80,5,IF((J400+K400+L400+M400)/2&gt;=70,4,IF((J400+K400+L400+M400)/2&gt;=60,3.5,IF((J400+K400+L400+M400)/2&gt;=50,3,IF((J400+K400+L400+M400)/2&gt;=40,2,IF((J400+K400+L400+M400)/2&gt;=33,1,0)))))))</f>
        <v/>
      </c>
      <c r="AH400">
        <f>IF(Z400,0,IF(N400+O400&gt;=80,5,IF(N400+O400&gt;=70,4,IF(N400+O400&gt;=60,3.5,IF(N400+O400&gt;=50,3,IF(N400+O400&gt;=40,2,IF(N400+O400&gt;=33,1,0)))))))</f>
        <v/>
      </c>
      <c r="AI400">
        <f>IF(AA400,0,IF(P400+Q400&gt;=80,5,IF(P400+Q400&gt;=70,4,IF(P400+Q400&gt;=60,3.5,IF(P400+Q400&gt;=50,3,IF(P400+Q400&gt;=40,2,IF(P400+Q400&gt;=33,1,0)))))))</f>
        <v/>
      </c>
      <c r="AJ400">
        <f>IF(R400&lt;8.25,0,IF(R400*2&gt;=80,5,IF(R400*2&gt;=70,4,IF(R400*2&gt;=60,3.5,IF(R400*2&gt;=50,3,IF(R400*2&gt;=40,2,IF(R400*2&gt;=33,1,0)))))))</f>
        <v/>
      </c>
      <c r="AK400">
        <f>IF(S400&lt;33,0,IF(S400&gt;=80,5,IF(S400&gt;=70,4,IF(S400&gt;=60,3.5,IF(S400&gt;=50,3,IF(S400&gt;=40,2,IF(S400&gt;=33,1,0)))))))</f>
        <v/>
      </c>
      <c r="AL400">
        <f>(AC400+AD400+AE400+AF400+AG400+AH400+AI400+AJ400)/8</f>
        <v/>
      </c>
      <c r="AM400">
        <f>IF(AK400&gt;=2,(AK400-2)/8,0)</f>
        <v/>
      </c>
    </row>
    <row r="401">
      <c r="T401">
        <f>SUM(C401:R401)</f>
        <v/>
      </c>
      <c r="U401" s="6">
        <f>ROUND(T401/11.5,2)</f>
        <v/>
      </c>
      <c r="V401" s="7">
        <f>IF(B401="","",IF(AB401,0,ROUND(AL401,2)))</f>
        <v/>
      </c>
      <c r="W401" s="7">
        <f>IF(B401="","",IF(AB401,0,MIN(5,ROUND(AL401+AM401,2))))</f>
        <v/>
      </c>
      <c r="X401" s="8">
        <f>IF(B401="","",IF(W401&gt;=5,"A+",IF(W401&gt;=4,"A",IF(W401&gt;=3.5,"A-",IF(W401&gt;=3,"B",IF(W401&gt;=2,"C",IF(W401&gt;=1,"D","F")))))))</f>
        <v/>
      </c>
      <c r="Y401">
        <f>NOT(OR(AND(J401&gt;=10,K401&gt;=23,L401&gt;=10,M401&gt;=23),AND(J401+L401&gt;=20,K401+M401&gt;=46)))</f>
        <v/>
      </c>
      <c r="Z401">
        <f>OR(N401&lt;10,O401&lt;23)</f>
        <v/>
      </c>
      <c r="AA401">
        <f>OR(P401&lt;10,Q401&lt;23)</f>
        <v/>
      </c>
      <c r="AB401">
        <f>OR((C401+D401)&lt;66,(E401+F401)&lt;66,G401&lt;33,(H401+I401)&lt;66,Y401,Z401,AA401,R401&lt;8.25)</f>
        <v/>
      </c>
      <c r="AC401">
        <f>IF(C401+D401&lt;66,0,IF((C401+D401)/2&gt;=80,5,IF((C401+D401)/2&gt;=70,4,IF((C401+D401)/2&gt;=60,3.5,IF((C401+D401)/2&gt;=50,3,IF((C401+D401)/2&gt;=40,2,IF((C401+D401)/2&gt;=33,1,0)))))))</f>
        <v/>
      </c>
      <c r="AD401">
        <f>IF(E401+F401&lt;66,0,IF((E401+F401)/2&gt;=80,5,IF((E401+F401)/2&gt;=70,4,IF((E401+F401)/2&gt;=60,3.5,IF((E401+F401)/2&gt;=50,3,IF((E401+F401)/2&gt;=40,2,IF((E401+F401)/2&gt;=33,1,0)))))))</f>
        <v/>
      </c>
      <c r="AE401">
        <f>IF(G401&lt;33,0,IF(G401&gt;=80,5,IF(G401&gt;=70,4,IF(G401&gt;=60,3.5,IF(G401&gt;=50,3,IF(G401&gt;=40,2,IF(G401&gt;=33,1,0)))))))</f>
        <v/>
      </c>
      <c r="AF401">
        <f>IF(H401+I401&lt;66,0,IF((H401+I401)/2&gt;=80,5,IF((H401+I401)/2&gt;=70,4,IF((H401+I401)/2&gt;=60,3.5,IF((H401+I401)/2&gt;=50,3,IF((H401+I401)/2&gt;=40,2,IF((H401+I401)/2&gt;=33,1,0)))))))</f>
        <v/>
      </c>
      <c r="AG401">
        <f>IF(Y401,0,IF((J401+K401+L401+M401)/2&gt;=80,5,IF((J401+K401+L401+M401)/2&gt;=70,4,IF((J401+K401+L401+M401)/2&gt;=60,3.5,IF((J401+K401+L401+M401)/2&gt;=50,3,IF((J401+K401+L401+M401)/2&gt;=40,2,IF((J401+K401+L401+M401)/2&gt;=33,1,0)))))))</f>
        <v/>
      </c>
      <c r="AH401">
        <f>IF(Z401,0,IF(N401+O401&gt;=80,5,IF(N401+O401&gt;=70,4,IF(N401+O401&gt;=60,3.5,IF(N401+O401&gt;=50,3,IF(N401+O401&gt;=40,2,IF(N401+O401&gt;=33,1,0)))))))</f>
        <v/>
      </c>
      <c r="AI401">
        <f>IF(AA401,0,IF(P401+Q401&gt;=80,5,IF(P401+Q401&gt;=70,4,IF(P401+Q401&gt;=60,3.5,IF(P401+Q401&gt;=50,3,IF(P401+Q401&gt;=40,2,IF(P401+Q401&gt;=33,1,0)))))))</f>
        <v/>
      </c>
      <c r="AJ401">
        <f>IF(R401&lt;8.25,0,IF(R401*2&gt;=80,5,IF(R401*2&gt;=70,4,IF(R401*2&gt;=60,3.5,IF(R401*2&gt;=50,3,IF(R401*2&gt;=40,2,IF(R401*2&gt;=33,1,0)))))))</f>
        <v/>
      </c>
      <c r="AK401">
        <f>IF(S401&lt;33,0,IF(S401&gt;=80,5,IF(S401&gt;=70,4,IF(S401&gt;=60,3.5,IF(S401&gt;=50,3,IF(S401&gt;=40,2,IF(S401&gt;=33,1,0)))))))</f>
        <v/>
      </c>
      <c r="AL401">
        <f>(AC401+AD401+AE401+AF401+AG401+AH401+AI401+AJ401)/8</f>
        <v/>
      </c>
      <c r="AM401">
        <f>IF(AK401&gt;=2,(AK401-2)/8,0)</f>
        <v/>
      </c>
    </row>
    <row r="402">
      <c r="T402">
        <f>SUM(C402:R402)</f>
        <v/>
      </c>
      <c r="U402" s="6">
        <f>ROUND(T402/11.5,2)</f>
        <v/>
      </c>
      <c r="V402" s="7">
        <f>IF(B402="","",IF(AB402,0,ROUND(AL402,2)))</f>
        <v/>
      </c>
      <c r="W402" s="7">
        <f>IF(B402="","",IF(AB402,0,MIN(5,ROUND(AL402+AM402,2))))</f>
        <v/>
      </c>
      <c r="X402" s="8">
        <f>IF(B402="","",IF(W402&gt;=5,"A+",IF(W402&gt;=4,"A",IF(W402&gt;=3.5,"A-",IF(W402&gt;=3,"B",IF(W402&gt;=2,"C",IF(W402&gt;=1,"D","F")))))))</f>
        <v/>
      </c>
      <c r="Y402">
        <f>NOT(OR(AND(J402&gt;=10,K402&gt;=23,L402&gt;=10,M402&gt;=23),AND(J402+L402&gt;=20,K402+M402&gt;=46)))</f>
        <v/>
      </c>
      <c r="Z402">
        <f>OR(N402&lt;10,O402&lt;23)</f>
        <v/>
      </c>
      <c r="AA402">
        <f>OR(P402&lt;10,Q402&lt;23)</f>
        <v/>
      </c>
      <c r="AB402">
        <f>OR((C402+D402)&lt;66,(E402+F402)&lt;66,G402&lt;33,(H402+I402)&lt;66,Y402,Z402,AA402,R402&lt;8.25)</f>
        <v/>
      </c>
      <c r="AC402">
        <f>IF(C402+D402&lt;66,0,IF((C402+D402)/2&gt;=80,5,IF((C402+D402)/2&gt;=70,4,IF((C402+D402)/2&gt;=60,3.5,IF((C402+D402)/2&gt;=50,3,IF((C402+D402)/2&gt;=40,2,IF((C402+D402)/2&gt;=33,1,0)))))))</f>
        <v/>
      </c>
      <c r="AD402">
        <f>IF(E402+F402&lt;66,0,IF((E402+F402)/2&gt;=80,5,IF((E402+F402)/2&gt;=70,4,IF((E402+F402)/2&gt;=60,3.5,IF((E402+F402)/2&gt;=50,3,IF((E402+F402)/2&gt;=40,2,IF((E402+F402)/2&gt;=33,1,0)))))))</f>
        <v/>
      </c>
      <c r="AE402">
        <f>IF(G402&lt;33,0,IF(G402&gt;=80,5,IF(G402&gt;=70,4,IF(G402&gt;=60,3.5,IF(G402&gt;=50,3,IF(G402&gt;=40,2,IF(G402&gt;=33,1,0)))))))</f>
        <v/>
      </c>
      <c r="AF402">
        <f>IF(H402+I402&lt;66,0,IF((H402+I402)/2&gt;=80,5,IF((H402+I402)/2&gt;=70,4,IF((H402+I402)/2&gt;=60,3.5,IF((H402+I402)/2&gt;=50,3,IF((H402+I402)/2&gt;=40,2,IF((H402+I402)/2&gt;=33,1,0)))))))</f>
        <v/>
      </c>
      <c r="AG402">
        <f>IF(Y402,0,IF((J402+K402+L402+M402)/2&gt;=80,5,IF((J402+K402+L402+M402)/2&gt;=70,4,IF((J402+K402+L402+M402)/2&gt;=60,3.5,IF((J402+K402+L402+M402)/2&gt;=50,3,IF((J402+K402+L402+M402)/2&gt;=40,2,IF((J402+K402+L402+M402)/2&gt;=33,1,0)))))))</f>
        <v/>
      </c>
      <c r="AH402">
        <f>IF(Z402,0,IF(N402+O402&gt;=80,5,IF(N402+O402&gt;=70,4,IF(N402+O402&gt;=60,3.5,IF(N402+O402&gt;=50,3,IF(N402+O402&gt;=40,2,IF(N402+O402&gt;=33,1,0)))))))</f>
        <v/>
      </c>
      <c r="AI402">
        <f>IF(AA402,0,IF(P402+Q402&gt;=80,5,IF(P402+Q402&gt;=70,4,IF(P402+Q402&gt;=60,3.5,IF(P402+Q402&gt;=50,3,IF(P402+Q402&gt;=40,2,IF(P402+Q402&gt;=33,1,0)))))))</f>
        <v/>
      </c>
      <c r="AJ402">
        <f>IF(R402&lt;8.25,0,IF(R402*2&gt;=80,5,IF(R402*2&gt;=70,4,IF(R402*2&gt;=60,3.5,IF(R402*2&gt;=50,3,IF(R402*2&gt;=40,2,IF(R402*2&gt;=33,1,0)))))))</f>
        <v/>
      </c>
      <c r="AK402">
        <f>IF(S402&lt;33,0,IF(S402&gt;=80,5,IF(S402&gt;=70,4,IF(S402&gt;=60,3.5,IF(S402&gt;=50,3,IF(S402&gt;=40,2,IF(S402&gt;=33,1,0)))))))</f>
        <v/>
      </c>
      <c r="AL402">
        <f>(AC402+AD402+AE402+AF402+AG402+AH402+AI402+AJ402)/8</f>
        <v/>
      </c>
      <c r="AM402">
        <f>IF(AK402&gt;=2,(AK402-2)/8,0)</f>
        <v/>
      </c>
    </row>
    <row r="403">
      <c r="T403">
        <f>SUM(C403:R403)</f>
        <v/>
      </c>
      <c r="U403" s="6">
        <f>ROUND(T403/11.5,2)</f>
        <v/>
      </c>
      <c r="V403" s="7">
        <f>IF(B403="","",IF(AB403,0,ROUND(AL403,2)))</f>
        <v/>
      </c>
      <c r="W403" s="7">
        <f>IF(B403="","",IF(AB403,0,MIN(5,ROUND(AL403+AM403,2))))</f>
        <v/>
      </c>
      <c r="X403" s="8">
        <f>IF(B403="","",IF(W403&gt;=5,"A+",IF(W403&gt;=4,"A",IF(W403&gt;=3.5,"A-",IF(W403&gt;=3,"B",IF(W403&gt;=2,"C",IF(W403&gt;=1,"D","F")))))))</f>
        <v/>
      </c>
      <c r="Y403">
        <f>NOT(OR(AND(J403&gt;=10,K403&gt;=23,L403&gt;=10,M403&gt;=23),AND(J403+L403&gt;=20,K403+M403&gt;=46)))</f>
        <v/>
      </c>
      <c r="Z403">
        <f>OR(N403&lt;10,O403&lt;23)</f>
        <v/>
      </c>
      <c r="AA403">
        <f>OR(P403&lt;10,Q403&lt;23)</f>
        <v/>
      </c>
      <c r="AB403">
        <f>OR((C403+D403)&lt;66,(E403+F403)&lt;66,G403&lt;33,(H403+I403)&lt;66,Y403,Z403,AA403,R403&lt;8.25)</f>
        <v/>
      </c>
      <c r="AC403">
        <f>IF(C403+D403&lt;66,0,IF((C403+D403)/2&gt;=80,5,IF((C403+D403)/2&gt;=70,4,IF((C403+D403)/2&gt;=60,3.5,IF((C403+D403)/2&gt;=50,3,IF((C403+D403)/2&gt;=40,2,IF((C403+D403)/2&gt;=33,1,0)))))))</f>
        <v/>
      </c>
      <c r="AD403">
        <f>IF(E403+F403&lt;66,0,IF((E403+F403)/2&gt;=80,5,IF((E403+F403)/2&gt;=70,4,IF((E403+F403)/2&gt;=60,3.5,IF((E403+F403)/2&gt;=50,3,IF((E403+F403)/2&gt;=40,2,IF((E403+F403)/2&gt;=33,1,0)))))))</f>
        <v/>
      </c>
      <c r="AE403">
        <f>IF(G403&lt;33,0,IF(G403&gt;=80,5,IF(G403&gt;=70,4,IF(G403&gt;=60,3.5,IF(G403&gt;=50,3,IF(G403&gt;=40,2,IF(G403&gt;=33,1,0)))))))</f>
        <v/>
      </c>
      <c r="AF403">
        <f>IF(H403+I403&lt;66,0,IF((H403+I403)/2&gt;=80,5,IF((H403+I403)/2&gt;=70,4,IF((H403+I403)/2&gt;=60,3.5,IF((H403+I403)/2&gt;=50,3,IF((H403+I403)/2&gt;=40,2,IF((H403+I403)/2&gt;=33,1,0)))))))</f>
        <v/>
      </c>
      <c r="AG403">
        <f>IF(Y403,0,IF((J403+K403+L403+M403)/2&gt;=80,5,IF((J403+K403+L403+M403)/2&gt;=70,4,IF((J403+K403+L403+M403)/2&gt;=60,3.5,IF((J403+K403+L403+M403)/2&gt;=50,3,IF((J403+K403+L403+M403)/2&gt;=40,2,IF((J403+K403+L403+M403)/2&gt;=33,1,0)))))))</f>
        <v/>
      </c>
      <c r="AH403">
        <f>IF(Z403,0,IF(N403+O403&gt;=80,5,IF(N403+O403&gt;=70,4,IF(N403+O403&gt;=60,3.5,IF(N403+O403&gt;=50,3,IF(N403+O403&gt;=40,2,IF(N403+O403&gt;=33,1,0)))))))</f>
        <v/>
      </c>
      <c r="AI403">
        <f>IF(AA403,0,IF(P403+Q403&gt;=80,5,IF(P403+Q403&gt;=70,4,IF(P403+Q403&gt;=60,3.5,IF(P403+Q403&gt;=50,3,IF(P403+Q403&gt;=40,2,IF(P403+Q403&gt;=33,1,0)))))))</f>
        <v/>
      </c>
      <c r="AJ403">
        <f>IF(R403&lt;8.25,0,IF(R403*2&gt;=80,5,IF(R403*2&gt;=70,4,IF(R403*2&gt;=60,3.5,IF(R403*2&gt;=50,3,IF(R403*2&gt;=40,2,IF(R403*2&gt;=33,1,0)))))))</f>
        <v/>
      </c>
      <c r="AK403">
        <f>IF(S403&lt;33,0,IF(S403&gt;=80,5,IF(S403&gt;=70,4,IF(S403&gt;=60,3.5,IF(S403&gt;=50,3,IF(S403&gt;=40,2,IF(S403&gt;=33,1,0)))))))</f>
        <v/>
      </c>
      <c r="AL403">
        <f>(AC403+AD403+AE403+AF403+AG403+AH403+AI403+AJ403)/8</f>
        <v/>
      </c>
      <c r="AM403">
        <f>IF(AK403&gt;=2,(AK403-2)/8,0)</f>
        <v/>
      </c>
    </row>
    <row r="404">
      <c r="T404">
        <f>SUM(C404:R404)</f>
        <v/>
      </c>
      <c r="U404" s="6">
        <f>ROUND(T404/11.5,2)</f>
        <v/>
      </c>
      <c r="V404" s="7">
        <f>IF(B404="","",IF(AB404,0,ROUND(AL404,2)))</f>
        <v/>
      </c>
      <c r="W404" s="7">
        <f>IF(B404="","",IF(AB404,0,MIN(5,ROUND(AL404+AM404,2))))</f>
        <v/>
      </c>
      <c r="X404" s="8">
        <f>IF(B404="","",IF(W404&gt;=5,"A+",IF(W404&gt;=4,"A",IF(W404&gt;=3.5,"A-",IF(W404&gt;=3,"B",IF(W404&gt;=2,"C",IF(W404&gt;=1,"D","F")))))))</f>
        <v/>
      </c>
      <c r="Y404">
        <f>NOT(OR(AND(J404&gt;=10,K404&gt;=23,L404&gt;=10,M404&gt;=23),AND(J404+L404&gt;=20,K404+M404&gt;=46)))</f>
        <v/>
      </c>
      <c r="Z404">
        <f>OR(N404&lt;10,O404&lt;23)</f>
        <v/>
      </c>
      <c r="AA404">
        <f>OR(P404&lt;10,Q404&lt;23)</f>
        <v/>
      </c>
      <c r="AB404">
        <f>OR((C404+D404)&lt;66,(E404+F404)&lt;66,G404&lt;33,(H404+I404)&lt;66,Y404,Z404,AA404,R404&lt;8.25)</f>
        <v/>
      </c>
      <c r="AC404">
        <f>IF(C404+D404&lt;66,0,IF((C404+D404)/2&gt;=80,5,IF((C404+D404)/2&gt;=70,4,IF((C404+D404)/2&gt;=60,3.5,IF((C404+D404)/2&gt;=50,3,IF((C404+D404)/2&gt;=40,2,IF((C404+D404)/2&gt;=33,1,0)))))))</f>
        <v/>
      </c>
      <c r="AD404">
        <f>IF(E404+F404&lt;66,0,IF((E404+F404)/2&gt;=80,5,IF((E404+F404)/2&gt;=70,4,IF((E404+F404)/2&gt;=60,3.5,IF((E404+F404)/2&gt;=50,3,IF((E404+F404)/2&gt;=40,2,IF((E404+F404)/2&gt;=33,1,0)))))))</f>
        <v/>
      </c>
      <c r="AE404">
        <f>IF(G404&lt;33,0,IF(G404&gt;=80,5,IF(G404&gt;=70,4,IF(G404&gt;=60,3.5,IF(G404&gt;=50,3,IF(G404&gt;=40,2,IF(G404&gt;=33,1,0)))))))</f>
        <v/>
      </c>
      <c r="AF404">
        <f>IF(H404+I404&lt;66,0,IF((H404+I404)/2&gt;=80,5,IF((H404+I404)/2&gt;=70,4,IF((H404+I404)/2&gt;=60,3.5,IF((H404+I404)/2&gt;=50,3,IF((H404+I404)/2&gt;=40,2,IF((H404+I404)/2&gt;=33,1,0)))))))</f>
        <v/>
      </c>
      <c r="AG404">
        <f>IF(Y404,0,IF((J404+K404+L404+M404)/2&gt;=80,5,IF((J404+K404+L404+M404)/2&gt;=70,4,IF((J404+K404+L404+M404)/2&gt;=60,3.5,IF((J404+K404+L404+M404)/2&gt;=50,3,IF((J404+K404+L404+M404)/2&gt;=40,2,IF((J404+K404+L404+M404)/2&gt;=33,1,0)))))))</f>
        <v/>
      </c>
      <c r="AH404">
        <f>IF(Z404,0,IF(N404+O404&gt;=80,5,IF(N404+O404&gt;=70,4,IF(N404+O404&gt;=60,3.5,IF(N404+O404&gt;=50,3,IF(N404+O404&gt;=40,2,IF(N404+O404&gt;=33,1,0)))))))</f>
        <v/>
      </c>
      <c r="AI404">
        <f>IF(AA404,0,IF(P404+Q404&gt;=80,5,IF(P404+Q404&gt;=70,4,IF(P404+Q404&gt;=60,3.5,IF(P404+Q404&gt;=50,3,IF(P404+Q404&gt;=40,2,IF(P404+Q404&gt;=33,1,0)))))))</f>
        <v/>
      </c>
      <c r="AJ404">
        <f>IF(R404&lt;8.25,0,IF(R404*2&gt;=80,5,IF(R404*2&gt;=70,4,IF(R404*2&gt;=60,3.5,IF(R404*2&gt;=50,3,IF(R404*2&gt;=40,2,IF(R404*2&gt;=33,1,0)))))))</f>
        <v/>
      </c>
      <c r="AK404">
        <f>IF(S404&lt;33,0,IF(S404&gt;=80,5,IF(S404&gt;=70,4,IF(S404&gt;=60,3.5,IF(S404&gt;=50,3,IF(S404&gt;=40,2,IF(S404&gt;=33,1,0)))))))</f>
        <v/>
      </c>
      <c r="AL404">
        <f>(AC404+AD404+AE404+AF404+AG404+AH404+AI404+AJ404)/8</f>
        <v/>
      </c>
      <c r="AM404">
        <f>IF(AK404&gt;=2,(AK404-2)/8,0)</f>
        <v/>
      </c>
    </row>
    <row r="405">
      <c r="T405">
        <f>SUM(C405:R405)</f>
        <v/>
      </c>
      <c r="U405" s="6">
        <f>ROUND(T405/11.5,2)</f>
        <v/>
      </c>
      <c r="V405" s="7">
        <f>IF(B405="","",IF(AB405,0,ROUND(AL405,2)))</f>
        <v/>
      </c>
      <c r="W405" s="7">
        <f>IF(B405="","",IF(AB405,0,MIN(5,ROUND(AL405+AM405,2))))</f>
        <v/>
      </c>
      <c r="X405" s="8">
        <f>IF(B405="","",IF(W405&gt;=5,"A+",IF(W405&gt;=4,"A",IF(W405&gt;=3.5,"A-",IF(W405&gt;=3,"B",IF(W405&gt;=2,"C",IF(W405&gt;=1,"D","F")))))))</f>
        <v/>
      </c>
      <c r="Y405">
        <f>NOT(OR(AND(J405&gt;=10,K405&gt;=23,L405&gt;=10,M405&gt;=23),AND(J405+L405&gt;=20,K405+M405&gt;=46)))</f>
        <v/>
      </c>
      <c r="Z405">
        <f>OR(N405&lt;10,O405&lt;23)</f>
        <v/>
      </c>
      <c r="AA405">
        <f>OR(P405&lt;10,Q405&lt;23)</f>
        <v/>
      </c>
      <c r="AB405">
        <f>OR((C405+D405)&lt;66,(E405+F405)&lt;66,G405&lt;33,(H405+I405)&lt;66,Y405,Z405,AA405,R405&lt;8.25)</f>
        <v/>
      </c>
      <c r="AC405">
        <f>IF(C405+D405&lt;66,0,IF((C405+D405)/2&gt;=80,5,IF((C405+D405)/2&gt;=70,4,IF((C405+D405)/2&gt;=60,3.5,IF((C405+D405)/2&gt;=50,3,IF((C405+D405)/2&gt;=40,2,IF((C405+D405)/2&gt;=33,1,0)))))))</f>
        <v/>
      </c>
      <c r="AD405">
        <f>IF(E405+F405&lt;66,0,IF((E405+F405)/2&gt;=80,5,IF((E405+F405)/2&gt;=70,4,IF((E405+F405)/2&gt;=60,3.5,IF((E405+F405)/2&gt;=50,3,IF((E405+F405)/2&gt;=40,2,IF((E405+F405)/2&gt;=33,1,0)))))))</f>
        <v/>
      </c>
      <c r="AE405">
        <f>IF(G405&lt;33,0,IF(G405&gt;=80,5,IF(G405&gt;=70,4,IF(G405&gt;=60,3.5,IF(G405&gt;=50,3,IF(G405&gt;=40,2,IF(G405&gt;=33,1,0)))))))</f>
        <v/>
      </c>
      <c r="AF405">
        <f>IF(H405+I405&lt;66,0,IF((H405+I405)/2&gt;=80,5,IF((H405+I405)/2&gt;=70,4,IF((H405+I405)/2&gt;=60,3.5,IF((H405+I405)/2&gt;=50,3,IF((H405+I405)/2&gt;=40,2,IF((H405+I405)/2&gt;=33,1,0)))))))</f>
        <v/>
      </c>
      <c r="AG405">
        <f>IF(Y405,0,IF((J405+K405+L405+M405)/2&gt;=80,5,IF((J405+K405+L405+M405)/2&gt;=70,4,IF((J405+K405+L405+M405)/2&gt;=60,3.5,IF((J405+K405+L405+M405)/2&gt;=50,3,IF((J405+K405+L405+M405)/2&gt;=40,2,IF((J405+K405+L405+M405)/2&gt;=33,1,0)))))))</f>
        <v/>
      </c>
      <c r="AH405">
        <f>IF(Z405,0,IF(N405+O405&gt;=80,5,IF(N405+O405&gt;=70,4,IF(N405+O405&gt;=60,3.5,IF(N405+O405&gt;=50,3,IF(N405+O405&gt;=40,2,IF(N405+O405&gt;=33,1,0)))))))</f>
        <v/>
      </c>
      <c r="AI405">
        <f>IF(AA405,0,IF(P405+Q405&gt;=80,5,IF(P405+Q405&gt;=70,4,IF(P405+Q405&gt;=60,3.5,IF(P405+Q405&gt;=50,3,IF(P405+Q405&gt;=40,2,IF(P405+Q405&gt;=33,1,0)))))))</f>
        <v/>
      </c>
      <c r="AJ405">
        <f>IF(R405&lt;8.25,0,IF(R405*2&gt;=80,5,IF(R405*2&gt;=70,4,IF(R405*2&gt;=60,3.5,IF(R405*2&gt;=50,3,IF(R405*2&gt;=40,2,IF(R405*2&gt;=33,1,0)))))))</f>
        <v/>
      </c>
      <c r="AK405">
        <f>IF(S405&lt;33,0,IF(S405&gt;=80,5,IF(S405&gt;=70,4,IF(S405&gt;=60,3.5,IF(S405&gt;=50,3,IF(S405&gt;=40,2,IF(S405&gt;=33,1,0)))))))</f>
        <v/>
      </c>
      <c r="AL405">
        <f>(AC405+AD405+AE405+AF405+AG405+AH405+AI405+AJ405)/8</f>
        <v/>
      </c>
      <c r="AM405">
        <f>IF(AK405&gt;=2,(AK405-2)/8,0)</f>
        <v/>
      </c>
    </row>
    <row r="406">
      <c r="T406">
        <f>SUM(C406:R406)</f>
        <v/>
      </c>
      <c r="U406" s="6">
        <f>ROUND(T406/11.5,2)</f>
        <v/>
      </c>
      <c r="V406" s="7">
        <f>IF(B406="","",IF(AB406,0,ROUND(AL406,2)))</f>
        <v/>
      </c>
      <c r="W406" s="7">
        <f>IF(B406="","",IF(AB406,0,MIN(5,ROUND(AL406+AM406,2))))</f>
        <v/>
      </c>
      <c r="X406" s="8">
        <f>IF(B406="","",IF(W406&gt;=5,"A+",IF(W406&gt;=4,"A",IF(W406&gt;=3.5,"A-",IF(W406&gt;=3,"B",IF(W406&gt;=2,"C",IF(W406&gt;=1,"D","F")))))))</f>
        <v/>
      </c>
      <c r="Y406">
        <f>NOT(OR(AND(J406&gt;=10,K406&gt;=23,L406&gt;=10,M406&gt;=23),AND(J406+L406&gt;=20,K406+M406&gt;=46)))</f>
        <v/>
      </c>
      <c r="Z406">
        <f>OR(N406&lt;10,O406&lt;23)</f>
        <v/>
      </c>
      <c r="AA406">
        <f>OR(P406&lt;10,Q406&lt;23)</f>
        <v/>
      </c>
      <c r="AB406">
        <f>OR((C406+D406)&lt;66,(E406+F406)&lt;66,G406&lt;33,(H406+I406)&lt;66,Y406,Z406,AA406,R406&lt;8.25)</f>
        <v/>
      </c>
      <c r="AC406">
        <f>IF(C406+D406&lt;66,0,IF((C406+D406)/2&gt;=80,5,IF((C406+D406)/2&gt;=70,4,IF((C406+D406)/2&gt;=60,3.5,IF((C406+D406)/2&gt;=50,3,IF((C406+D406)/2&gt;=40,2,IF((C406+D406)/2&gt;=33,1,0)))))))</f>
        <v/>
      </c>
      <c r="AD406">
        <f>IF(E406+F406&lt;66,0,IF((E406+F406)/2&gt;=80,5,IF((E406+F406)/2&gt;=70,4,IF((E406+F406)/2&gt;=60,3.5,IF((E406+F406)/2&gt;=50,3,IF((E406+F406)/2&gt;=40,2,IF((E406+F406)/2&gt;=33,1,0)))))))</f>
        <v/>
      </c>
      <c r="AE406">
        <f>IF(G406&lt;33,0,IF(G406&gt;=80,5,IF(G406&gt;=70,4,IF(G406&gt;=60,3.5,IF(G406&gt;=50,3,IF(G406&gt;=40,2,IF(G406&gt;=33,1,0)))))))</f>
        <v/>
      </c>
      <c r="AF406">
        <f>IF(H406+I406&lt;66,0,IF((H406+I406)/2&gt;=80,5,IF((H406+I406)/2&gt;=70,4,IF((H406+I406)/2&gt;=60,3.5,IF((H406+I406)/2&gt;=50,3,IF((H406+I406)/2&gt;=40,2,IF((H406+I406)/2&gt;=33,1,0)))))))</f>
        <v/>
      </c>
      <c r="AG406">
        <f>IF(Y406,0,IF((J406+K406+L406+M406)/2&gt;=80,5,IF((J406+K406+L406+M406)/2&gt;=70,4,IF((J406+K406+L406+M406)/2&gt;=60,3.5,IF((J406+K406+L406+M406)/2&gt;=50,3,IF((J406+K406+L406+M406)/2&gt;=40,2,IF((J406+K406+L406+M406)/2&gt;=33,1,0)))))))</f>
        <v/>
      </c>
      <c r="AH406">
        <f>IF(Z406,0,IF(N406+O406&gt;=80,5,IF(N406+O406&gt;=70,4,IF(N406+O406&gt;=60,3.5,IF(N406+O406&gt;=50,3,IF(N406+O406&gt;=40,2,IF(N406+O406&gt;=33,1,0)))))))</f>
        <v/>
      </c>
      <c r="AI406">
        <f>IF(AA406,0,IF(P406+Q406&gt;=80,5,IF(P406+Q406&gt;=70,4,IF(P406+Q406&gt;=60,3.5,IF(P406+Q406&gt;=50,3,IF(P406+Q406&gt;=40,2,IF(P406+Q406&gt;=33,1,0)))))))</f>
        <v/>
      </c>
      <c r="AJ406">
        <f>IF(R406&lt;8.25,0,IF(R406*2&gt;=80,5,IF(R406*2&gt;=70,4,IF(R406*2&gt;=60,3.5,IF(R406*2&gt;=50,3,IF(R406*2&gt;=40,2,IF(R406*2&gt;=33,1,0)))))))</f>
        <v/>
      </c>
      <c r="AK406">
        <f>IF(S406&lt;33,0,IF(S406&gt;=80,5,IF(S406&gt;=70,4,IF(S406&gt;=60,3.5,IF(S406&gt;=50,3,IF(S406&gt;=40,2,IF(S406&gt;=33,1,0)))))))</f>
        <v/>
      </c>
      <c r="AL406">
        <f>(AC406+AD406+AE406+AF406+AG406+AH406+AI406+AJ406)/8</f>
        <v/>
      </c>
      <c r="AM406">
        <f>IF(AK406&gt;=2,(AK406-2)/8,0)</f>
        <v/>
      </c>
    </row>
    <row r="407">
      <c r="T407">
        <f>SUM(C407:R407)</f>
        <v/>
      </c>
      <c r="U407" s="6">
        <f>ROUND(T407/11.5,2)</f>
        <v/>
      </c>
      <c r="V407" s="7">
        <f>IF(B407="","",IF(AB407,0,ROUND(AL407,2)))</f>
        <v/>
      </c>
      <c r="W407" s="7">
        <f>IF(B407="","",IF(AB407,0,MIN(5,ROUND(AL407+AM407,2))))</f>
        <v/>
      </c>
      <c r="X407" s="8">
        <f>IF(B407="","",IF(W407&gt;=5,"A+",IF(W407&gt;=4,"A",IF(W407&gt;=3.5,"A-",IF(W407&gt;=3,"B",IF(W407&gt;=2,"C",IF(W407&gt;=1,"D","F")))))))</f>
        <v/>
      </c>
      <c r="Y407">
        <f>NOT(OR(AND(J407&gt;=10,K407&gt;=23,L407&gt;=10,M407&gt;=23),AND(J407+L407&gt;=20,K407+M407&gt;=46)))</f>
        <v/>
      </c>
      <c r="Z407">
        <f>OR(N407&lt;10,O407&lt;23)</f>
        <v/>
      </c>
      <c r="AA407">
        <f>OR(P407&lt;10,Q407&lt;23)</f>
        <v/>
      </c>
      <c r="AB407">
        <f>OR((C407+D407)&lt;66,(E407+F407)&lt;66,G407&lt;33,(H407+I407)&lt;66,Y407,Z407,AA407,R407&lt;8.25)</f>
        <v/>
      </c>
      <c r="AC407">
        <f>IF(C407+D407&lt;66,0,IF((C407+D407)/2&gt;=80,5,IF((C407+D407)/2&gt;=70,4,IF((C407+D407)/2&gt;=60,3.5,IF((C407+D407)/2&gt;=50,3,IF((C407+D407)/2&gt;=40,2,IF((C407+D407)/2&gt;=33,1,0)))))))</f>
        <v/>
      </c>
      <c r="AD407">
        <f>IF(E407+F407&lt;66,0,IF((E407+F407)/2&gt;=80,5,IF((E407+F407)/2&gt;=70,4,IF((E407+F407)/2&gt;=60,3.5,IF((E407+F407)/2&gt;=50,3,IF((E407+F407)/2&gt;=40,2,IF((E407+F407)/2&gt;=33,1,0)))))))</f>
        <v/>
      </c>
      <c r="AE407">
        <f>IF(G407&lt;33,0,IF(G407&gt;=80,5,IF(G407&gt;=70,4,IF(G407&gt;=60,3.5,IF(G407&gt;=50,3,IF(G407&gt;=40,2,IF(G407&gt;=33,1,0)))))))</f>
        <v/>
      </c>
      <c r="AF407">
        <f>IF(H407+I407&lt;66,0,IF((H407+I407)/2&gt;=80,5,IF((H407+I407)/2&gt;=70,4,IF((H407+I407)/2&gt;=60,3.5,IF((H407+I407)/2&gt;=50,3,IF((H407+I407)/2&gt;=40,2,IF((H407+I407)/2&gt;=33,1,0)))))))</f>
        <v/>
      </c>
      <c r="AG407">
        <f>IF(Y407,0,IF((J407+K407+L407+M407)/2&gt;=80,5,IF((J407+K407+L407+M407)/2&gt;=70,4,IF((J407+K407+L407+M407)/2&gt;=60,3.5,IF((J407+K407+L407+M407)/2&gt;=50,3,IF((J407+K407+L407+M407)/2&gt;=40,2,IF((J407+K407+L407+M407)/2&gt;=33,1,0)))))))</f>
        <v/>
      </c>
      <c r="AH407">
        <f>IF(Z407,0,IF(N407+O407&gt;=80,5,IF(N407+O407&gt;=70,4,IF(N407+O407&gt;=60,3.5,IF(N407+O407&gt;=50,3,IF(N407+O407&gt;=40,2,IF(N407+O407&gt;=33,1,0)))))))</f>
        <v/>
      </c>
      <c r="AI407">
        <f>IF(AA407,0,IF(P407+Q407&gt;=80,5,IF(P407+Q407&gt;=70,4,IF(P407+Q407&gt;=60,3.5,IF(P407+Q407&gt;=50,3,IF(P407+Q407&gt;=40,2,IF(P407+Q407&gt;=33,1,0)))))))</f>
        <v/>
      </c>
      <c r="AJ407">
        <f>IF(R407&lt;8.25,0,IF(R407*2&gt;=80,5,IF(R407*2&gt;=70,4,IF(R407*2&gt;=60,3.5,IF(R407*2&gt;=50,3,IF(R407*2&gt;=40,2,IF(R407*2&gt;=33,1,0)))))))</f>
        <v/>
      </c>
      <c r="AK407">
        <f>IF(S407&lt;33,0,IF(S407&gt;=80,5,IF(S407&gt;=70,4,IF(S407&gt;=60,3.5,IF(S407&gt;=50,3,IF(S407&gt;=40,2,IF(S407&gt;=33,1,0)))))))</f>
        <v/>
      </c>
      <c r="AL407">
        <f>(AC407+AD407+AE407+AF407+AG407+AH407+AI407+AJ407)/8</f>
        <v/>
      </c>
      <c r="AM407">
        <f>IF(AK407&gt;=2,(AK407-2)/8,0)</f>
        <v/>
      </c>
    </row>
    <row r="408">
      <c r="T408">
        <f>SUM(C408:R408)</f>
        <v/>
      </c>
      <c r="U408" s="6">
        <f>ROUND(T408/11.5,2)</f>
        <v/>
      </c>
      <c r="V408" s="7">
        <f>IF(B408="","",IF(AB408,0,ROUND(AL408,2)))</f>
        <v/>
      </c>
      <c r="W408" s="7">
        <f>IF(B408="","",IF(AB408,0,MIN(5,ROUND(AL408+AM408,2))))</f>
        <v/>
      </c>
      <c r="X408" s="8">
        <f>IF(B408="","",IF(W408&gt;=5,"A+",IF(W408&gt;=4,"A",IF(W408&gt;=3.5,"A-",IF(W408&gt;=3,"B",IF(W408&gt;=2,"C",IF(W408&gt;=1,"D","F")))))))</f>
        <v/>
      </c>
      <c r="Y408">
        <f>NOT(OR(AND(J408&gt;=10,K408&gt;=23,L408&gt;=10,M408&gt;=23),AND(J408+L408&gt;=20,K408+M408&gt;=46)))</f>
        <v/>
      </c>
      <c r="Z408">
        <f>OR(N408&lt;10,O408&lt;23)</f>
        <v/>
      </c>
      <c r="AA408">
        <f>OR(P408&lt;10,Q408&lt;23)</f>
        <v/>
      </c>
      <c r="AB408">
        <f>OR((C408+D408)&lt;66,(E408+F408)&lt;66,G408&lt;33,(H408+I408)&lt;66,Y408,Z408,AA408,R408&lt;8.25)</f>
        <v/>
      </c>
      <c r="AC408">
        <f>IF(C408+D408&lt;66,0,IF((C408+D408)/2&gt;=80,5,IF((C408+D408)/2&gt;=70,4,IF((C408+D408)/2&gt;=60,3.5,IF((C408+D408)/2&gt;=50,3,IF((C408+D408)/2&gt;=40,2,IF((C408+D408)/2&gt;=33,1,0)))))))</f>
        <v/>
      </c>
      <c r="AD408">
        <f>IF(E408+F408&lt;66,0,IF((E408+F408)/2&gt;=80,5,IF((E408+F408)/2&gt;=70,4,IF((E408+F408)/2&gt;=60,3.5,IF((E408+F408)/2&gt;=50,3,IF((E408+F408)/2&gt;=40,2,IF((E408+F408)/2&gt;=33,1,0)))))))</f>
        <v/>
      </c>
      <c r="AE408">
        <f>IF(G408&lt;33,0,IF(G408&gt;=80,5,IF(G408&gt;=70,4,IF(G408&gt;=60,3.5,IF(G408&gt;=50,3,IF(G408&gt;=40,2,IF(G408&gt;=33,1,0)))))))</f>
        <v/>
      </c>
      <c r="AF408">
        <f>IF(H408+I408&lt;66,0,IF((H408+I408)/2&gt;=80,5,IF((H408+I408)/2&gt;=70,4,IF((H408+I408)/2&gt;=60,3.5,IF((H408+I408)/2&gt;=50,3,IF((H408+I408)/2&gt;=40,2,IF((H408+I408)/2&gt;=33,1,0)))))))</f>
        <v/>
      </c>
      <c r="AG408">
        <f>IF(Y408,0,IF((J408+K408+L408+M408)/2&gt;=80,5,IF((J408+K408+L408+M408)/2&gt;=70,4,IF((J408+K408+L408+M408)/2&gt;=60,3.5,IF((J408+K408+L408+M408)/2&gt;=50,3,IF((J408+K408+L408+M408)/2&gt;=40,2,IF((J408+K408+L408+M408)/2&gt;=33,1,0)))))))</f>
        <v/>
      </c>
      <c r="AH408">
        <f>IF(Z408,0,IF(N408+O408&gt;=80,5,IF(N408+O408&gt;=70,4,IF(N408+O408&gt;=60,3.5,IF(N408+O408&gt;=50,3,IF(N408+O408&gt;=40,2,IF(N408+O408&gt;=33,1,0)))))))</f>
        <v/>
      </c>
      <c r="AI408">
        <f>IF(AA408,0,IF(P408+Q408&gt;=80,5,IF(P408+Q408&gt;=70,4,IF(P408+Q408&gt;=60,3.5,IF(P408+Q408&gt;=50,3,IF(P408+Q408&gt;=40,2,IF(P408+Q408&gt;=33,1,0)))))))</f>
        <v/>
      </c>
      <c r="AJ408">
        <f>IF(R408&lt;8.25,0,IF(R408*2&gt;=80,5,IF(R408*2&gt;=70,4,IF(R408*2&gt;=60,3.5,IF(R408*2&gt;=50,3,IF(R408*2&gt;=40,2,IF(R408*2&gt;=33,1,0)))))))</f>
        <v/>
      </c>
      <c r="AK408">
        <f>IF(S408&lt;33,0,IF(S408&gt;=80,5,IF(S408&gt;=70,4,IF(S408&gt;=60,3.5,IF(S408&gt;=50,3,IF(S408&gt;=40,2,IF(S408&gt;=33,1,0)))))))</f>
        <v/>
      </c>
      <c r="AL408">
        <f>(AC408+AD408+AE408+AF408+AG408+AH408+AI408+AJ408)/8</f>
        <v/>
      </c>
      <c r="AM408">
        <f>IF(AK408&gt;=2,(AK408-2)/8,0)</f>
        <v/>
      </c>
    </row>
    <row r="409">
      <c r="T409">
        <f>SUM(C409:R409)</f>
        <v/>
      </c>
      <c r="U409" s="6">
        <f>ROUND(T409/11.5,2)</f>
        <v/>
      </c>
      <c r="V409" s="7">
        <f>IF(B409="","",IF(AB409,0,ROUND(AL409,2)))</f>
        <v/>
      </c>
      <c r="W409" s="7">
        <f>IF(B409="","",IF(AB409,0,MIN(5,ROUND(AL409+AM409,2))))</f>
        <v/>
      </c>
      <c r="X409" s="8">
        <f>IF(B409="","",IF(W409&gt;=5,"A+",IF(W409&gt;=4,"A",IF(W409&gt;=3.5,"A-",IF(W409&gt;=3,"B",IF(W409&gt;=2,"C",IF(W409&gt;=1,"D","F")))))))</f>
        <v/>
      </c>
      <c r="Y409">
        <f>NOT(OR(AND(J409&gt;=10,K409&gt;=23,L409&gt;=10,M409&gt;=23),AND(J409+L409&gt;=20,K409+M409&gt;=46)))</f>
        <v/>
      </c>
      <c r="Z409">
        <f>OR(N409&lt;10,O409&lt;23)</f>
        <v/>
      </c>
      <c r="AA409">
        <f>OR(P409&lt;10,Q409&lt;23)</f>
        <v/>
      </c>
      <c r="AB409">
        <f>OR((C409+D409)&lt;66,(E409+F409)&lt;66,G409&lt;33,(H409+I409)&lt;66,Y409,Z409,AA409,R409&lt;8.25)</f>
        <v/>
      </c>
      <c r="AC409">
        <f>IF(C409+D409&lt;66,0,IF((C409+D409)/2&gt;=80,5,IF((C409+D409)/2&gt;=70,4,IF((C409+D409)/2&gt;=60,3.5,IF((C409+D409)/2&gt;=50,3,IF((C409+D409)/2&gt;=40,2,IF((C409+D409)/2&gt;=33,1,0)))))))</f>
        <v/>
      </c>
      <c r="AD409">
        <f>IF(E409+F409&lt;66,0,IF((E409+F409)/2&gt;=80,5,IF((E409+F409)/2&gt;=70,4,IF((E409+F409)/2&gt;=60,3.5,IF((E409+F409)/2&gt;=50,3,IF((E409+F409)/2&gt;=40,2,IF((E409+F409)/2&gt;=33,1,0)))))))</f>
        <v/>
      </c>
      <c r="AE409">
        <f>IF(G409&lt;33,0,IF(G409&gt;=80,5,IF(G409&gt;=70,4,IF(G409&gt;=60,3.5,IF(G409&gt;=50,3,IF(G409&gt;=40,2,IF(G409&gt;=33,1,0)))))))</f>
        <v/>
      </c>
      <c r="AF409">
        <f>IF(H409+I409&lt;66,0,IF((H409+I409)/2&gt;=80,5,IF((H409+I409)/2&gt;=70,4,IF((H409+I409)/2&gt;=60,3.5,IF((H409+I409)/2&gt;=50,3,IF((H409+I409)/2&gt;=40,2,IF((H409+I409)/2&gt;=33,1,0)))))))</f>
        <v/>
      </c>
      <c r="AG409">
        <f>IF(Y409,0,IF((J409+K409+L409+M409)/2&gt;=80,5,IF((J409+K409+L409+M409)/2&gt;=70,4,IF((J409+K409+L409+M409)/2&gt;=60,3.5,IF((J409+K409+L409+M409)/2&gt;=50,3,IF((J409+K409+L409+M409)/2&gt;=40,2,IF((J409+K409+L409+M409)/2&gt;=33,1,0)))))))</f>
        <v/>
      </c>
      <c r="AH409">
        <f>IF(Z409,0,IF(N409+O409&gt;=80,5,IF(N409+O409&gt;=70,4,IF(N409+O409&gt;=60,3.5,IF(N409+O409&gt;=50,3,IF(N409+O409&gt;=40,2,IF(N409+O409&gt;=33,1,0)))))))</f>
        <v/>
      </c>
      <c r="AI409">
        <f>IF(AA409,0,IF(P409+Q409&gt;=80,5,IF(P409+Q409&gt;=70,4,IF(P409+Q409&gt;=60,3.5,IF(P409+Q409&gt;=50,3,IF(P409+Q409&gt;=40,2,IF(P409+Q409&gt;=33,1,0)))))))</f>
        <v/>
      </c>
      <c r="AJ409">
        <f>IF(R409&lt;8.25,0,IF(R409*2&gt;=80,5,IF(R409*2&gt;=70,4,IF(R409*2&gt;=60,3.5,IF(R409*2&gt;=50,3,IF(R409*2&gt;=40,2,IF(R409*2&gt;=33,1,0)))))))</f>
        <v/>
      </c>
      <c r="AK409">
        <f>IF(S409&lt;33,0,IF(S409&gt;=80,5,IF(S409&gt;=70,4,IF(S409&gt;=60,3.5,IF(S409&gt;=50,3,IF(S409&gt;=40,2,IF(S409&gt;=33,1,0)))))))</f>
        <v/>
      </c>
      <c r="AL409">
        <f>(AC409+AD409+AE409+AF409+AG409+AH409+AI409+AJ409)/8</f>
        <v/>
      </c>
      <c r="AM409">
        <f>IF(AK409&gt;=2,(AK409-2)/8,0)</f>
        <v/>
      </c>
    </row>
    <row r="410">
      <c r="T410">
        <f>SUM(C410:R410)</f>
        <v/>
      </c>
      <c r="U410" s="6">
        <f>ROUND(T410/11.5,2)</f>
        <v/>
      </c>
      <c r="V410" s="7">
        <f>IF(B410="","",IF(AB410,0,ROUND(AL410,2)))</f>
        <v/>
      </c>
      <c r="W410" s="7">
        <f>IF(B410="","",IF(AB410,0,MIN(5,ROUND(AL410+AM410,2))))</f>
        <v/>
      </c>
      <c r="X410" s="8">
        <f>IF(B410="","",IF(W410&gt;=5,"A+",IF(W410&gt;=4,"A",IF(W410&gt;=3.5,"A-",IF(W410&gt;=3,"B",IF(W410&gt;=2,"C",IF(W410&gt;=1,"D","F")))))))</f>
        <v/>
      </c>
      <c r="Y410">
        <f>NOT(OR(AND(J410&gt;=10,K410&gt;=23,L410&gt;=10,M410&gt;=23),AND(J410+L410&gt;=20,K410+M410&gt;=46)))</f>
        <v/>
      </c>
      <c r="Z410">
        <f>OR(N410&lt;10,O410&lt;23)</f>
        <v/>
      </c>
      <c r="AA410">
        <f>OR(P410&lt;10,Q410&lt;23)</f>
        <v/>
      </c>
      <c r="AB410">
        <f>OR((C410+D410)&lt;66,(E410+F410)&lt;66,G410&lt;33,(H410+I410)&lt;66,Y410,Z410,AA410,R410&lt;8.25)</f>
        <v/>
      </c>
      <c r="AC410">
        <f>IF(C410+D410&lt;66,0,IF((C410+D410)/2&gt;=80,5,IF((C410+D410)/2&gt;=70,4,IF((C410+D410)/2&gt;=60,3.5,IF((C410+D410)/2&gt;=50,3,IF((C410+D410)/2&gt;=40,2,IF((C410+D410)/2&gt;=33,1,0)))))))</f>
        <v/>
      </c>
      <c r="AD410">
        <f>IF(E410+F410&lt;66,0,IF((E410+F410)/2&gt;=80,5,IF((E410+F410)/2&gt;=70,4,IF((E410+F410)/2&gt;=60,3.5,IF((E410+F410)/2&gt;=50,3,IF((E410+F410)/2&gt;=40,2,IF((E410+F410)/2&gt;=33,1,0)))))))</f>
        <v/>
      </c>
      <c r="AE410">
        <f>IF(G410&lt;33,0,IF(G410&gt;=80,5,IF(G410&gt;=70,4,IF(G410&gt;=60,3.5,IF(G410&gt;=50,3,IF(G410&gt;=40,2,IF(G410&gt;=33,1,0)))))))</f>
        <v/>
      </c>
      <c r="AF410">
        <f>IF(H410+I410&lt;66,0,IF((H410+I410)/2&gt;=80,5,IF((H410+I410)/2&gt;=70,4,IF((H410+I410)/2&gt;=60,3.5,IF((H410+I410)/2&gt;=50,3,IF((H410+I410)/2&gt;=40,2,IF((H410+I410)/2&gt;=33,1,0)))))))</f>
        <v/>
      </c>
      <c r="AG410">
        <f>IF(Y410,0,IF((J410+K410+L410+M410)/2&gt;=80,5,IF((J410+K410+L410+M410)/2&gt;=70,4,IF((J410+K410+L410+M410)/2&gt;=60,3.5,IF((J410+K410+L410+M410)/2&gt;=50,3,IF((J410+K410+L410+M410)/2&gt;=40,2,IF((J410+K410+L410+M410)/2&gt;=33,1,0)))))))</f>
        <v/>
      </c>
      <c r="AH410">
        <f>IF(Z410,0,IF(N410+O410&gt;=80,5,IF(N410+O410&gt;=70,4,IF(N410+O410&gt;=60,3.5,IF(N410+O410&gt;=50,3,IF(N410+O410&gt;=40,2,IF(N410+O410&gt;=33,1,0)))))))</f>
        <v/>
      </c>
      <c r="AI410">
        <f>IF(AA410,0,IF(P410+Q410&gt;=80,5,IF(P410+Q410&gt;=70,4,IF(P410+Q410&gt;=60,3.5,IF(P410+Q410&gt;=50,3,IF(P410+Q410&gt;=40,2,IF(P410+Q410&gt;=33,1,0)))))))</f>
        <v/>
      </c>
      <c r="AJ410">
        <f>IF(R410&lt;8.25,0,IF(R410*2&gt;=80,5,IF(R410*2&gt;=70,4,IF(R410*2&gt;=60,3.5,IF(R410*2&gt;=50,3,IF(R410*2&gt;=40,2,IF(R410*2&gt;=33,1,0)))))))</f>
        <v/>
      </c>
      <c r="AK410">
        <f>IF(S410&lt;33,0,IF(S410&gt;=80,5,IF(S410&gt;=70,4,IF(S410&gt;=60,3.5,IF(S410&gt;=50,3,IF(S410&gt;=40,2,IF(S410&gt;=33,1,0)))))))</f>
        <v/>
      </c>
      <c r="AL410">
        <f>(AC410+AD410+AE410+AF410+AG410+AH410+AI410+AJ410)/8</f>
        <v/>
      </c>
      <c r="AM410">
        <f>IF(AK410&gt;=2,(AK410-2)/8,0)</f>
        <v/>
      </c>
    </row>
    <row r="411">
      <c r="T411">
        <f>SUM(C411:R411)</f>
        <v/>
      </c>
      <c r="U411" s="6">
        <f>ROUND(T411/11.5,2)</f>
        <v/>
      </c>
      <c r="V411" s="7">
        <f>IF(B411="","",IF(AB411,0,ROUND(AL411,2)))</f>
        <v/>
      </c>
      <c r="W411" s="7">
        <f>IF(B411="","",IF(AB411,0,MIN(5,ROUND(AL411+AM411,2))))</f>
        <v/>
      </c>
      <c r="X411" s="8">
        <f>IF(B411="","",IF(W411&gt;=5,"A+",IF(W411&gt;=4,"A",IF(W411&gt;=3.5,"A-",IF(W411&gt;=3,"B",IF(W411&gt;=2,"C",IF(W411&gt;=1,"D","F")))))))</f>
        <v/>
      </c>
      <c r="Y411">
        <f>NOT(OR(AND(J411&gt;=10,K411&gt;=23,L411&gt;=10,M411&gt;=23),AND(J411+L411&gt;=20,K411+M411&gt;=46)))</f>
        <v/>
      </c>
      <c r="Z411">
        <f>OR(N411&lt;10,O411&lt;23)</f>
        <v/>
      </c>
      <c r="AA411">
        <f>OR(P411&lt;10,Q411&lt;23)</f>
        <v/>
      </c>
      <c r="AB411">
        <f>OR((C411+D411)&lt;66,(E411+F411)&lt;66,G411&lt;33,(H411+I411)&lt;66,Y411,Z411,AA411,R411&lt;8.25)</f>
        <v/>
      </c>
      <c r="AC411">
        <f>IF(C411+D411&lt;66,0,IF((C411+D411)/2&gt;=80,5,IF((C411+D411)/2&gt;=70,4,IF((C411+D411)/2&gt;=60,3.5,IF((C411+D411)/2&gt;=50,3,IF((C411+D411)/2&gt;=40,2,IF((C411+D411)/2&gt;=33,1,0)))))))</f>
        <v/>
      </c>
      <c r="AD411">
        <f>IF(E411+F411&lt;66,0,IF((E411+F411)/2&gt;=80,5,IF((E411+F411)/2&gt;=70,4,IF((E411+F411)/2&gt;=60,3.5,IF((E411+F411)/2&gt;=50,3,IF((E411+F411)/2&gt;=40,2,IF((E411+F411)/2&gt;=33,1,0)))))))</f>
        <v/>
      </c>
      <c r="AE411">
        <f>IF(G411&lt;33,0,IF(G411&gt;=80,5,IF(G411&gt;=70,4,IF(G411&gt;=60,3.5,IF(G411&gt;=50,3,IF(G411&gt;=40,2,IF(G411&gt;=33,1,0)))))))</f>
        <v/>
      </c>
      <c r="AF411">
        <f>IF(H411+I411&lt;66,0,IF((H411+I411)/2&gt;=80,5,IF((H411+I411)/2&gt;=70,4,IF((H411+I411)/2&gt;=60,3.5,IF((H411+I411)/2&gt;=50,3,IF((H411+I411)/2&gt;=40,2,IF((H411+I411)/2&gt;=33,1,0)))))))</f>
        <v/>
      </c>
      <c r="AG411">
        <f>IF(Y411,0,IF((J411+K411+L411+M411)/2&gt;=80,5,IF((J411+K411+L411+M411)/2&gt;=70,4,IF((J411+K411+L411+M411)/2&gt;=60,3.5,IF((J411+K411+L411+M411)/2&gt;=50,3,IF((J411+K411+L411+M411)/2&gt;=40,2,IF((J411+K411+L411+M411)/2&gt;=33,1,0)))))))</f>
        <v/>
      </c>
      <c r="AH411">
        <f>IF(Z411,0,IF(N411+O411&gt;=80,5,IF(N411+O411&gt;=70,4,IF(N411+O411&gt;=60,3.5,IF(N411+O411&gt;=50,3,IF(N411+O411&gt;=40,2,IF(N411+O411&gt;=33,1,0)))))))</f>
        <v/>
      </c>
      <c r="AI411">
        <f>IF(AA411,0,IF(P411+Q411&gt;=80,5,IF(P411+Q411&gt;=70,4,IF(P411+Q411&gt;=60,3.5,IF(P411+Q411&gt;=50,3,IF(P411+Q411&gt;=40,2,IF(P411+Q411&gt;=33,1,0)))))))</f>
        <v/>
      </c>
      <c r="AJ411">
        <f>IF(R411&lt;8.25,0,IF(R411*2&gt;=80,5,IF(R411*2&gt;=70,4,IF(R411*2&gt;=60,3.5,IF(R411*2&gt;=50,3,IF(R411*2&gt;=40,2,IF(R411*2&gt;=33,1,0)))))))</f>
        <v/>
      </c>
      <c r="AK411">
        <f>IF(S411&lt;33,0,IF(S411&gt;=80,5,IF(S411&gt;=70,4,IF(S411&gt;=60,3.5,IF(S411&gt;=50,3,IF(S411&gt;=40,2,IF(S411&gt;=33,1,0)))))))</f>
        <v/>
      </c>
      <c r="AL411">
        <f>(AC411+AD411+AE411+AF411+AG411+AH411+AI411+AJ411)/8</f>
        <v/>
      </c>
      <c r="AM411">
        <f>IF(AK411&gt;=2,(AK411-2)/8,0)</f>
        <v/>
      </c>
    </row>
    <row r="412">
      <c r="T412">
        <f>SUM(C412:R412)</f>
        <v/>
      </c>
      <c r="U412" s="6">
        <f>ROUND(T412/11.5,2)</f>
        <v/>
      </c>
      <c r="V412" s="7">
        <f>IF(B412="","",IF(AB412,0,ROUND(AL412,2)))</f>
        <v/>
      </c>
      <c r="W412" s="7">
        <f>IF(B412="","",IF(AB412,0,MIN(5,ROUND(AL412+AM412,2))))</f>
        <v/>
      </c>
      <c r="X412" s="8">
        <f>IF(B412="","",IF(W412&gt;=5,"A+",IF(W412&gt;=4,"A",IF(W412&gt;=3.5,"A-",IF(W412&gt;=3,"B",IF(W412&gt;=2,"C",IF(W412&gt;=1,"D","F")))))))</f>
        <v/>
      </c>
      <c r="Y412">
        <f>NOT(OR(AND(J412&gt;=10,K412&gt;=23,L412&gt;=10,M412&gt;=23),AND(J412+L412&gt;=20,K412+M412&gt;=46)))</f>
        <v/>
      </c>
      <c r="Z412">
        <f>OR(N412&lt;10,O412&lt;23)</f>
        <v/>
      </c>
      <c r="AA412">
        <f>OR(P412&lt;10,Q412&lt;23)</f>
        <v/>
      </c>
      <c r="AB412">
        <f>OR((C412+D412)&lt;66,(E412+F412)&lt;66,G412&lt;33,(H412+I412)&lt;66,Y412,Z412,AA412,R412&lt;8.25)</f>
        <v/>
      </c>
      <c r="AC412">
        <f>IF(C412+D412&lt;66,0,IF((C412+D412)/2&gt;=80,5,IF((C412+D412)/2&gt;=70,4,IF((C412+D412)/2&gt;=60,3.5,IF((C412+D412)/2&gt;=50,3,IF((C412+D412)/2&gt;=40,2,IF((C412+D412)/2&gt;=33,1,0)))))))</f>
        <v/>
      </c>
      <c r="AD412">
        <f>IF(E412+F412&lt;66,0,IF((E412+F412)/2&gt;=80,5,IF((E412+F412)/2&gt;=70,4,IF((E412+F412)/2&gt;=60,3.5,IF((E412+F412)/2&gt;=50,3,IF((E412+F412)/2&gt;=40,2,IF((E412+F412)/2&gt;=33,1,0)))))))</f>
        <v/>
      </c>
      <c r="AE412">
        <f>IF(G412&lt;33,0,IF(G412&gt;=80,5,IF(G412&gt;=70,4,IF(G412&gt;=60,3.5,IF(G412&gt;=50,3,IF(G412&gt;=40,2,IF(G412&gt;=33,1,0)))))))</f>
        <v/>
      </c>
      <c r="AF412">
        <f>IF(H412+I412&lt;66,0,IF((H412+I412)/2&gt;=80,5,IF((H412+I412)/2&gt;=70,4,IF((H412+I412)/2&gt;=60,3.5,IF((H412+I412)/2&gt;=50,3,IF((H412+I412)/2&gt;=40,2,IF((H412+I412)/2&gt;=33,1,0)))))))</f>
        <v/>
      </c>
      <c r="AG412">
        <f>IF(Y412,0,IF((J412+K412+L412+M412)/2&gt;=80,5,IF((J412+K412+L412+M412)/2&gt;=70,4,IF((J412+K412+L412+M412)/2&gt;=60,3.5,IF((J412+K412+L412+M412)/2&gt;=50,3,IF((J412+K412+L412+M412)/2&gt;=40,2,IF((J412+K412+L412+M412)/2&gt;=33,1,0)))))))</f>
        <v/>
      </c>
      <c r="AH412">
        <f>IF(Z412,0,IF(N412+O412&gt;=80,5,IF(N412+O412&gt;=70,4,IF(N412+O412&gt;=60,3.5,IF(N412+O412&gt;=50,3,IF(N412+O412&gt;=40,2,IF(N412+O412&gt;=33,1,0)))))))</f>
        <v/>
      </c>
      <c r="AI412">
        <f>IF(AA412,0,IF(P412+Q412&gt;=80,5,IF(P412+Q412&gt;=70,4,IF(P412+Q412&gt;=60,3.5,IF(P412+Q412&gt;=50,3,IF(P412+Q412&gt;=40,2,IF(P412+Q412&gt;=33,1,0)))))))</f>
        <v/>
      </c>
      <c r="AJ412">
        <f>IF(R412&lt;8.25,0,IF(R412*2&gt;=80,5,IF(R412*2&gt;=70,4,IF(R412*2&gt;=60,3.5,IF(R412*2&gt;=50,3,IF(R412*2&gt;=40,2,IF(R412*2&gt;=33,1,0)))))))</f>
        <v/>
      </c>
      <c r="AK412">
        <f>IF(S412&lt;33,0,IF(S412&gt;=80,5,IF(S412&gt;=70,4,IF(S412&gt;=60,3.5,IF(S412&gt;=50,3,IF(S412&gt;=40,2,IF(S412&gt;=33,1,0)))))))</f>
        <v/>
      </c>
      <c r="AL412">
        <f>(AC412+AD412+AE412+AF412+AG412+AH412+AI412+AJ412)/8</f>
        <v/>
      </c>
      <c r="AM412">
        <f>IF(AK412&gt;=2,(AK412-2)/8,0)</f>
        <v/>
      </c>
    </row>
    <row r="413">
      <c r="T413">
        <f>SUM(C413:R413)</f>
        <v/>
      </c>
      <c r="U413" s="6">
        <f>ROUND(T413/11.5,2)</f>
        <v/>
      </c>
      <c r="V413" s="7">
        <f>IF(B413="","",IF(AB413,0,ROUND(AL413,2)))</f>
        <v/>
      </c>
      <c r="W413" s="7">
        <f>IF(B413="","",IF(AB413,0,MIN(5,ROUND(AL413+AM413,2))))</f>
        <v/>
      </c>
      <c r="X413" s="8">
        <f>IF(B413="","",IF(W413&gt;=5,"A+",IF(W413&gt;=4,"A",IF(W413&gt;=3.5,"A-",IF(W413&gt;=3,"B",IF(W413&gt;=2,"C",IF(W413&gt;=1,"D","F")))))))</f>
        <v/>
      </c>
      <c r="Y413">
        <f>NOT(OR(AND(J413&gt;=10,K413&gt;=23,L413&gt;=10,M413&gt;=23),AND(J413+L413&gt;=20,K413+M413&gt;=46)))</f>
        <v/>
      </c>
      <c r="Z413">
        <f>OR(N413&lt;10,O413&lt;23)</f>
        <v/>
      </c>
      <c r="AA413">
        <f>OR(P413&lt;10,Q413&lt;23)</f>
        <v/>
      </c>
      <c r="AB413">
        <f>OR((C413+D413)&lt;66,(E413+F413)&lt;66,G413&lt;33,(H413+I413)&lt;66,Y413,Z413,AA413,R413&lt;8.25)</f>
        <v/>
      </c>
      <c r="AC413">
        <f>IF(C413+D413&lt;66,0,IF((C413+D413)/2&gt;=80,5,IF((C413+D413)/2&gt;=70,4,IF((C413+D413)/2&gt;=60,3.5,IF((C413+D413)/2&gt;=50,3,IF((C413+D413)/2&gt;=40,2,IF((C413+D413)/2&gt;=33,1,0)))))))</f>
        <v/>
      </c>
      <c r="AD413">
        <f>IF(E413+F413&lt;66,0,IF((E413+F413)/2&gt;=80,5,IF((E413+F413)/2&gt;=70,4,IF((E413+F413)/2&gt;=60,3.5,IF((E413+F413)/2&gt;=50,3,IF((E413+F413)/2&gt;=40,2,IF((E413+F413)/2&gt;=33,1,0)))))))</f>
        <v/>
      </c>
      <c r="AE413">
        <f>IF(G413&lt;33,0,IF(G413&gt;=80,5,IF(G413&gt;=70,4,IF(G413&gt;=60,3.5,IF(G413&gt;=50,3,IF(G413&gt;=40,2,IF(G413&gt;=33,1,0)))))))</f>
        <v/>
      </c>
      <c r="AF413">
        <f>IF(H413+I413&lt;66,0,IF((H413+I413)/2&gt;=80,5,IF((H413+I413)/2&gt;=70,4,IF((H413+I413)/2&gt;=60,3.5,IF((H413+I413)/2&gt;=50,3,IF((H413+I413)/2&gt;=40,2,IF((H413+I413)/2&gt;=33,1,0)))))))</f>
        <v/>
      </c>
      <c r="AG413">
        <f>IF(Y413,0,IF((J413+K413+L413+M413)/2&gt;=80,5,IF((J413+K413+L413+M413)/2&gt;=70,4,IF((J413+K413+L413+M413)/2&gt;=60,3.5,IF((J413+K413+L413+M413)/2&gt;=50,3,IF((J413+K413+L413+M413)/2&gt;=40,2,IF((J413+K413+L413+M413)/2&gt;=33,1,0)))))))</f>
        <v/>
      </c>
      <c r="AH413">
        <f>IF(Z413,0,IF(N413+O413&gt;=80,5,IF(N413+O413&gt;=70,4,IF(N413+O413&gt;=60,3.5,IF(N413+O413&gt;=50,3,IF(N413+O413&gt;=40,2,IF(N413+O413&gt;=33,1,0)))))))</f>
        <v/>
      </c>
      <c r="AI413">
        <f>IF(AA413,0,IF(P413+Q413&gt;=80,5,IF(P413+Q413&gt;=70,4,IF(P413+Q413&gt;=60,3.5,IF(P413+Q413&gt;=50,3,IF(P413+Q413&gt;=40,2,IF(P413+Q413&gt;=33,1,0)))))))</f>
        <v/>
      </c>
      <c r="AJ413">
        <f>IF(R413&lt;8.25,0,IF(R413*2&gt;=80,5,IF(R413*2&gt;=70,4,IF(R413*2&gt;=60,3.5,IF(R413*2&gt;=50,3,IF(R413*2&gt;=40,2,IF(R413*2&gt;=33,1,0)))))))</f>
        <v/>
      </c>
      <c r="AK413">
        <f>IF(S413&lt;33,0,IF(S413&gt;=80,5,IF(S413&gt;=70,4,IF(S413&gt;=60,3.5,IF(S413&gt;=50,3,IF(S413&gt;=40,2,IF(S413&gt;=33,1,0)))))))</f>
        <v/>
      </c>
      <c r="AL413">
        <f>(AC413+AD413+AE413+AF413+AG413+AH413+AI413+AJ413)/8</f>
        <v/>
      </c>
      <c r="AM413">
        <f>IF(AK413&gt;=2,(AK413-2)/8,0)</f>
        <v/>
      </c>
    </row>
    <row r="414">
      <c r="T414">
        <f>SUM(C414:R414)</f>
        <v/>
      </c>
      <c r="U414" s="6">
        <f>ROUND(T414/11.5,2)</f>
        <v/>
      </c>
      <c r="V414" s="7">
        <f>IF(B414="","",IF(AB414,0,ROUND(AL414,2)))</f>
        <v/>
      </c>
      <c r="W414" s="7">
        <f>IF(B414="","",IF(AB414,0,MIN(5,ROUND(AL414+AM414,2))))</f>
        <v/>
      </c>
      <c r="X414" s="8">
        <f>IF(B414="","",IF(W414&gt;=5,"A+",IF(W414&gt;=4,"A",IF(W414&gt;=3.5,"A-",IF(W414&gt;=3,"B",IF(W414&gt;=2,"C",IF(W414&gt;=1,"D","F")))))))</f>
        <v/>
      </c>
      <c r="Y414">
        <f>NOT(OR(AND(J414&gt;=10,K414&gt;=23,L414&gt;=10,M414&gt;=23),AND(J414+L414&gt;=20,K414+M414&gt;=46)))</f>
        <v/>
      </c>
      <c r="Z414">
        <f>OR(N414&lt;10,O414&lt;23)</f>
        <v/>
      </c>
      <c r="AA414">
        <f>OR(P414&lt;10,Q414&lt;23)</f>
        <v/>
      </c>
      <c r="AB414">
        <f>OR((C414+D414)&lt;66,(E414+F414)&lt;66,G414&lt;33,(H414+I414)&lt;66,Y414,Z414,AA414,R414&lt;8.25)</f>
        <v/>
      </c>
      <c r="AC414">
        <f>IF(C414+D414&lt;66,0,IF((C414+D414)/2&gt;=80,5,IF((C414+D414)/2&gt;=70,4,IF((C414+D414)/2&gt;=60,3.5,IF((C414+D414)/2&gt;=50,3,IF((C414+D414)/2&gt;=40,2,IF((C414+D414)/2&gt;=33,1,0)))))))</f>
        <v/>
      </c>
      <c r="AD414">
        <f>IF(E414+F414&lt;66,0,IF((E414+F414)/2&gt;=80,5,IF((E414+F414)/2&gt;=70,4,IF((E414+F414)/2&gt;=60,3.5,IF((E414+F414)/2&gt;=50,3,IF((E414+F414)/2&gt;=40,2,IF((E414+F414)/2&gt;=33,1,0)))))))</f>
        <v/>
      </c>
      <c r="AE414">
        <f>IF(G414&lt;33,0,IF(G414&gt;=80,5,IF(G414&gt;=70,4,IF(G414&gt;=60,3.5,IF(G414&gt;=50,3,IF(G414&gt;=40,2,IF(G414&gt;=33,1,0)))))))</f>
        <v/>
      </c>
      <c r="AF414">
        <f>IF(H414+I414&lt;66,0,IF((H414+I414)/2&gt;=80,5,IF((H414+I414)/2&gt;=70,4,IF((H414+I414)/2&gt;=60,3.5,IF((H414+I414)/2&gt;=50,3,IF((H414+I414)/2&gt;=40,2,IF((H414+I414)/2&gt;=33,1,0)))))))</f>
        <v/>
      </c>
      <c r="AG414">
        <f>IF(Y414,0,IF((J414+K414+L414+M414)/2&gt;=80,5,IF((J414+K414+L414+M414)/2&gt;=70,4,IF((J414+K414+L414+M414)/2&gt;=60,3.5,IF((J414+K414+L414+M414)/2&gt;=50,3,IF((J414+K414+L414+M414)/2&gt;=40,2,IF((J414+K414+L414+M414)/2&gt;=33,1,0)))))))</f>
        <v/>
      </c>
      <c r="AH414">
        <f>IF(Z414,0,IF(N414+O414&gt;=80,5,IF(N414+O414&gt;=70,4,IF(N414+O414&gt;=60,3.5,IF(N414+O414&gt;=50,3,IF(N414+O414&gt;=40,2,IF(N414+O414&gt;=33,1,0)))))))</f>
        <v/>
      </c>
      <c r="AI414">
        <f>IF(AA414,0,IF(P414+Q414&gt;=80,5,IF(P414+Q414&gt;=70,4,IF(P414+Q414&gt;=60,3.5,IF(P414+Q414&gt;=50,3,IF(P414+Q414&gt;=40,2,IF(P414+Q414&gt;=33,1,0)))))))</f>
        <v/>
      </c>
      <c r="AJ414">
        <f>IF(R414&lt;8.25,0,IF(R414*2&gt;=80,5,IF(R414*2&gt;=70,4,IF(R414*2&gt;=60,3.5,IF(R414*2&gt;=50,3,IF(R414*2&gt;=40,2,IF(R414*2&gt;=33,1,0)))))))</f>
        <v/>
      </c>
      <c r="AK414">
        <f>IF(S414&lt;33,0,IF(S414&gt;=80,5,IF(S414&gt;=70,4,IF(S414&gt;=60,3.5,IF(S414&gt;=50,3,IF(S414&gt;=40,2,IF(S414&gt;=33,1,0)))))))</f>
        <v/>
      </c>
      <c r="AL414">
        <f>(AC414+AD414+AE414+AF414+AG414+AH414+AI414+AJ414)/8</f>
        <v/>
      </c>
      <c r="AM414">
        <f>IF(AK414&gt;=2,(AK414-2)/8,0)</f>
        <v/>
      </c>
    </row>
    <row r="415">
      <c r="T415">
        <f>SUM(C415:R415)</f>
        <v/>
      </c>
      <c r="U415" s="6">
        <f>ROUND(T415/11.5,2)</f>
        <v/>
      </c>
      <c r="V415" s="7">
        <f>IF(B415="","",IF(AB415,0,ROUND(AL415,2)))</f>
        <v/>
      </c>
      <c r="W415" s="7">
        <f>IF(B415="","",IF(AB415,0,MIN(5,ROUND(AL415+AM415,2))))</f>
        <v/>
      </c>
      <c r="X415" s="8">
        <f>IF(B415="","",IF(W415&gt;=5,"A+",IF(W415&gt;=4,"A",IF(W415&gt;=3.5,"A-",IF(W415&gt;=3,"B",IF(W415&gt;=2,"C",IF(W415&gt;=1,"D","F")))))))</f>
        <v/>
      </c>
      <c r="Y415">
        <f>NOT(OR(AND(J415&gt;=10,K415&gt;=23,L415&gt;=10,M415&gt;=23),AND(J415+L415&gt;=20,K415+M415&gt;=46)))</f>
        <v/>
      </c>
      <c r="Z415">
        <f>OR(N415&lt;10,O415&lt;23)</f>
        <v/>
      </c>
      <c r="AA415">
        <f>OR(P415&lt;10,Q415&lt;23)</f>
        <v/>
      </c>
      <c r="AB415">
        <f>OR((C415+D415)&lt;66,(E415+F415)&lt;66,G415&lt;33,(H415+I415)&lt;66,Y415,Z415,AA415,R415&lt;8.25)</f>
        <v/>
      </c>
      <c r="AC415">
        <f>IF(C415+D415&lt;66,0,IF((C415+D415)/2&gt;=80,5,IF((C415+D415)/2&gt;=70,4,IF((C415+D415)/2&gt;=60,3.5,IF((C415+D415)/2&gt;=50,3,IF((C415+D415)/2&gt;=40,2,IF((C415+D415)/2&gt;=33,1,0)))))))</f>
        <v/>
      </c>
      <c r="AD415">
        <f>IF(E415+F415&lt;66,0,IF((E415+F415)/2&gt;=80,5,IF((E415+F415)/2&gt;=70,4,IF((E415+F415)/2&gt;=60,3.5,IF((E415+F415)/2&gt;=50,3,IF((E415+F415)/2&gt;=40,2,IF((E415+F415)/2&gt;=33,1,0)))))))</f>
        <v/>
      </c>
      <c r="AE415">
        <f>IF(G415&lt;33,0,IF(G415&gt;=80,5,IF(G415&gt;=70,4,IF(G415&gt;=60,3.5,IF(G415&gt;=50,3,IF(G415&gt;=40,2,IF(G415&gt;=33,1,0)))))))</f>
        <v/>
      </c>
      <c r="AF415">
        <f>IF(H415+I415&lt;66,0,IF((H415+I415)/2&gt;=80,5,IF((H415+I415)/2&gt;=70,4,IF((H415+I415)/2&gt;=60,3.5,IF((H415+I415)/2&gt;=50,3,IF((H415+I415)/2&gt;=40,2,IF((H415+I415)/2&gt;=33,1,0)))))))</f>
        <v/>
      </c>
      <c r="AG415">
        <f>IF(Y415,0,IF((J415+K415+L415+M415)/2&gt;=80,5,IF((J415+K415+L415+M415)/2&gt;=70,4,IF((J415+K415+L415+M415)/2&gt;=60,3.5,IF((J415+K415+L415+M415)/2&gt;=50,3,IF((J415+K415+L415+M415)/2&gt;=40,2,IF((J415+K415+L415+M415)/2&gt;=33,1,0)))))))</f>
        <v/>
      </c>
      <c r="AH415">
        <f>IF(Z415,0,IF(N415+O415&gt;=80,5,IF(N415+O415&gt;=70,4,IF(N415+O415&gt;=60,3.5,IF(N415+O415&gt;=50,3,IF(N415+O415&gt;=40,2,IF(N415+O415&gt;=33,1,0)))))))</f>
        <v/>
      </c>
      <c r="AI415">
        <f>IF(AA415,0,IF(P415+Q415&gt;=80,5,IF(P415+Q415&gt;=70,4,IF(P415+Q415&gt;=60,3.5,IF(P415+Q415&gt;=50,3,IF(P415+Q415&gt;=40,2,IF(P415+Q415&gt;=33,1,0)))))))</f>
        <v/>
      </c>
      <c r="AJ415">
        <f>IF(R415&lt;8.25,0,IF(R415*2&gt;=80,5,IF(R415*2&gt;=70,4,IF(R415*2&gt;=60,3.5,IF(R415*2&gt;=50,3,IF(R415*2&gt;=40,2,IF(R415*2&gt;=33,1,0)))))))</f>
        <v/>
      </c>
      <c r="AK415">
        <f>IF(S415&lt;33,0,IF(S415&gt;=80,5,IF(S415&gt;=70,4,IF(S415&gt;=60,3.5,IF(S415&gt;=50,3,IF(S415&gt;=40,2,IF(S415&gt;=33,1,0)))))))</f>
        <v/>
      </c>
      <c r="AL415">
        <f>(AC415+AD415+AE415+AF415+AG415+AH415+AI415+AJ415)/8</f>
        <v/>
      </c>
      <c r="AM415">
        <f>IF(AK415&gt;=2,(AK415-2)/8,0)</f>
        <v/>
      </c>
    </row>
    <row r="416">
      <c r="T416">
        <f>SUM(C416:R416)</f>
        <v/>
      </c>
      <c r="U416" s="6">
        <f>ROUND(T416/11.5,2)</f>
        <v/>
      </c>
      <c r="V416" s="7">
        <f>IF(B416="","",IF(AB416,0,ROUND(AL416,2)))</f>
        <v/>
      </c>
      <c r="W416" s="7">
        <f>IF(B416="","",IF(AB416,0,MIN(5,ROUND(AL416+AM416,2))))</f>
        <v/>
      </c>
      <c r="X416" s="8">
        <f>IF(B416="","",IF(W416&gt;=5,"A+",IF(W416&gt;=4,"A",IF(W416&gt;=3.5,"A-",IF(W416&gt;=3,"B",IF(W416&gt;=2,"C",IF(W416&gt;=1,"D","F")))))))</f>
        <v/>
      </c>
      <c r="Y416">
        <f>NOT(OR(AND(J416&gt;=10,K416&gt;=23,L416&gt;=10,M416&gt;=23),AND(J416+L416&gt;=20,K416+M416&gt;=46)))</f>
        <v/>
      </c>
      <c r="Z416">
        <f>OR(N416&lt;10,O416&lt;23)</f>
        <v/>
      </c>
      <c r="AA416">
        <f>OR(P416&lt;10,Q416&lt;23)</f>
        <v/>
      </c>
      <c r="AB416">
        <f>OR((C416+D416)&lt;66,(E416+F416)&lt;66,G416&lt;33,(H416+I416)&lt;66,Y416,Z416,AA416,R416&lt;8.25)</f>
        <v/>
      </c>
      <c r="AC416">
        <f>IF(C416+D416&lt;66,0,IF((C416+D416)/2&gt;=80,5,IF((C416+D416)/2&gt;=70,4,IF((C416+D416)/2&gt;=60,3.5,IF((C416+D416)/2&gt;=50,3,IF((C416+D416)/2&gt;=40,2,IF((C416+D416)/2&gt;=33,1,0)))))))</f>
        <v/>
      </c>
      <c r="AD416">
        <f>IF(E416+F416&lt;66,0,IF((E416+F416)/2&gt;=80,5,IF((E416+F416)/2&gt;=70,4,IF((E416+F416)/2&gt;=60,3.5,IF((E416+F416)/2&gt;=50,3,IF((E416+F416)/2&gt;=40,2,IF((E416+F416)/2&gt;=33,1,0)))))))</f>
        <v/>
      </c>
      <c r="AE416">
        <f>IF(G416&lt;33,0,IF(G416&gt;=80,5,IF(G416&gt;=70,4,IF(G416&gt;=60,3.5,IF(G416&gt;=50,3,IF(G416&gt;=40,2,IF(G416&gt;=33,1,0)))))))</f>
        <v/>
      </c>
      <c r="AF416">
        <f>IF(H416+I416&lt;66,0,IF((H416+I416)/2&gt;=80,5,IF((H416+I416)/2&gt;=70,4,IF((H416+I416)/2&gt;=60,3.5,IF((H416+I416)/2&gt;=50,3,IF((H416+I416)/2&gt;=40,2,IF((H416+I416)/2&gt;=33,1,0)))))))</f>
        <v/>
      </c>
      <c r="AG416">
        <f>IF(Y416,0,IF((J416+K416+L416+M416)/2&gt;=80,5,IF((J416+K416+L416+M416)/2&gt;=70,4,IF((J416+K416+L416+M416)/2&gt;=60,3.5,IF((J416+K416+L416+M416)/2&gt;=50,3,IF((J416+K416+L416+M416)/2&gt;=40,2,IF((J416+K416+L416+M416)/2&gt;=33,1,0)))))))</f>
        <v/>
      </c>
      <c r="AH416">
        <f>IF(Z416,0,IF(N416+O416&gt;=80,5,IF(N416+O416&gt;=70,4,IF(N416+O416&gt;=60,3.5,IF(N416+O416&gt;=50,3,IF(N416+O416&gt;=40,2,IF(N416+O416&gt;=33,1,0)))))))</f>
        <v/>
      </c>
      <c r="AI416">
        <f>IF(AA416,0,IF(P416+Q416&gt;=80,5,IF(P416+Q416&gt;=70,4,IF(P416+Q416&gt;=60,3.5,IF(P416+Q416&gt;=50,3,IF(P416+Q416&gt;=40,2,IF(P416+Q416&gt;=33,1,0)))))))</f>
        <v/>
      </c>
      <c r="AJ416">
        <f>IF(R416&lt;8.25,0,IF(R416*2&gt;=80,5,IF(R416*2&gt;=70,4,IF(R416*2&gt;=60,3.5,IF(R416*2&gt;=50,3,IF(R416*2&gt;=40,2,IF(R416*2&gt;=33,1,0)))))))</f>
        <v/>
      </c>
      <c r="AK416">
        <f>IF(S416&lt;33,0,IF(S416&gt;=80,5,IF(S416&gt;=70,4,IF(S416&gt;=60,3.5,IF(S416&gt;=50,3,IF(S416&gt;=40,2,IF(S416&gt;=33,1,0)))))))</f>
        <v/>
      </c>
      <c r="AL416">
        <f>(AC416+AD416+AE416+AF416+AG416+AH416+AI416+AJ416)/8</f>
        <v/>
      </c>
      <c r="AM416">
        <f>IF(AK416&gt;=2,(AK416-2)/8,0)</f>
        <v/>
      </c>
    </row>
    <row r="417">
      <c r="T417">
        <f>SUM(C417:R417)</f>
        <v/>
      </c>
      <c r="U417" s="6">
        <f>ROUND(T417/11.5,2)</f>
        <v/>
      </c>
      <c r="V417" s="7">
        <f>IF(B417="","",IF(AB417,0,ROUND(AL417,2)))</f>
        <v/>
      </c>
      <c r="W417" s="7">
        <f>IF(B417="","",IF(AB417,0,MIN(5,ROUND(AL417+AM417,2))))</f>
        <v/>
      </c>
      <c r="X417" s="8">
        <f>IF(B417="","",IF(W417&gt;=5,"A+",IF(W417&gt;=4,"A",IF(W417&gt;=3.5,"A-",IF(W417&gt;=3,"B",IF(W417&gt;=2,"C",IF(W417&gt;=1,"D","F")))))))</f>
        <v/>
      </c>
      <c r="Y417">
        <f>NOT(OR(AND(J417&gt;=10,K417&gt;=23,L417&gt;=10,M417&gt;=23),AND(J417+L417&gt;=20,K417+M417&gt;=46)))</f>
        <v/>
      </c>
      <c r="Z417">
        <f>OR(N417&lt;10,O417&lt;23)</f>
        <v/>
      </c>
      <c r="AA417">
        <f>OR(P417&lt;10,Q417&lt;23)</f>
        <v/>
      </c>
      <c r="AB417">
        <f>OR((C417+D417)&lt;66,(E417+F417)&lt;66,G417&lt;33,(H417+I417)&lt;66,Y417,Z417,AA417,R417&lt;8.25)</f>
        <v/>
      </c>
      <c r="AC417">
        <f>IF(C417+D417&lt;66,0,IF((C417+D417)/2&gt;=80,5,IF((C417+D417)/2&gt;=70,4,IF((C417+D417)/2&gt;=60,3.5,IF((C417+D417)/2&gt;=50,3,IF((C417+D417)/2&gt;=40,2,IF((C417+D417)/2&gt;=33,1,0)))))))</f>
        <v/>
      </c>
      <c r="AD417">
        <f>IF(E417+F417&lt;66,0,IF((E417+F417)/2&gt;=80,5,IF((E417+F417)/2&gt;=70,4,IF((E417+F417)/2&gt;=60,3.5,IF((E417+F417)/2&gt;=50,3,IF((E417+F417)/2&gt;=40,2,IF((E417+F417)/2&gt;=33,1,0)))))))</f>
        <v/>
      </c>
      <c r="AE417">
        <f>IF(G417&lt;33,0,IF(G417&gt;=80,5,IF(G417&gt;=70,4,IF(G417&gt;=60,3.5,IF(G417&gt;=50,3,IF(G417&gt;=40,2,IF(G417&gt;=33,1,0)))))))</f>
        <v/>
      </c>
      <c r="AF417">
        <f>IF(H417+I417&lt;66,0,IF((H417+I417)/2&gt;=80,5,IF((H417+I417)/2&gt;=70,4,IF((H417+I417)/2&gt;=60,3.5,IF((H417+I417)/2&gt;=50,3,IF((H417+I417)/2&gt;=40,2,IF((H417+I417)/2&gt;=33,1,0)))))))</f>
        <v/>
      </c>
      <c r="AG417">
        <f>IF(Y417,0,IF((J417+K417+L417+M417)/2&gt;=80,5,IF((J417+K417+L417+M417)/2&gt;=70,4,IF((J417+K417+L417+M417)/2&gt;=60,3.5,IF((J417+K417+L417+M417)/2&gt;=50,3,IF((J417+K417+L417+M417)/2&gt;=40,2,IF((J417+K417+L417+M417)/2&gt;=33,1,0)))))))</f>
        <v/>
      </c>
      <c r="AH417">
        <f>IF(Z417,0,IF(N417+O417&gt;=80,5,IF(N417+O417&gt;=70,4,IF(N417+O417&gt;=60,3.5,IF(N417+O417&gt;=50,3,IF(N417+O417&gt;=40,2,IF(N417+O417&gt;=33,1,0)))))))</f>
        <v/>
      </c>
      <c r="AI417">
        <f>IF(AA417,0,IF(P417+Q417&gt;=80,5,IF(P417+Q417&gt;=70,4,IF(P417+Q417&gt;=60,3.5,IF(P417+Q417&gt;=50,3,IF(P417+Q417&gt;=40,2,IF(P417+Q417&gt;=33,1,0)))))))</f>
        <v/>
      </c>
      <c r="AJ417">
        <f>IF(R417&lt;8.25,0,IF(R417*2&gt;=80,5,IF(R417*2&gt;=70,4,IF(R417*2&gt;=60,3.5,IF(R417*2&gt;=50,3,IF(R417*2&gt;=40,2,IF(R417*2&gt;=33,1,0)))))))</f>
        <v/>
      </c>
      <c r="AK417">
        <f>IF(S417&lt;33,0,IF(S417&gt;=80,5,IF(S417&gt;=70,4,IF(S417&gt;=60,3.5,IF(S417&gt;=50,3,IF(S417&gt;=40,2,IF(S417&gt;=33,1,0)))))))</f>
        <v/>
      </c>
      <c r="AL417">
        <f>(AC417+AD417+AE417+AF417+AG417+AH417+AI417+AJ417)/8</f>
        <v/>
      </c>
      <c r="AM417">
        <f>IF(AK417&gt;=2,(AK417-2)/8,0)</f>
        <v/>
      </c>
    </row>
    <row r="418">
      <c r="T418">
        <f>SUM(C418:R418)</f>
        <v/>
      </c>
      <c r="U418" s="6">
        <f>ROUND(T418/11.5,2)</f>
        <v/>
      </c>
      <c r="V418" s="7">
        <f>IF(B418="","",IF(AB418,0,ROUND(AL418,2)))</f>
        <v/>
      </c>
      <c r="W418" s="7">
        <f>IF(B418="","",IF(AB418,0,MIN(5,ROUND(AL418+AM418,2))))</f>
        <v/>
      </c>
      <c r="X418" s="8">
        <f>IF(B418="","",IF(W418&gt;=5,"A+",IF(W418&gt;=4,"A",IF(W418&gt;=3.5,"A-",IF(W418&gt;=3,"B",IF(W418&gt;=2,"C",IF(W418&gt;=1,"D","F")))))))</f>
        <v/>
      </c>
      <c r="Y418">
        <f>NOT(OR(AND(J418&gt;=10,K418&gt;=23,L418&gt;=10,M418&gt;=23),AND(J418+L418&gt;=20,K418+M418&gt;=46)))</f>
        <v/>
      </c>
      <c r="Z418">
        <f>OR(N418&lt;10,O418&lt;23)</f>
        <v/>
      </c>
      <c r="AA418">
        <f>OR(P418&lt;10,Q418&lt;23)</f>
        <v/>
      </c>
      <c r="AB418">
        <f>OR((C418+D418)&lt;66,(E418+F418)&lt;66,G418&lt;33,(H418+I418)&lt;66,Y418,Z418,AA418,R418&lt;8.25)</f>
        <v/>
      </c>
      <c r="AC418">
        <f>IF(C418+D418&lt;66,0,IF((C418+D418)/2&gt;=80,5,IF((C418+D418)/2&gt;=70,4,IF((C418+D418)/2&gt;=60,3.5,IF((C418+D418)/2&gt;=50,3,IF((C418+D418)/2&gt;=40,2,IF((C418+D418)/2&gt;=33,1,0)))))))</f>
        <v/>
      </c>
      <c r="AD418">
        <f>IF(E418+F418&lt;66,0,IF((E418+F418)/2&gt;=80,5,IF((E418+F418)/2&gt;=70,4,IF((E418+F418)/2&gt;=60,3.5,IF((E418+F418)/2&gt;=50,3,IF((E418+F418)/2&gt;=40,2,IF((E418+F418)/2&gt;=33,1,0)))))))</f>
        <v/>
      </c>
      <c r="AE418">
        <f>IF(G418&lt;33,0,IF(G418&gt;=80,5,IF(G418&gt;=70,4,IF(G418&gt;=60,3.5,IF(G418&gt;=50,3,IF(G418&gt;=40,2,IF(G418&gt;=33,1,0)))))))</f>
        <v/>
      </c>
      <c r="AF418">
        <f>IF(H418+I418&lt;66,0,IF((H418+I418)/2&gt;=80,5,IF((H418+I418)/2&gt;=70,4,IF((H418+I418)/2&gt;=60,3.5,IF((H418+I418)/2&gt;=50,3,IF((H418+I418)/2&gt;=40,2,IF((H418+I418)/2&gt;=33,1,0)))))))</f>
        <v/>
      </c>
      <c r="AG418">
        <f>IF(Y418,0,IF((J418+K418+L418+M418)/2&gt;=80,5,IF((J418+K418+L418+M418)/2&gt;=70,4,IF((J418+K418+L418+M418)/2&gt;=60,3.5,IF((J418+K418+L418+M418)/2&gt;=50,3,IF((J418+K418+L418+M418)/2&gt;=40,2,IF((J418+K418+L418+M418)/2&gt;=33,1,0)))))))</f>
        <v/>
      </c>
      <c r="AH418">
        <f>IF(Z418,0,IF(N418+O418&gt;=80,5,IF(N418+O418&gt;=70,4,IF(N418+O418&gt;=60,3.5,IF(N418+O418&gt;=50,3,IF(N418+O418&gt;=40,2,IF(N418+O418&gt;=33,1,0)))))))</f>
        <v/>
      </c>
      <c r="AI418">
        <f>IF(AA418,0,IF(P418+Q418&gt;=80,5,IF(P418+Q418&gt;=70,4,IF(P418+Q418&gt;=60,3.5,IF(P418+Q418&gt;=50,3,IF(P418+Q418&gt;=40,2,IF(P418+Q418&gt;=33,1,0)))))))</f>
        <v/>
      </c>
      <c r="AJ418">
        <f>IF(R418&lt;8.25,0,IF(R418*2&gt;=80,5,IF(R418*2&gt;=70,4,IF(R418*2&gt;=60,3.5,IF(R418*2&gt;=50,3,IF(R418*2&gt;=40,2,IF(R418*2&gt;=33,1,0)))))))</f>
        <v/>
      </c>
      <c r="AK418">
        <f>IF(S418&lt;33,0,IF(S418&gt;=80,5,IF(S418&gt;=70,4,IF(S418&gt;=60,3.5,IF(S418&gt;=50,3,IF(S418&gt;=40,2,IF(S418&gt;=33,1,0)))))))</f>
        <v/>
      </c>
      <c r="AL418">
        <f>(AC418+AD418+AE418+AF418+AG418+AH418+AI418+AJ418)/8</f>
        <v/>
      </c>
      <c r="AM418">
        <f>IF(AK418&gt;=2,(AK418-2)/8,0)</f>
        <v/>
      </c>
    </row>
    <row r="419">
      <c r="T419">
        <f>SUM(C419:R419)</f>
        <v/>
      </c>
      <c r="U419" s="6">
        <f>ROUND(T419/11.5,2)</f>
        <v/>
      </c>
      <c r="V419" s="7">
        <f>IF(B419="","",IF(AB419,0,ROUND(AL419,2)))</f>
        <v/>
      </c>
      <c r="W419" s="7">
        <f>IF(B419="","",IF(AB419,0,MIN(5,ROUND(AL419+AM419,2))))</f>
        <v/>
      </c>
      <c r="X419" s="8">
        <f>IF(B419="","",IF(W419&gt;=5,"A+",IF(W419&gt;=4,"A",IF(W419&gt;=3.5,"A-",IF(W419&gt;=3,"B",IF(W419&gt;=2,"C",IF(W419&gt;=1,"D","F")))))))</f>
        <v/>
      </c>
      <c r="Y419">
        <f>NOT(OR(AND(J419&gt;=10,K419&gt;=23,L419&gt;=10,M419&gt;=23),AND(J419+L419&gt;=20,K419+M419&gt;=46)))</f>
        <v/>
      </c>
      <c r="Z419">
        <f>OR(N419&lt;10,O419&lt;23)</f>
        <v/>
      </c>
      <c r="AA419">
        <f>OR(P419&lt;10,Q419&lt;23)</f>
        <v/>
      </c>
      <c r="AB419">
        <f>OR((C419+D419)&lt;66,(E419+F419)&lt;66,G419&lt;33,(H419+I419)&lt;66,Y419,Z419,AA419,R419&lt;8.25)</f>
        <v/>
      </c>
      <c r="AC419">
        <f>IF(C419+D419&lt;66,0,IF((C419+D419)/2&gt;=80,5,IF((C419+D419)/2&gt;=70,4,IF((C419+D419)/2&gt;=60,3.5,IF((C419+D419)/2&gt;=50,3,IF((C419+D419)/2&gt;=40,2,IF((C419+D419)/2&gt;=33,1,0)))))))</f>
        <v/>
      </c>
      <c r="AD419">
        <f>IF(E419+F419&lt;66,0,IF((E419+F419)/2&gt;=80,5,IF((E419+F419)/2&gt;=70,4,IF((E419+F419)/2&gt;=60,3.5,IF((E419+F419)/2&gt;=50,3,IF((E419+F419)/2&gt;=40,2,IF((E419+F419)/2&gt;=33,1,0)))))))</f>
        <v/>
      </c>
      <c r="AE419">
        <f>IF(G419&lt;33,0,IF(G419&gt;=80,5,IF(G419&gt;=70,4,IF(G419&gt;=60,3.5,IF(G419&gt;=50,3,IF(G419&gt;=40,2,IF(G419&gt;=33,1,0)))))))</f>
        <v/>
      </c>
      <c r="AF419">
        <f>IF(H419+I419&lt;66,0,IF((H419+I419)/2&gt;=80,5,IF((H419+I419)/2&gt;=70,4,IF((H419+I419)/2&gt;=60,3.5,IF((H419+I419)/2&gt;=50,3,IF((H419+I419)/2&gt;=40,2,IF((H419+I419)/2&gt;=33,1,0)))))))</f>
        <v/>
      </c>
      <c r="AG419">
        <f>IF(Y419,0,IF((J419+K419+L419+M419)/2&gt;=80,5,IF((J419+K419+L419+M419)/2&gt;=70,4,IF((J419+K419+L419+M419)/2&gt;=60,3.5,IF((J419+K419+L419+M419)/2&gt;=50,3,IF((J419+K419+L419+M419)/2&gt;=40,2,IF((J419+K419+L419+M419)/2&gt;=33,1,0)))))))</f>
        <v/>
      </c>
      <c r="AH419">
        <f>IF(Z419,0,IF(N419+O419&gt;=80,5,IF(N419+O419&gt;=70,4,IF(N419+O419&gt;=60,3.5,IF(N419+O419&gt;=50,3,IF(N419+O419&gt;=40,2,IF(N419+O419&gt;=33,1,0)))))))</f>
        <v/>
      </c>
      <c r="AI419">
        <f>IF(AA419,0,IF(P419+Q419&gt;=80,5,IF(P419+Q419&gt;=70,4,IF(P419+Q419&gt;=60,3.5,IF(P419+Q419&gt;=50,3,IF(P419+Q419&gt;=40,2,IF(P419+Q419&gt;=33,1,0)))))))</f>
        <v/>
      </c>
      <c r="AJ419">
        <f>IF(R419&lt;8.25,0,IF(R419*2&gt;=80,5,IF(R419*2&gt;=70,4,IF(R419*2&gt;=60,3.5,IF(R419*2&gt;=50,3,IF(R419*2&gt;=40,2,IF(R419*2&gt;=33,1,0)))))))</f>
        <v/>
      </c>
      <c r="AK419">
        <f>IF(S419&lt;33,0,IF(S419&gt;=80,5,IF(S419&gt;=70,4,IF(S419&gt;=60,3.5,IF(S419&gt;=50,3,IF(S419&gt;=40,2,IF(S419&gt;=33,1,0)))))))</f>
        <v/>
      </c>
      <c r="AL419">
        <f>(AC419+AD419+AE419+AF419+AG419+AH419+AI419+AJ419)/8</f>
        <v/>
      </c>
      <c r="AM419">
        <f>IF(AK419&gt;=2,(AK419-2)/8,0)</f>
        <v/>
      </c>
    </row>
    <row r="420">
      <c r="T420">
        <f>SUM(C420:R420)</f>
        <v/>
      </c>
      <c r="U420" s="6">
        <f>ROUND(T420/11.5,2)</f>
        <v/>
      </c>
      <c r="V420" s="7">
        <f>IF(B420="","",IF(AB420,0,ROUND(AL420,2)))</f>
        <v/>
      </c>
      <c r="W420" s="7">
        <f>IF(B420="","",IF(AB420,0,MIN(5,ROUND(AL420+AM420,2))))</f>
        <v/>
      </c>
      <c r="X420" s="8">
        <f>IF(B420="","",IF(W420&gt;=5,"A+",IF(W420&gt;=4,"A",IF(W420&gt;=3.5,"A-",IF(W420&gt;=3,"B",IF(W420&gt;=2,"C",IF(W420&gt;=1,"D","F")))))))</f>
        <v/>
      </c>
      <c r="Y420">
        <f>NOT(OR(AND(J420&gt;=10,K420&gt;=23,L420&gt;=10,M420&gt;=23),AND(J420+L420&gt;=20,K420+M420&gt;=46)))</f>
        <v/>
      </c>
      <c r="Z420">
        <f>OR(N420&lt;10,O420&lt;23)</f>
        <v/>
      </c>
      <c r="AA420">
        <f>OR(P420&lt;10,Q420&lt;23)</f>
        <v/>
      </c>
      <c r="AB420">
        <f>OR((C420+D420)&lt;66,(E420+F420)&lt;66,G420&lt;33,(H420+I420)&lt;66,Y420,Z420,AA420,R420&lt;8.25)</f>
        <v/>
      </c>
      <c r="AC420">
        <f>IF(C420+D420&lt;66,0,IF((C420+D420)/2&gt;=80,5,IF((C420+D420)/2&gt;=70,4,IF((C420+D420)/2&gt;=60,3.5,IF((C420+D420)/2&gt;=50,3,IF((C420+D420)/2&gt;=40,2,IF((C420+D420)/2&gt;=33,1,0)))))))</f>
        <v/>
      </c>
      <c r="AD420">
        <f>IF(E420+F420&lt;66,0,IF((E420+F420)/2&gt;=80,5,IF((E420+F420)/2&gt;=70,4,IF((E420+F420)/2&gt;=60,3.5,IF((E420+F420)/2&gt;=50,3,IF((E420+F420)/2&gt;=40,2,IF((E420+F420)/2&gt;=33,1,0)))))))</f>
        <v/>
      </c>
      <c r="AE420">
        <f>IF(G420&lt;33,0,IF(G420&gt;=80,5,IF(G420&gt;=70,4,IF(G420&gt;=60,3.5,IF(G420&gt;=50,3,IF(G420&gt;=40,2,IF(G420&gt;=33,1,0)))))))</f>
        <v/>
      </c>
      <c r="AF420">
        <f>IF(H420+I420&lt;66,0,IF((H420+I420)/2&gt;=80,5,IF((H420+I420)/2&gt;=70,4,IF((H420+I420)/2&gt;=60,3.5,IF((H420+I420)/2&gt;=50,3,IF((H420+I420)/2&gt;=40,2,IF((H420+I420)/2&gt;=33,1,0)))))))</f>
        <v/>
      </c>
      <c r="AG420">
        <f>IF(Y420,0,IF((J420+K420+L420+M420)/2&gt;=80,5,IF((J420+K420+L420+M420)/2&gt;=70,4,IF((J420+K420+L420+M420)/2&gt;=60,3.5,IF((J420+K420+L420+M420)/2&gt;=50,3,IF((J420+K420+L420+M420)/2&gt;=40,2,IF((J420+K420+L420+M420)/2&gt;=33,1,0)))))))</f>
        <v/>
      </c>
      <c r="AH420">
        <f>IF(Z420,0,IF(N420+O420&gt;=80,5,IF(N420+O420&gt;=70,4,IF(N420+O420&gt;=60,3.5,IF(N420+O420&gt;=50,3,IF(N420+O420&gt;=40,2,IF(N420+O420&gt;=33,1,0)))))))</f>
        <v/>
      </c>
      <c r="AI420">
        <f>IF(AA420,0,IF(P420+Q420&gt;=80,5,IF(P420+Q420&gt;=70,4,IF(P420+Q420&gt;=60,3.5,IF(P420+Q420&gt;=50,3,IF(P420+Q420&gt;=40,2,IF(P420+Q420&gt;=33,1,0)))))))</f>
        <v/>
      </c>
      <c r="AJ420">
        <f>IF(R420&lt;8.25,0,IF(R420*2&gt;=80,5,IF(R420*2&gt;=70,4,IF(R420*2&gt;=60,3.5,IF(R420*2&gt;=50,3,IF(R420*2&gt;=40,2,IF(R420*2&gt;=33,1,0)))))))</f>
        <v/>
      </c>
      <c r="AK420">
        <f>IF(S420&lt;33,0,IF(S420&gt;=80,5,IF(S420&gt;=70,4,IF(S420&gt;=60,3.5,IF(S420&gt;=50,3,IF(S420&gt;=40,2,IF(S420&gt;=33,1,0)))))))</f>
        <v/>
      </c>
      <c r="AL420">
        <f>(AC420+AD420+AE420+AF420+AG420+AH420+AI420+AJ420)/8</f>
        <v/>
      </c>
      <c r="AM420">
        <f>IF(AK420&gt;=2,(AK420-2)/8,0)</f>
        <v/>
      </c>
    </row>
    <row r="421">
      <c r="T421">
        <f>SUM(C421:R421)</f>
        <v/>
      </c>
      <c r="U421" s="6">
        <f>ROUND(T421/11.5,2)</f>
        <v/>
      </c>
      <c r="V421" s="7">
        <f>IF(B421="","",IF(AB421,0,ROUND(AL421,2)))</f>
        <v/>
      </c>
      <c r="W421" s="7">
        <f>IF(B421="","",IF(AB421,0,MIN(5,ROUND(AL421+AM421,2))))</f>
        <v/>
      </c>
      <c r="X421" s="8">
        <f>IF(B421="","",IF(W421&gt;=5,"A+",IF(W421&gt;=4,"A",IF(W421&gt;=3.5,"A-",IF(W421&gt;=3,"B",IF(W421&gt;=2,"C",IF(W421&gt;=1,"D","F")))))))</f>
        <v/>
      </c>
      <c r="Y421">
        <f>NOT(OR(AND(J421&gt;=10,K421&gt;=23,L421&gt;=10,M421&gt;=23),AND(J421+L421&gt;=20,K421+M421&gt;=46)))</f>
        <v/>
      </c>
      <c r="Z421">
        <f>OR(N421&lt;10,O421&lt;23)</f>
        <v/>
      </c>
      <c r="AA421">
        <f>OR(P421&lt;10,Q421&lt;23)</f>
        <v/>
      </c>
      <c r="AB421">
        <f>OR((C421+D421)&lt;66,(E421+F421)&lt;66,G421&lt;33,(H421+I421)&lt;66,Y421,Z421,AA421,R421&lt;8.25)</f>
        <v/>
      </c>
      <c r="AC421">
        <f>IF(C421+D421&lt;66,0,IF((C421+D421)/2&gt;=80,5,IF((C421+D421)/2&gt;=70,4,IF((C421+D421)/2&gt;=60,3.5,IF((C421+D421)/2&gt;=50,3,IF((C421+D421)/2&gt;=40,2,IF((C421+D421)/2&gt;=33,1,0)))))))</f>
        <v/>
      </c>
      <c r="AD421">
        <f>IF(E421+F421&lt;66,0,IF((E421+F421)/2&gt;=80,5,IF((E421+F421)/2&gt;=70,4,IF((E421+F421)/2&gt;=60,3.5,IF((E421+F421)/2&gt;=50,3,IF((E421+F421)/2&gt;=40,2,IF((E421+F421)/2&gt;=33,1,0)))))))</f>
        <v/>
      </c>
      <c r="AE421">
        <f>IF(G421&lt;33,0,IF(G421&gt;=80,5,IF(G421&gt;=70,4,IF(G421&gt;=60,3.5,IF(G421&gt;=50,3,IF(G421&gt;=40,2,IF(G421&gt;=33,1,0)))))))</f>
        <v/>
      </c>
      <c r="AF421">
        <f>IF(H421+I421&lt;66,0,IF((H421+I421)/2&gt;=80,5,IF((H421+I421)/2&gt;=70,4,IF((H421+I421)/2&gt;=60,3.5,IF((H421+I421)/2&gt;=50,3,IF((H421+I421)/2&gt;=40,2,IF((H421+I421)/2&gt;=33,1,0)))))))</f>
        <v/>
      </c>
      <c r="AG421">
        <f>IF(Y421,0,IF((J421+K421+L421+M421)/2&gt;=80,5,IF((J421+K421+L421+M421)/2&gt;=70,4,IF((J421+K421+L421+M421)/2&gt;=60,3.5,IF((J421+K421+L421+M421)/2&gt;=50,3,IF((J421+K421+L421+M421)/2&gt;=40,2,IF((J421+K421+L421+M421)/2&gt;=33,1,0)))))))</f>
        <v/>
      </c>
      <c r="AH421">
        <f>IF(Z421,0,IF(N421+O421&gt;=80,5,IF(N421+O421&gt;=70,4,IF(N421+O421&gt;=60,3.5,IF(N421+O421&gt;=50,3,IF(N421+O421&gt;=40,2,IF(N421+O421&gt;=33,1,0)))))))</f>
        <v/>
      </c>
      <c r="AI421">
        <f>IF(AA421,0,IF(P421+Q421&gt;=80,5,IF(P421+Q421&gt;=70,4,IF(P421+Q421&gt;=60,3.5,IF(P421+Q421&gt;=50,3,IF(P421+Q421&gt;=40,2,IF(P421+Q421&gt;=33,1,0)))))))</f>
        <v/>
      </c>
      <c r="AJ421">
        <f>IF(R421&lt;8.25,0,IF(R421*2&gt;=80,5,IF(R421*2&gt;=70,4,IF(R421*2&gt;=60,3.5,IF(R421*2&gt;=50,3,IF(R421*2&gt;=40,2,IF(R421*2&gt;=33,1,0)))))))</f>
        <v/>
      </c>
      <c r="AK421">
        <f>IF(S421&lt;33,0,IF(S421&gt;=80,5,IF(S421&gt;=70,4,IF(S421&gt;=60,3.5,IF(S421&gt;=50,3,IF(S421&gt;=40,2,IF(S421&gt;=33,1,0)))))))</f>
        <v/>
      </c>
      <c r="AL421">
        <f>(AC421+AD421+AE421+AF421+AG421+AH421+AI421+AJ421)/8</f>
        <v/>
      </c>
      <c r="AM421">
        <f>IF(AK421&gt;=2,(AK421-2)/8,0)</f>
        <v/>
      </c>
    </row>
    <row r="422">
      <c r="T422">
        <f>SUM(C422:R422)</f>
        <v/>
      </c>
      <c r="U422" s="6">
        <f>ROUND(T422/11.5,2)</f>
        <v/>
      </c>
      <c r="V422" s="7">
        <f>IF(B422="","",IF(AB422,0,ROUND(AL422,2)))</f>
        <v/>
      </c>
      <c r="W422" s="7">
        <f>IF(B422="","",IF(AB422,0,MIN(5,ROUND(AL422+AM422,2))))</f>
        <v/>
      </c>
      <c r="X422" s="8">
        <f>IF(B422="","",IF(W422&gt;=5,"A+",IF(W422&gt;=4,"A",IF(W422&gt;=3.5,"A-",IF(W422&gt;=3,"B",IF(W422&gt;=2,"C",IF(W422&gt;=1,"D","F")))))))</f>
        <v/>
      </c>
      <c r="Y422">
        <f>NOT(OR(AND(J422&gt;=10,K422&gt;=23,L422&gt;=10,M422&gt;=23),AND(J422+L422&gt;=20,K422+M422&gt;=46)))</f>
        <v/>
      </c>
      <c r="Z422">
        <f>OR(N422&lt;10,O422&lt;23)</f>
        <v/>
      </c>
      <c r="AA422">
        <f>OR(P422&lt;10,Q422&lt;23)</f>
        <v/>
      </c>
      <c r="AB422">
        <f>OR((C422+D422)&lt;66,(E422+F422)&lt;66,G422&lt;33,(H422+I422)&lt;66,Y422,Z422,AA422,R422&lt;8.25)</f>
        <v/>
      </c>
      <c r="AC422">
        <f>IF(C422+D422&lt;66,0,IF((C422+D422)/2&gt;=80,5,IF((C422+D422)/2&gt;=70,4,IF((C422+D422)/2&gt;=60,3.5,IF((C422+D422)/2&gt;=50,3,IF((C422+D422)/2&gt;=40,2,IF((C422+D422)/2&gt;=33,1,0)))))))</f>
        <v/>
      </c>
      <c r="AD422">
        <f>IF(E422+F422&lt;66,0,IF((E422+F422)/2&gt;=80,5,IF((E422+F422)/2&gt;=70,4,IF((E422+F422)/2&gt;=60,3.5,IF((E422+F422)/2&gt;=50,3,IF((E422+F422)/2&gt;=40,2,IF((E422+F422)/2&gt;=33,1,0)))))))</f>
        <v/>
      </c>
      <c r="AE422">
        <f>IF(G422&lt;33,0,IF(G422&gt;=80,5,IF(G422&gt;=70,4,IF(G422&gt;=60,3.5,IF(G422&gt;=50,3,IF(G422&gt;=40,2,IF(G422&gt;=33,1,0)))))))</f>
        <v/>
      </c>
      <c r="AF422">
        <f>IF(H422+I422&lt;66,0,IF((H422+I422)/2&gt;=80,5,IF((H422+I422)/2&gt;=70,4,IF((H422+I422)/2&gt;=60,3.5,IF((H422+I422)/2&gt;=50,3,IF((H422+I422)/2&gt;=40,2,IF((H422+I422)/2&gt;=33,1,0)))))))</f>
        <v/>
      </c>
      <c r="AG422">
        <f>IF(Y422,0,IF((J422+K422+L422+M422)/2&gt;=80,5,IF((J422+K422+L422+M422)/2&gt;=70,4,IF((J422+K422+L422+M422)/2&gt;=60,3.5,IF((J422+K422+L422+M422)/2&gt;=50,3,IF((J422+K422+L422+M422)/2&gt;=40,2,IF((J422+K422+L422+M422)/2&gt;=33,1,0)))))))</f>
        <v/>
      </c>
      <c r="AH422">
        <f>IF(Z422,0,IF(N422+O422&gt;=80,5,IF(N422+O422&gt;=70,4,IF(N422+O422&gt;=60,3.5,IF(N422+O422&gt;=50,3,IF(N422+O422&gt;=40,2,IF(N422+O422&gt;=33,1,0)))))))</f>
        <v/>
      </c>
      <c r="AI422">
        <f>IF(AA422,0,IF(P422+Q422&gt;=80,5,IF(P422+Q422&gt;=70,4,IF(P422+Q422&gt;=60,3.5,IF(P422+Q422&gt;=50,3,IF(P422+Q422&gt;=40,2,IF(P422+Q422&gt;=33,1,0)))))))</f>
        <v/>
      </c>
      <c r="AJ422">
        <f>IF(R422&lt;8.25,0,IF(R422*2&gt;=80,5,IF(R422*2&gt;=70,4,IF(R422*2&gt;=60,3.5,IF(R422*2&gt;=50,3,IF(R422*2&gt;=40,2,IF(R422*2&gt;=33,1,0)))))))</f>
        <v/>
      </c>
      <c r="AK422">
        <f>IF(S422&lt;33,0,IF(S422&gt;=80,5,IF(S422&gt;=70,4,IF(S422&gt;=60,3.5,IF(S422&gt;=50,3,IF(S422&gt;=40,2,IF(S422&gt;=33,1,0)))))))</f>
        <v/>
      </c>
      <c r="AL422">
        <f>(AC422+AD422+AE422+AF422+AG422+AH422+AI422+AJ422)/8</f>
        <v/>
      </c>
      <c r="AM422">
        <f>IF(AK422&gt;=2,(AK422-2)/8,0)</f>
        <v/>
      </c>
    </row>
    <row r="423">
      <c r="T423">
        <f>SUM(C423:R423)</f>
        <v/>
      </c>
      <c r="U423" s="6">
        <f>ROUND(T423/11.5,2)</f>
        <v/>
      </c>
      <c r="V423" s="7">
        <f>IF(B423="","",IF(AB423,0,ROUND(AL423,2)))</f>
        <v/>
      </c>
      <c r="W423" s="7">
        <f>IF(B423="","",IF(AB423,0,MIN(5,ROUND(AL423+AM423,2))))</f>
        <v/>
      </c>
      <c r="X423" s="8">
        <f>IF(B423="","",IF(W423&gt;=5,"A+",IF(W423&gt;=4,"A",IF(W423&gt;=3.5,"A-",IF(W423&gt;=3,"B",IF(W423&gt;=2,"C",IF(W423&gt;=1,"D","F")))))))</f>
        <v/>
      </c>
      <c r="Y423">
        <f>NOT(OR(AND(J423&gt;=10,K423&gt;=23,L423&gt;=10,M423&gt;=23),AND(J423+L423&gt;=20,K423+M423&gt;=46)))</f>
        <v/>
      </c>
      <c r="Z423">
        <f>OR(N423&lt;10,O423&lt;23)</f>
        <v/>
      </c>
      <c r="AA423">
        <f>OR(P423&lt;10,Q423&lt;23)</f>
        <v/>
      </c>
      <c r="AB423">
        <f>OR((C423+D423)&lt;66,(E423+F423)&lt;66,G423&lt;33,(H423+I423)&lt;66,Y423,Z423,AA423,R423&lt;8.25)</f>
        <v/>
      </c>
      <c r="AC423">
        <f>IF(C423+D423&lt;66,0,IF((C423+D423)/2&gt;=80,5,IF((C423+D423)/2&gt;=70,4,IF((C423+D423)/2&gt;=60,3.5,IF((C423+D423)/2&gt;=50,3,IF((C423+D423)/2&gt;=40,2,IF((C423+D423)/2&gt;=33,1,0)))))))</f>
        <v/>
      </c>
      <c r="AD423">
        <f>IF(E423+F423&lt;66,0,IF((E423+F423)/2&gt;=80,5,IF((E423+F423)/2&gt;=70,4,IF((E423+F423)/2&gt;=60,3.5,IF((E423+F423)/2&gt;=50,3,IF((E423+F423)/2&gt;=40,2,IF((E423+F423)/2&gt;=33,1,0)))))))</f>
        <v/>
      </c>
      <c r="AE423">
        <f>IF(G423&lt;33,0,IF(G423&gt;=80,5,IF(G423&gt;=70,4,IF(G423&gt;=60,3.5,IF(G423&gt;=50,3,IF(G423&gt;=40,2,IF(G423&gt;=33,1,0)))))))</f>
        <v/>
      </c>
      <c r="AF423">
        <f>IF(H423+I423&lt;66,0,IF((H423+I423)/2&gt;=80,5,IF((H423+I423)/2&gt;=70,4,IF((H423+I423)/2&gt;=60,3.5,IF((H423+I423)/2&gt;=50,3,IF((H423+I423)/2&gt;=40,2,IF((H423+I423)/2&gt;=33,1,0)))))))</f>
        <v/>
      </c>
      <c r="AG423">
        <f>IF(Y423,0,IF((J423+K423+L423+M423)/2&gt;=80,5,IF((J423+K423+L423+M423)/2&gt;=70,4,IF((J423+K423+L423+M423)/2&gt;=60,3.5,IF((J423+K423+L423+M423)/2&gt;=50,3,IF((J423+K423+L423+M423)/2&gt;=40,2,IF((J423+K423+L423+M423)/2&gt;=33,1,0)))))))</f>
        <v/>
      </c>
      <c r="AH423">
        <f>IF(Z423,0,IF(N423+O423&gt;=80,5,IF(N423+O423&gt;=70,4,IF(N423+O423&gt;=60,3.5,IF(N423+O423&gt;=50,3,IF(N423+O423&gt;=40,2,IF(N423+O423&gt;=33,1,0)))))))</f>
        <v/>
      </c>
      <c r="AI423">
        <f>IF(AA423,0,IF(P423+Q423&gt;=80,5,IF(P423+Q423&gt;=70,4,IF(P423+Q423&gt;=60,3.5,IF(P423+Q423&gt;=50,3,IF(P423+Q423&gt;=40,2,IF(P423+Q423&gt;=33,1,0)))))))</f>
        <v/>
      </c>
      <c r="AJ423">
        <f>IF(R423&lt;8.25,0,IF(R423*2&gt;=80,5,IF(R423*2&gt;=70,4,IF(R423*2&gt;=60,3.5,IF(R423*2&gt;=50,3,IF(R423*2&gt;=40,2,IF(R423*2&gt;=33,1,0)))))))</f>
        <v/>
      </c>
      <c r="AK423">
        <f>IF(S423&lt;33,0,IF(S423&gt;=80,5,IF(S423&gt;=70,4,IF(S423&gt;=60,3.5,IF(S423&gt;=50,3,IF(S423&gt;=40,2,IF(S423&gt;=33,1,0)))))))</f>
        <v/>
      </c>
      <c r="AL423">
        <f>(AC423+AD423+AE423+AF423+AG423+AH423+AI423+AJ423)/8</f>
        <v/>
      </c>
      <c r="AM423">
        <f>IF(AK423&gt;=2,(AK423-2)/8,0)</f>
        <v/>
      </c>
    </row>
    <row r="424">
      <c r="T424">
        <f>SUM(C424:R424)</f>
        <v/>
      </c>
      <c r="U424" s="6">
        <f>ROUND(T424/11.5,2)</f>
        <v/>
      </c>
      <c r="V424" s="7">
        <f>IF(B424="","",IF(AB424,0,ROUND(AL424,2)))</f>
        <v/>
      </c>
      <c r="W424" s="7">
        <f>IF(B424="","",IF(AB424,0,MIN(5,ROUND(AL424+AM424,2))))</f>
        <v/>
      </c>
      <c r="X424" s="8">
        <f>IF(B424="","",IF(W424&gt;=5,"A+",IF(W424&gt;=4,"A",IF(W424&gt;=3.5,"A-",IF(W424&gt;=3,"B",IF(W424&gt;=2,"C",IF(W424&gt;=1,"D","F")))))))</f>
        <v/>
      </c>
      <c r="Y424">
        <f>NOT(OR(AND(J424&gt;=10,K424&gt;=23,L424&gt;=10,M424&gt;=23),AND(J424+L424&gt;=20,K424+M424&gt;=46)))</f>
        <v/>
      </c>
      <c r="Z424">
        <f>OR(N424&lt;10,O424&lt;23)</f>
        <v/>
      </c>
      <c r="AA424">
        <f>OR(P424&lt;10,Q424&lt;23)</f>
        <v/>
      </c>
      <c r="AB424">
        <f>OR((C424+D424)&lt;66,(E424+F424)&lt;66,G424&lt;33,(H424+I424)&lt;66,Y424,Z424,AA424,R424&lt;8.25)</f>
        <v/>
      </c>
      <c r="AC424">
        <f>IF(C424+D424&lt;66,0,IF((C424+D424)/2&gt;=80,5,IF((C424+D424)/2&gt;=70,4,IF((C424+D424)/2&gt;=60,3.5,IF((C424+D424)/2&gt;=50,3,IF((C424+D424)/2&gt;=40,2,IF((C424+D424)/2&gt;=33,1,0)))))))</f>
        <v/>
      </c>
      <c r="AD424">
        <f>IF(E424+F424&lt;66,0,IF((E424+F424)/2&gt;=80,5,IF((E424+F424)/2&gt;=70,4,IF((E424+F424)/2&gt;=60,3.5,IF((E424+F424)/2&gt;=50,3,IF((E424+F424)/2&gt;=40,2,IF((E424+F424)/2&gt;=33,1,0)))))))</f>
        <v/>
      </c>
      <c r="AE424">
        <f>IF(G424&lt;33,0,IF(G424&gt;=80,5,IF(G424&gt;=70,4,IF(G424&gt;=60,3.5,IF(G424&gt;=50,3,IF(G424&gt;=40,2,IF(G424&gt;=33,1,0)))))))</f>
        <v/>
      </c>
      <c r="AF424">
        <f>IF(H424+I424&lt;66,0,IF((H424+I424)/2&gt;=80,5,IF((H424+I424)/2&gt;=70,4,IF((H424+I424)/2&gt;=60,3.5,IF((H424+I424)/2&gt;=50,3,IF((H424+I424)/2&gt;=40,2,IF((H424+I424)/2&gt;=33,1,0)))))))</f>
        <v/>
      </c>
      <c r="AG424">
        <f>IF(Y424,0,IF((J424+K424+L424+M424)/2&gt;=80,5,IF((J424+K424+L424+M424)/2&gt;=70,4,IF((J424+K424+L424+M424)/2&gt;=60,3.5,IF((J424+K424+L424+M424)/2&gt;=50,3,IF((J424+K424+L424+M424)/2&gt;=40,2,IF((J424+K424+L424+M424)/2&gt;=33,1,0)))))))</f>
        <v/>
      </c>
      <c r="AH424">
        <f>IF(Z424,0,IF(N424+O424&gt;=80,5,IF(N424+O424&gt;=70,4,IF(N424+O424&gt;=60,3.5,IF(N424+O424&gt;=50,3,IF(N424+O424&gt;=40,2,IF(N424+O424&gt;=33,1,0)))))))</f>
        <v/>
      </c>
      <c r="AI424">
        <f>IF(AA424,0,IF(P424+Q424&gt;=80,5,IF(P424+Q424&gt;=70,4,IF(P424+Q424&gt;=60,3.5,IF(P424+Q424&gt;=50,3,IF(P424+Q424&gt;=40,2,IF(P424+Q424&gt;=33,1,0)))))))</f>
        <v/>
      </c>
      <c r="AJ424">
        <f>IF(R424&lt;8.25,0,IF(R424*2&gt;=80,5,IF(R424*2&gt;=70,4,IF(R424*2&gt;=60,3.5,IF(R424*2&gt;=50,3,IF(R424*2&gt;=40,2,IF(R424*2&gt;=33,1,0)))))))</f>
        <v/>
      </c>
      <c r="AK424">
        <f>IF(S424&lt;33,0,IF(S424&gt;=80,5,IF(S424&gt;=70,4,IF(S424&gt;=60,3.5,IF(S424&gt;=50,3,IF(S424&gt;=40,2,IF(S424&gt;=33,1,0)))))))</f>
        <v/>
      </c>
      <c r="AL424">
        <f>(AC424+AD424+AE424+AF424+AG424+AH424+AI424+AJ424)/8</f>
        <v/>
      </c>
      <c r="AM424">
        <f>IF(AK424&gt;=2,(AK424-2)/8,0)</f>
        <v/>
      </c>
    </row>
    <row r="425">
      <c r="T425">
        <f>SUM(C425:R425)</f>
        <v/>
      </c>
      <c r="U425" s="6">
        <f>ROUND(T425/11.5,2)</f>
        <v/>
      </c>
      <c r="V425" s="7">
        <f>IF(B425="","",IF(AB425,0,ROUND(AL425,2)))</f>
        <v/>
      </c>
      <c r="W425" s="7">
        <f>IF(B425="","",IF(AB425,0,MIN(5,ROUND(AL425+AM425,2))))</f>
        <v/>
      </c>
      <c r="X425" s="8">
        <f>IF(B425="","",IF(W425&gt;=5,"A+",IF(W425&gt;=4,"A",IF(W425&gt;=3.5,"A-",IF(W425&gt;=3,"B",IF(W425&gt;=2,"C",IF(W425&gt;=1,"D","F")))))))</f>
        <v/>
      </c>
      <c r="Y425">
        <f>NOT(OR(AND(J425&gt;=10,K425&gt;=23,L425&gt;=10,M425&gt;=23),AND(J425+L425&gt;=20,K425+M425&gt;=46)))</f>
        <v/>
      </c>
      <c r="Z425">
        <f>OR(N425&lt;10,O425&lt;23)</f>
        <v/>
      </c>
      <c r="AA425">
        <f>OR(P425&lt;10,Q425&lt;23)</f>
        <v/>
      </c>
      <c r="AB425">
        <f>OR((C425+D425)&lt;66,(E425+F425)&lt;66,G425&lt;33,(H425+I425)&lt;66,Y425,Z425,AA425,R425&lt;8.25)</f>
        <v/>
      </c>
      <c r="AC425">
        <f>IF(C425+D425&lt;66,0,IF((C425+D425)/2&gt;=80,5,IF((C425+D425)/2&gt;=70,4,IF((C425+D425)/2&gt;=60,3.5,IF((C425+D425)/2&gt;=50,3,IF((C425+D425)/2&gt;=40,2,IF((C425+D425)/2&gt;=33,1,0)))))))</f>
        <v/>
      </c>
      <c r="AD425">
        <f>IF(E425+F425&lt;66,0,IF((E425+F425)/2&gt;=80,5,IF((E425+F425)/2&gt;=70,4,IF((E425+F425)/2&gt;=60,3.5,IF((E425+F425)/2&gt;=50,3,IF((E425+F425)/2&gt;=40,2,IF((E425+F425)/2&gt;=33,1,0)))))))</f>
        <v/>
      </c>
      <c r="AE425">
        <f>IF(G425&lt;33,0,IF(G425&gt;=80,5,IF(G425&gt;=70,4,IF(G425&gt;=60,3.5,IF(G425&gt;=50,3,IF(G425&gt;=40,2,IF(G425&gt;=33,1,0)))))))</f>
        <v/>
      </c>
      <c r="AF425">
        <f>IF(H425+I425&lt;66,0,IF((H425+I425)/2&gt;=80,5,IF((H425+I425)/2&gt;=70,4,IF((H425+I425)/2&gt;=60,3.5,IF((H425+I425)/2&gt;=50,3,IF((H425+I425)/2&gt;=40,2,IF((H425+I425)/2&gt;=33,1,0)))))))</f>
        <v/>
      </c>
      <c r="AG425">
        <f>IF(Y425,0,IF((J425+K425+L425+M425)/2&gt;=80,5,IF((J425+K425+L425+M425)/2&gt;=70,4,IF((J425+K425+L425+M425)/2&gt;=60,3.5,IF((J425+K425+L425+M425)/2&gt;=50,3,IF((J425+K425+L425+M425)/2&gt;=40,2,IF((J425+K425+L425+M425)/2&gt;=33,1,0)))))))</f>
        <v/>
      </c>
      <c r="AH425">
        <f>IF(Z425,0,IF(N425+O425&gt;=80,5,IF(N425+O425&gt;=70,4,IF(N425+O425&gt;=60,3.5,IF(N425+O425&gt;=50,3,IF(N425+O425&gt;=40,2,IF(N425+O425&gt;=33,1,0)))))))</f>
        <v/>
      </c>
      <c r="AI425">
        <f>IF(AA425,0,IF(P425+Q425&gt;=80,5,IF(P425+Q425&gt;=70,4,IF(P425+Q425&gt;=60,3.5,IF(P425+Q425&gt;=50,3,IF(P425+Q425&gt;=40,2,IF(P425+Q425&gt;=33,1,0)))))))</f>
        <v/>
      </c>
      <c r="AJ425">
        <f>IF(R425&lt;8.25,0,IF(R425*2&gt;=80,5,IF(R425*2&gt;=70,4,IF(R425*2&gt;=60,3.5,IF(R425*2&gt;=50,3,IF(R425*2&gt;=40,2,IF(R425*2&gt;=33,1,0)))))))</f>
        <v/>
      </c>
      <c r="AK425">
        <f>IF(S425&lt;33,0,IF(S425&gt;=80,5,IF(S425&gt;=70,4,IF(S425&gt;=60,3.5,IF(S425&gt;=50,3,IF(S425&gt;=40,2,IF(S425&gt;=33,1,0)))))))</f>
        <v/>
      </c>
      <c r="AL425">
        <f>(AC425+AD425+AE425+AF425+AG425+AH425+AI425+AJ425)/8</f>
        <v/>
      </c>
      <c r="AM425">
        <f>IF(AK425&gt;=2,(AK425-2)/8,0)</f>
        <v/>
      </c>
    </row>
    <row r="426">
      <c r="T426">
        <f>SUM(C426:R426)</f>
        <v/>
      </c>
      <c r="U426" s="6">
        <f>ROUND(T426/11.5,2)</f>
        <v/>
      </c>
      <c r="V426" s="7">
        <f>IF(B426="","",IF(AB426,0,ROUND(AL426,2)))</f>
        <v/>
      </c>
      <c r="W426" s="7">
        <f>IF(B426="","",IF(AB426,0,MIN(5,ROUND(AL426+AM426,2))))</f>
        <v/>
      </c>
      <c r="X426" s="8">
        <f>IF(B426="","",IF(W426&gt;=5,"A+",IF(W426&gt;=4,"A",IF(W426&gt;=3.5,"A-",IF(W426&gt;=3,"B",IF(W426&gt;=2,"C",IF(W426&gt;=1,"D","F")))))))</f>
        <v/>
      </c>
      <c r="Y426">
        <f>NOT(OR(AND(J426&gt;=10,K426&gt;=23,L426&gt;=10,M426&gt;=23),AND(J426+L426&gt;=20,K426+M426&gt;=46)))</f>
        <v/>
      </c>
      <c r="Z426">
        <f>OR(N426&lt;10,O426&lt;23)</f>
        <v/>
      </c>
      <c r="AA426">
        <f>OR(P426&lt;10,Q426&lt;23)</f>
        <v/>
      </c>
      <c r="AB426">
        <f>OR((C426+D426)&lt;66,(E426+F426)&lt;66,G426&lt;33,(H426+I426)&lt;66,Y426,Z426,AA426,R426&lt;8.25)</f>
        <v/>
      </c>
      <c r="AC426">
        <f>IF(C426+D426&lt;66,0,IF((C426+D426)/2&gt;=80,5,IF((C426+D426)/2&gt;=70,4,IF((C426+D426)/2&gt;=60,3.5,IF((C426+D426)/2&gt;=50,3,IF((C426+D426)/2&gt;=40,2,IF((C426+D426)/2&gt;=33,1,0)))))))</f>
        <v/>
      </c>
      <c r="AD426">
        <f>IF(E426+F426&lt;66,0,IF((E426+F426)/2&gt;=80,5,IF((E426+F426)/2&gt;=70,4,IF((E426+F426)/2&gt;=60,3.5,IF((E426+F426)/2&gt;=50,3,IF((E426+F426)/2&gt;=40,2,IF((E426+F426)/2&gt;=33,1,0)))))))</f>
        <v/>
      </c>
      <c r="AE426">
        <f>IF(G426&lt;33,0,IF(G426&gt;=80,5,IF(G426&gt;=70,4,IF(G426&gt;=60,3.5,IF(G426&gt;=50,3,IF(G426&gt;=40,2,IF(G426&gt;=33,1,0)))))))</f>
        <v/>
      </c>
      <c r="AF426">
        <f>IF(H426+I426&lt;66,0,IF((H426+I426)/2&gt;=80,5,IF((H426+I426)/2&gt;=70,4,IF((H426+I426)/2&gt;=60,3.5,IF((H426+I426)/2&gt;=50,3,IF((H426+I426)/2&gt;=40,2,IF((H426+I426)/2&gt;=33,1,0)))))))</f>
        <v/>
      </c>
      <c r="AG426">
        <f>IF(Y426,0,IF((J426+K426+L426+M426)/2&gt;=80,5,IF((J426+K426+L426+M426)/2&gt;=70,4,IF((J426+K426+L426+M426)/2&gt;=60,3.5,IF((J426+K426+L426+M426)/2&gt;=50,3,IF((J426+K426+L426+M426)/2&gt;=40,2,IF((J426+K426+L426+M426)/2&gt;=33,1,0)))))))</f>
        <v/>
      </c>
      <c r="AH426">
        <f>IF(Z426,0,IF(N426+O426&gt;=80,5,IF(N426+O426&gt;=70,4,IF(N426+O426&gt;=60,3.5,IF(N426+O426&gt;=50,3,IF(N426+O426&gt;=40,2,IF(N426+O426&gt;=33,1,0)))))))</f>
        <v/>
      </c>
      <c r="AI426">
        <f>IF(AA426,0,IF(P426+Q426&gt;=80,5,IF(P426+Q426&gt;=70,4,IF(P426+Q426&gt;=60,3.5,IF(P426+Q426&gt;=50,3,IF(P426+Q426&gt;=40,2,IF(P426+Q426&gt;=33,1,0)))))))</f>
        <v/>
      </c>
      <c r="AJ426">
        <f>IF(R426&lt;8.25,0,IF(R426*2&gt;=80,5,IF(R426*2&gt;=70,4,IF(R426*2&gt;=60,3.5,IF(R426*2&gt;=50,3,IF(R426*2&gt;=40,2,IF(R426*2&gt;=33,1,0)))))))</f>
        <v/>
      </c>
      <c r="AK426">
        <f>IF(S426&lt;33,0,IF(S426&gt;=80,5,IF(S426&gt;=70,4,IF(S426&gt;=60,3.5,IF(S426&gt;=50,3,IF(S426&gt;=40,2,IF(S426&gt;=33,1,0)))))))</f>
        <v/>
      </c>
      <c r="AL426">
        <f>(AC426+AD426+AE426+AF426+AG426+AH426+AI426+AJ426)/8</f>
        <v/>
      </c>
      <c r="AM426">
        <f>IF(AK426&gt;=2,(AK426-2)/8,0)</f>
        <v/>
      </c>
    </row>
    <row r="427">
      <c r="T427">
        <f>SUM(C427:R427)</f>
        <v/>
      </c>
      <c r="U427" s="6">
        <f>ROUND(T427/11.5,2)</f>
        <v/>
      </c>
      <c r="V427" s="7">
        <f>IF(B427="","",IF(AB427,0,ROUND(AL427,2)))</f>
        <v/>
      </c>
      <c r="W427" s="7">
        <f>IF(B427="","",IF(AB427,0,MIN(5,ROUND(AL427+AM427,2))))</f>
        <v/>
      </c>
      <c r="X427" s="8">
        <f>IF(B427="","",IF(W427&gt;=5,"A+",IF(W427&gt;=4,"A",IF(W427&gt;=3.5,"A-",IF(W427&gt;=3,"B",IF(W427&gt;=2,"C",IF(W427&gt;=1,"D","F")))))))</f>
        <v/>
      </c>
      <c r="Y427">
        <f>NOT(OR(AND(J427&gt;=10,K427&gt;=23,L427&gt;=10,M427&gt;=23),AND(J427+L427&gt;=20,K427+M427&gt;=46)))</f>
        <v/>
      </c>
      <c r="Z427">
        <f>OR(N427&lt;10,O427&lt;23)</f>
        <v/>
      </c>
      <c r="AA427">
        <f>OR(P427&lt;10,Q427&lt;23)</f>
        <v/>
      </c>
      <c r="AB427">
        <f>OR((C427+D427)&lt;66,(E427+F427)&lt;66,G427&lt;33,(H427+I427)&lt;66,Y427,Z427,AA427,R427&lt;8.25)</f>
        <v/>
      </c>
      <c r="AC427">
        <f>IF(C427+D427&lt;66,0,IF((C427+D427)/2&gt;=80,5,IF((C427+D427)/2&gt;=70,4,IF((C427+D427)/2&gt;=60,3.5,IF((C427+D427)/2&gt;=50,3,IF((C427+D427)/2&gt;=40,2,IF((C427+D427)/2&gt;=33,1,0)))))))</f>
        <v/>
      </c>
      <c r="AD427">
        <f>IF(E427+F427&lt;66,0,IF((E427+F427)/2&gt;=80,5,IF((E427+F427)/2&gt;=70,4,IF((E427+F427)/2&gt;=60,3.5,IF((E427+F427)/2&gt;=50,3,IF((E427+F427)/2&gt;=40,2,IF((E427+F427)/2&gt;=33,1,0)))))))</f>
        <v/>
      </c>
      <c r="AE427">
        <f>IF(G427&lt;33,0,IF(G427&gt;=80,5,IF(G427&gt;=70,4,IF(G427&gt;=60,3.5,IF(G427&gt;=50,3,IF(G427&gt;=40,2,IF(G427&gt;=33,1,0)))))))</f>
        <v/>
      </c>
      <c r="AF427">
        <f>IF(H427+I427&lt;66,0,IF((H427+I427)/2&gt;=80,5,IF((H427+I427)/2&gt;=70,4,IF((H427+I427)/2&gt;=60,3.5,IF((H427+I427)/2&gt;=50,3,IF((H427+I427)/2&gt;=40,2,IF((H427+I427)/2&gt;=33,1,0)))))))</f>
        <v/>
      </c>
      <c r="AG427">
        <f>IF(Y427,0,IF((J427+K427+L427+M427)/2&gt;=80,5,IF((J427+K427+L427+M427)/2&gt;=70,4,IF((J427+K427+L427+M427)/2&gt;=60,3.5,IF((J427+K427+L427+M427)/2&gt;=50,3,IF((J427+K427+L427+M427)/2&gt;=40,2,IF((J427+K427+L427+M427)/2&gt;=33,1,0)))))))</f>
        <v/>
      </c>
      <c r="AH427">
        <f>IF(Z427,0,IF(N427+O427&gt;=80,5,IF(N427+O427&gt;=70,4,IF(N427+O427&gt;=60,3.5,IF(N427+O427&gt;=50,3,IF(N427+O427&gt;=40,2,IF(N427+O427&gt;=33,1,0)))))))</f>
        <v/>
      </c>
      <c r="AI427">
        <f>IF(AA427,0,IF(P427+Q427&gt;=80,5,IF(P427+Q427&gt;=70,4,IF(P427+Q427&gt;=60,3.5,IF(P427+Q427&gt;=50,3,IF(P427+Q427&gt;=40,2,IF(P427+Q427&gt;=33,1,0)))))))</f>
        <v/>
      </c>
      <c r="AJ427">
        <f>IF(R427&lt;8.25,0,IF(R427*2&gt;=80,5,IF(R427*2&gt;=70,4,IF(R427*2&gt;=60,3.5,IF(R427*2&gt;=50,3,IF(R427*2&gt;=40,2,IF(R427*2&gt;=33,1,0)))))))</f>
        <v/>
      </c>
      <c r="AK427">
        <f>IF(S427&lt;33,0,IF(S427&gt;=80,5,IF(S427&gt;=70,4,IF(S427&gt;=60,3.5,IF(S427&gt;=50,3,IF(S427&gt;=40,2,IF(S427&gt;=33,1,0)))))))</f>
        <v/>
      </c>
      <c r="AL427">
        <f>(AC427+AD427+AE427+AF427+AG427+AH427+AI427+AJ427)/8</f>
        <v/>
      </c>
      <c r="AM427">
        <f>IF(AK427&gt;=2,(AK427-2)/8,0)</f>
        <v/>
      </c>
    </row>
    <row r="428">
      <c r="T428">
        <f>SUM(C428:R428)</f>
        <v/>
      </c>
      <c r="U428" s="6">
        <f>ROUND(T428/11.5,2)</f>
        <v/>
      </c>
      <c r="V428" s="7">
        <f>IF(B428="","",IF(AB428,0,ROUND(AL428,2)))</f>
        <v/>
      </c>
      <c r="W428" s="7">
        <f>IF(B428="","",IF(AB428,0,MIN(5,ROUND(AL428+AM428,2))))</f>
        <v/>
      </c>
      <c r="X428" s="8">
        <f>IF(B428="","",IF(W428&gt;=5,"A+",IF(W428&gt;=4,"A",IF(W428&gt;=3.5,"A-",IF(W428&gt;=3,"B",IF(W428&gt;=2,"C",IF(W428&gt;=1,"D","F")))))))</f>
        <v/>
      </c>
      <c r="Y428">
        <f>NOT(OR(AND(J428&gt;=10,K428&gt;=23,L428&gt;=10,M428&gt;=23),AND(J428+L428&gt;=20,K428+M428&gt;=46)))</f>
        <v/>
      </c>
      <c r="Z428">
        <f>OR(N428&lt;10,O428&lt;23)</f>
        <v/>
      </c>
      <c r="AA428">
        <f>OR(P428&lt;10,Q428&lt;23)</f>
        <v/>
      </c>
      <c r="AB428">
        <f>OR((C428+D428)&lt;66,(E428+F428)&lt;66,G428&lt;33,(H428+I428)&lt;66,Y428,Z428,AA428,R428&lt;8.25)</f>
        <v/>
      </c>
      <c r="AC428">
        <f>IF(C428+D428&lt;66,0,IF((C428+D428)/2&gt;=80,5,IF((C428+D428)/2&gt;=70,4,IF((C428+D428)/2&gt;=60,3.5,IF((C428+D428)/2&gt;=50,3,IF((C428+D428)/2&gt;=40,2,IF((C428+D428)/2&gt;=33,1,0)))))))</f>
        <v/>
      </c>
      <c r="AD428">
        <f>IF(E428+F428&lt;66,0,IF((E428+F428)/2&gt;=80,5,IF((E428+F428)/2&gt;=70,4,IF((E428+F428)/2&gt;=60,3.5,IF((E428+F428)/2&gt;=50,3,IF((E428+F428)/2&gt;=40,2,IF((E428+F428)/2&gt;=33,1,0)))))))</f>
        <v/>
      </c>
      <c r="AE428">
        <f>IF(G428&lt;33,0,IF(G428&gt;=80,5,IF(G428&gt;=70,4,IF(G428&gt;=60,3.5,IF(G428&gt;=50,3,IF(G428&gt;=40,2,IF(G428&gt;=33,1,0)))))))</f>
        <v/>
      </c>
      <c r="AF428">
        <f>IF(H428+I428&lt;66,0,IF((H428+I428)/2&gt;=80,5,IF((H428+I428)/2&gt;=70,4,IF((H428+I428)/2&gt;=60,3.5,IF((H428+I428)/2&gt;=50,3,IF((H428+I428)/2&gt;=40,2,IF((H428+I428)/2&gt;=33,1,0)))))))</f>
        <v/>
      </c>
      <c r="AG428">
        <f>IF(Y428,0,IF((J428+K428+L428+M428)/2&gt;=80,5,IF((J428+K428+L428+M428)/2&gt;=70,4,IF((J428+K428+L428+M428)/2&gt;=60,3.5,IF((J428+K428+L428+M428)/2&gt;=50,3,IF((J428+K428+L428+M428)/2&gt;=40,2,IF((J428+K428+L428+M428)/2&gt;=33,1,0)))))))</f>
        <v/>
      </c>
      <c r="AH428">
        <f>IF(Z428,0,IF(N428+O428&gt;=80,5,IF(N428+O428&gt;=70,4,IF(N428+O428&gt;=60,3.5,IF(N428+O428&gt;=50,3,IF(N428+O428&gt;=40,2,IF(N428+O428&gt;=33,1,0)))))))</f>
        <v/>
      </c>
      <c r="AI428">
        <f>IF(AA428,0,IF(P428+Q428&gt;=80,5,IF(P428+Q428&gt;=70,4,IF(P428+Q428&gt;=60,3.5,IF(P428+Q428&gt;=50,3,IF(P428+Q428&gt;=40,2,IF(P428+Q428&gt;=33,1,0)))))))</f>
        <v/>
      </c>
      <c r="AJ428">
        <f>IF(R428&lt;8.25,0,IF(R428*2&gt;=80,5,IF(R428*2&gt;=70,4,IF(R428*2&gt;=60,3.5,IF(R428*2&gt;=50,3,IF(R428*2&gt;=40,2,IF(R428*2&gt;=33,1,0)))))))</f>
        <v/>
      </c>
      <c r="AK428">
        <f>IF(S428&lt;33,0,IF(S428&gt;=80,5,IF(S428&gt;=70,4,IF(S428&gt;=60,3.5,IF(S428&gt;=50,3,IF(S428&gt;=40,2,IF(S428&gt;=33,1,0)))))))</f>
        <v/>
      </c>
      <c r="AL428">
        <f>(AC428+AD428+AE428+AF428+AG428+AH428+AI428+AJ428)/8</f>
        <v/>
      </c>
      <c r="AM428">
        <f>IF(AK428&gt;=2,(AK428-2)/8,0)</f>
        <v/>
      </c>
    </row>
    <row r="429">
      <c r="T429">
        <f>SUM(C429:R429)</f>
        <v/>
      </c>
      <c r="U429" s="6">
        <f>ROUND(T429/11.5,2)</f>
        <v/>
      </c>
      <c r="V429" s="7">
        <f>IF(B429="","",IF(AB429,0,ROUND(AL429,2)))</f>
        <v/>
      </c>
      <c r="W429" s="7">
        <f>IF(B429="","",IF(AB429,0,MIN(5,ROUND(AL429+AM429,2))))</f>
        <v/>
      </c>
      <c r="X429" s="8">
        <f>IF(B429="","",IF(W429&gt;=5,"A+",IF(W429&gt;=4,"A",IF(W429&gt;=3.5,"A-",IF(W429&gt;=3,"B",IF(W429&gt;=2,"C",IF(W429&gt;=1,"D","F")))))))</f>
        <v/>
      </c>
      <c r="Y429">
        <f>NOT(OR(AND(J429&gt;=10,K429&gt;=23,L429&gt;=10,M429&gt;=23),AND(J429+L429&gt;=20,K429+M429&gt;=46)))</f>
        <v/>
      </c>
      <c r="Z429">
        <f>OR(N429&lt;10,O429&lt;23)</f>
        <v/>
      </c>
      <c r="AA429">
        <f>OR(P429&lt;10,Q429&lt;23)</f>
        <v/>
      </c>
      <c r="AB429">
        <f>OR((C429+D429)&lt;66,(E429+F429)&lt;66,G429&lt;33,(H429+I429)&lt;66,Y429,Z429,AA429,R429&lt;8.25)</f>
        <v/>
      </c>
      <c r="AC429">
        <f>IF(C429+D429&lt;66,0,IF((C429+D429)/2&gt;=80,5,IF((C429+D429)/2&gt;=70,4,IF((C429+D429)/2&gt;=60,3.5,IF((C429+D429)/2&gt;=50,3,IF((C429+D429)/2&gt;=40,2,IF((C429+D429)/2&gt;=33,1,0)))))))</f>
        <v/>
      </c>
      <c r="AD429">
        <f>IF(E429+F429&lt;66,0,IF((E429+F429)/2&gt;=80,5,IF((E429+F429)/2&gt;=70,4,IF((E429+F429)/2&gt;=60,3.5,IF((E429+F429)/2&gt;=50,3,IF((E429+F429)/2&gt;=40,2,IF((E429+F429)/2&gt;=33,1,0)))))))</f>
        <v/>
      </c>
      <c r="AE429">
        <f>IF(G429&lt;33,0,IF(G429&gt;=80,5,IF(G429&gt;=70,4,IF(G429&gt;=60,3.5,IF(G429&gt;=50,3,IF(G429&gt;=40,2,IF(G429&gt;=33,1,0)))))))</f>
        <v/>
      </c>
      <c r="AF429">
        <f>IF(H429+I429&lt;66,0,IF((H429+I429)/2&gt;=80,5,IF((H429+I429)/2&gt;=70,4,IF((H429+I429)/2&gt;=60,3.5,IF((H429+I429)/2&gt;=50,3,IF((H429+I429)/2&gt;=40,2,IF((H429+I429)/2&gt;=33,1,0)))))))</f>
        <v/>
      </c>
      <c r="AG429">
        <f>IF(Y429,0,IF((J429+K429+L429+M429)/2&gt;=80,5,IF((J429+K429+L429+M429)/2&gt;=70,4,IF((J429+K429+L429+M429)/2&gt;=60,3.5,IF((J429+K429+L429+M429)/2&gt;=50,3,IF((J429+K429+L429+M429)/2&gt;=40,2,IF((J429+K429+L429+M429)/2&gt;=33,1,0)))))))</f>
        <v/>
      </c>
      <c r="AH429">
        <f>IF(Z429,0,IF(N429+O429&gt;=80,5,IF(N429+O429&gt;=70,4,IF(N429+O429&gt;=60,3.5,IF(N429+O429&gt;=50,3,IF(N429+O429&gt;=40,2,IF(N429+O429&gt;=33,1,0)))))))</f>
        <v/>
      </c>
      <c r="AI429">
        <f>IF(AA429,0,IF(P429+Q429&gt;=80,5,IF(P429+Q429&gt;=70,4,IF(P429+Q429&gt;=60,3.5,IF(P429+Q429&gt;=50,3,IF(P429+Q429&gt;=40,2,IF(P429+Q429&gt;=33,1,0)))))))</f>
        <v/>
      </c>
      <c r="AJ429">
        <f>IF(R429&lt;8.25,0,IF(R429*2&gt;=80,5,IF(R429*2&gt;=70,4,IF(R429*2&gt;=60,3.5,IF(R429*2&gt;=50,3,IF(R429*2&gt;=40,2,IF(R429*2&gt;=33,1,0)))))))</f>
        <v/>
      </c>
      <c r="AK429">
        <f>IF(S429&lt;33,0,IF(S429&gt;=80,5,IF(S429&gt;=70,4,IF(S429&gt;=60,3.5,IF(S429&gt;=50,3,IF(S429&gt;=40,2,IF(S429&gt;=33,1,0)))))))</f>
        <v/>
      </c>
      <c r="AL429">
        <f>(AC429+AD429+AE429+AF429+AG429+AH429+AI429+AJ429)/8</f>
        <v/>
      </c>
      <c r="AM429">
        <f>IF(AK429&gt;=2,(AK429-2)/8,0)</f>
        <v/>
      </c>
    </row>
    <row r="430">
      <c r="T430">
        <f>SUM(C430:R430)</f>
        <v/>
      </c>
      <c r="U430" s="6">
        <f>ROUND(T430/11.5,2)</f>
        <v/>
      </c>
      <c r="V430" s="7">
        <f>IF(B430="","",IF(AB430,0,ROUND(AL430,2)))</f>
        <v/>
      </c>
      <c r="W430" s="7">
        <f>IF(B430="","",IF(AB430,0,MIN(5,ROUND(AL430+AM430,2))))</f>
        <v/>
      </c>
      <c r="X430" s="8">
        <f>IF(B430="","",IF(W430&gt;=5,"A+",IF(W430&gt;=4,"A",IF(W430&gt;=3.5,"A-",IF(W430&gt;=3,"B",IF(W430&gt;=2,"C",IF(W430&gt;=1,"D","F")))))))</f>
        <v/>
      </c>
      <c r="Y430">
        <f>NOT(OR(AND(J430&gt;=10,K430&gt;=23,L430&gt;=10,M430&gt;=23),AND(J430+L430&gt;=20,K430+M430&gt;=46)))</f>
        <v/>
      </c>
      <c r="Z430">
        <f>OR(N430&lt;10,O430&lt;23)</f>
        <v/>
      </c>
      <c r="AA430">
        <f>OR(P430&lt;10,Q430&lt;23)</f>
        <v/>
      </c>
      <c r="AB430">
        <f>OR((C430+D430)&lt;66,(E430+F430)&lt;66,G430&lt;33,(H430+I430)&lt;66,Y430,Z430,AA430,R430&lt;8.25)</f>
        <v/>
      </c>
      <c r="AC430">
        <f>IF(C430+D430&lt;66,0,IF((C430+D430)/2&gt;=80,5,IF((C430+D430)/2&gt;=70,4,IF((C430+D430)/2&gt;=60,3.5,IF((C430+D430)/2&gt;=50,3,IF((C430+D430)/2&gt;=40,2,IF((C430+D430)/2&gt;=33,1,0)))))))</f>
        <v/>
      </c>
      <c r="AD430">
        <f>IF(E430+F430&lt;66,0,IF((E430+F430)/2&gt;=80,5,IF((E430+F430)/2&gt;=70,4,IF((E430+F430)/2&gt;=60,3.5,IF((E430+F430)/2&gt;=50,3,IF((E430+F430)/2&gt;=40,2,IF((E430+F430)/2&gt;=33,1,0)))))))</f>
        <v/>
      </c>
      <c r="AE430">
        <f>IF(G430&lt;33,0,IF(G430&gt;=80,5,IF(G430&gt;=70,4,IF(G430&gt;=60,3.5,IF(G430&gt;=50,3,IF(G430&gt;=40,2,IF(G430&gt;=33,1,0)))))))</f>
        <v/>
      </c>
      <c r="AF430">
        <f>IF(H430+I430&lt;66,0,IF((H430+I430)/2&gt;=80,5,IF((H430+I430)/2&gt;=70,4,IF((H430+I430)/2&gt;=60,3.5,IF((H430+I430)/2&gt;=50,3,IF((H430+I430)/2&gt;=40,2,IF((H430+I430)/2&gt;=33,1,0)))))))</f>
        <v/>
      </c>
      <c r="AG430">
        <f>IF(Y430,0,IF((J430+K430+L430+M430)/2&gt;=80,5,IF((J430+K430+L430+M430)/2&gt;=70,4,IF((J430+K430+L430+M430)/2&gt;=60,3.5,IF((J430+K430+L430+M430)/2&gt;=50,3,IF((J430+K430+L430+M430)/2&gt;=40,2,IF((J430+K430+L430+M430)/2&gt;=33,1,0)))))))</f>
        <v/>
      </c>
      <c r="AH430">
        <f>IF(Z430,0,IF(N430+O430&gt;=80,5,IF(N430+O430&gt;=70,4,IF(N430+O430&gt;=60,3.5,IF(N430+O430&gt;=50,3,IF(N430+O430&gt;=40,2,IF(N430+O430&gt;=33,1,0)))))))</f>
        <v/>
      </c>
      <c r="AI430">
        <f>IF(AA430,0,IF(P430+Q430&gt;=80,5,IF(P430+Q430&gt;=70,4,IF(P430+Q430&gt;=60,3.5,IF(P430+Q430&gt;=50,3,IF(P430+Q430&gt;=40,2,IF(P430+Q430&gt;=33,1,0)))))))</f>
        <v/>
      </c>
      <c r="AJ430">
        <f>IF(R430&lt;8.25,0,IF(R430*2&gt;=80,5,IF(R430*2&gt;=70,4,IF(R430*2&gt;=60,3.5,IF(R430*2&gt;=50,3,IF(R430*2&gt;=40,2,IF(R430*2&gt;=33,1,0)))))))</f>
        <v/>
      </c>
      <c r="AK430">
        <f>IF(S430&lt;33,0,IF(S430&gt;=80,5,IF(S430&gt;=70,4,IF(S430&gt;=60,3.5,IF(S430&gt;=50,3,IF(S430&gt;=40,2,IF(S430&gt;=33,1,0)))))))</f>
        <v/>
      </c>
      <c r="AL430">
        <f>(AC430+AD430+AE430+AF430+AG430+AH430+AI430+AJ430)/8</f>
        <v/>
      </c>
      <c r="AM430">
        <f>IF(AK430&gt;=2,(AK430-2)/8,0)</f>
        <v/>
      </c>
    </row>
    <row r="431">
      <c r="T431">
        <f>SUM(C431:R431)</f>
        <v/>
      </c>
      <c r="U431" s="6">
        <f>ROUND(T431/11.5,2)</f>
        <v/>
      </c>
      <c r="V431" s="7">
        <f>IF(B431="","",IF(AB431,0,ROUND(AL431,2)))</f>
        <v/>
      </c>
      <c r="W431" s="7">
        <f>IF(B431="","",IF(AB431,0,MIN(5,ROUND(AL431+AM431,2))))</f>
        <v/>
      </c>
      <c r="X431" s="8">
        <f>IF(B431="","",IF(W431&gt;=5,"A+",IF(W431&gt;=4,"A",IF(W431&gt;=3.5,"A-",IF(W431&gt;=3,"B",IF(W431&gt;=2,"C",IF(W431&gt;=1,"D","F")))))))</f>
        <v/>
      </c>
      <c r="Y431">
        <f>NOT(OR(AND(J431&gt;=10,K431&gt;=23,L431&gt;=10,M431&gt;=23),AND(J431+L431&gt;=20,K431+M431&gt;=46)))</f>
        <v/>
      </c>
      <c r="Z431">
        <f>OR(N431&lt;10,O431&lt;23)</f>
        <v/>
      </c>
      <c r="AA431">
        <f>OR(P431&lt;10,Q431&lt;23)</f>
        <v/>
      </c>
      <c r="AB431">
        <f>OR((C431+D431)&lt;66,(E431+F431)&lt;66,G431&lt;33,(H431+I431)&lt;66,Y431,Z431,AA431,R431&lt;8.25)</f>
        <v/>
      </c>
      <c r="AC431">
        <f>IF(C431+D431&lt;66,0,IF((C431+D431)/2&gt;=80,5,IF((C431+D431)/2&gt;=70,4,IF((C431+D431)/2&gt;=60,3.5,IF((C431+D431)/2&gt;=50,3,IF((C431+D431)/2&gt;=40,2,IF((C431+D431)/2&gt;=33,1,0)))))))</f>
        <v/>
      </c>
      <c r="AD431">
        <f>IF(E431+F431&lt;66,0,IF((E431+F431)/2&gt;=80,5,IF((E431+F431)/2&gt;=70,4,IF((E431+F431)/2&gt;=60,3.5,IF((E431+F431)/2&gt;=50,3,IF((E431+F431)/2&gt;=40,2,IF((E431+F431)/2&gt;=33,1,0)))))))</f>
        <v/>
      </c>
      <c r="AE431">
        <f>IF(G431&lt;33,0,IF(G431&gt;=80,5,IF(G431&gt;=70,4,IF(G431&gt;=60,3.5,IF(G431&gt;=50,3,IF(G431&gt;=40,2,IF(G431&gt;=33,1,0)))))))</f>
        <v/>
      </c>
      <c r="AF431">
        <f>IF(H431+I431&lt;66,0,IF((H431+I431)/2&gt;=80,5,IF((H431+I431)/2&gt;=70,4,IF((H431+I431)/2&gt;=60,3.5,IF((H431+I431)/2&gt;=50,3,IF((H431+I431)/2&gt;=40,2,IF((H431+I431)/2&gt;=33,1,0)))))))</f>
        <v/>
      </c>
      <c r="AG431">
        <f>IF(Y431,0,IF((J431+K431+L431+M431)/2&gt;=80,5,IF((J431+K431+L431+M431)/2&gt;=70,4,IF((J431+K431+L431+M431)/2&gt;=60,3.5,IF((J431+K431+L431+M431)/2&gt;=50,3,IF((J431+K431+L431+M431)/2&gt;=40,2,IF((J431+K431+L431+M431)/2&gt;=33,1,0)))))))</f>
        <v/>
      </c>
      <c r="AH431">
        <f>IF(Z431,0,IF(N431+O431&gt;=80,5,IF(N431+O431&gt;=70,4,IF(N431+O431&gt;=60,3.5,IF(N431+O431&gt;=50,3,IF(N431+O431&gt;=40,2,IF(N431+O431&gt;=33,1,0)))))))</f>
        <v/>
      </c>
      <c r="AI431">
        <f>IF(AA431,0,IF(P431+Q431&gt;=80,5,IF(P431+Q431&gt;=70,4,IF(P431+Q431&gt;=60,3.5,IF(P431+Q431&gt;=50,3,IF(P431+Q431&gt;=40,2,IF(P431+Q431&gt;=33,1,0)))))))</f>
        <v/>
      </c>
      <c r="AJ431">
        <f>IF(R431&lt;8.25,0,IF(R431*2&gt;=80,5,IF(R431*2&gt;=70,4,IF(R431*2&gt;=60,3.5,IF(R431*2&gt;=50,3,IF(R431*2&gt;=40,2,IF(R431*2&gt;=33,1,0)))))))</f>
        <v/>
      </c>
      <c r="AK431">
        <f>IF(S431&lt;33,0,IF(S431&gt;=80,5,IF(S431&gt;=70,4,IF(S431&gt;=60,3.5,IF(S431&gt;=50,3,IF(S431&gt;=40,2,IF(S431&gt;=33,1,0)))))))</f>
        <v/>
      </c>
      <c r="AL431">
        <f>(AC431+AD431+AE431+AF431+AG431+AH431+AI431+AJ431)/8</f>
        <v/>
      </c>
      <c r="AM431">
        <f>IF(AK431&gt;=2,(AK431-2)/8,0)</f>
        <v/>
      </c>
    </row>
    <row r="432">
      <c r="T432">
        <f>SUM(C432:R432)</f>
        <v/>
      </c>
      <c r="U432" s="6">
        <f>ROUND(T432/11.5,2)</f>
        <v/>
      </c>
      <c r="V432" s="7">
        <f>IF(B432="","",IF(AB432,0,ROUND(AL432,2)))</f>
        <v/>
      </c>
      <c r="W432" s="7">
        <f>IF(B432="","",IF(AB432,0,MIN(5,ROUND(AL432+AM432,2))))</f>
        <v/>
      </c>
      <c r="X432" s="8">
        <f>IF(B432="","",IF(W432&gt;=5,"A+",IF(W432&gt;=4,"A",IF(W432&gt;=3.5,"A-",IF(W432&gt;=3,"B",IF(W432&gt;=2,"C",IF(W432&gt;=1,"D","F")))))))</f>
        <v/>
      </c>
      <c r="Y432">
        <f>NOT(OR(AND(J432&gt;=10,K432&gt;=23,L432&gt;=10,M432&gt;=23),AND(J432+L432&gt;=20,K432+M432&gt;=46)))</f>
        <v/>
      </c>
      <c r="Z432">
        <f>OR(N432&lt;10,O432&lt;23)</f>
        <v/>
      </c>
      <c r="AA432">
        <f>OR(P432&lt;10,Q432&lt;23)</f>
        <v/>
      </c>
      <c r="AB432">
        <f>OR((C432+D432)&lt;66,(E432+F432)&lt;66,G432&lt;33,(H432+I432)&lt;66,Y432,Z432,AA432,R432&lt;8.25)</f>
        <v/>
      </c>
      <c r="AC432">
        <f>IF(C432+D432&lt;66,0,IF((C432+D432)/2&gt;=80,5,IF((C432+D432)/2&gt;=70,4,IF((C432+D432)/2&gt;=60,3.5,IF((C432+D432)/2&gt;=50,3,IF((C432+D432)/2&gt;=40,2,IF((C432+D432)/2&gt;=33,1,0)))))))</f>
        <v/>
      </c>
      <c r="AD432">
        <f>IF(E432+F432&lt;66,0,IF((E432+F432)/2&gt;=80,5,IF((E432+F432)/2&gt;=70,4,IF((E432+F432)/2&gt;=60,3.5,IF((E432+F432)/2&gt;=50,3,IF((E432+F432)/2&gt;=40,2,IF((E432+F432)/2&gt;=33,1,0)))))))</f>
        <v/>
      </c>
      <c r="AE432">
        <f>IF(G432&lt;33,0,IF(G432&gt;=80,5,IF(G432&gt;=70,4,IF(G432&gt;=60,3.5,IF(G432&gt;=50,3,IF(G432&gt;=40,2,IF(G432&gt;=33,1,0)))))))</f>
        <v/>
      </c>
      <c r="AF432">
        <f>IF(H432+I432&lt;66,0,IF((H432+I432)/2&gt;=80,5,IF((H432+I432)/2&gt;=70,4,IF((H432+I432)/2&gt;=60,3.5,IF((H432+I432)/2&gt;=50,3,IF((H432+I432)/2&gt;=40,2,IF((H432+I432)/2&gt;=33,1,0)))))))</f>
        <v/>
      </c>
      <c r="AG432">
        <f>IF(Y432,0,IF((J432+K432+L432+M432)/2&gt;=80,5,IF((J432+K432+L432+M432)/2&gt;=70,4,IF((J432+K432+L432+M432)/2&gt;=60,3.5,IF((J432+K432+L432+M432)/2&gt;=50,3,IF((J432+K432+L432+M432)/2&gt;=40,2,IF((J432+K432+L432+M432)/2&gt;=33,1,0)))))))</f>
        <v/>
      </c>
      <c r="AH432">
        <f>IF(Z432,0,IF(N432+O432&gt;=80,5,IF(N432+O432&gt;=70,4,IF(N432+O432&gt;=60,3.5,IF(N432+O432&gt;=50,3,IF(N432+O432&gt;=40,2,IF(N432+O432&gt;=33,1,0)))))))</f>
        <v/>
      </c>
      <c r="AI432">
        <f>IF(AA432,0,IF(P432+Q432&gt;=80,5,IF(P432+Q432&gt;=70,4,IF(P432+Q432&gt;=60,3.5,IF(P432+Q432&gt;=50,3,IF(P432+Q432&gt;=40,2,IF(P432+Q432&gt;=33,1,0)))))))</f>
        <v/>
      </c>
      <c r="AJ432">
        <f>IF(R432&lt;8.25,0,IF(R432*2&gt;=80,5,IF(R432*2&gt;=70,4,IF(R432*2&gt;=60,3.5,IF(R432*2&gt;=50,3,IF(R432*2&gt;=40,2,IF(R432*2&gt;=33,1,0)))))))</f>
        <v/>
      </c>
      <c r="AK432">
        <f>IF(S432&lt;33,0,IF(S432&gt;=80,5,IF(S432&gt;=70,4,IF(S432&gt;=60,3.5,IF(S432&gt;=50,3,IF(S432&gt;=40,2,IF(S432&gt;=33,1,0)))))))</f>
        <v/>
      </c>
      <c r="AL432">
        <f>(AC432+AD432+AE432+AF432+AG432+AH432+AI432+AJ432)/8</f>
        <v/>
      </c>
      <c r="AM432">
        <f>IF(AK432&gt;=2,(AK432-2)/8,0)</f>
        <v/>
      </c>
    </row>
    <row r="433">
      <c r="T433">
        <f>SUM(C433:R433)</f>
        <v/>
      </c>
      <c r="U433" s="6">
        <f>ROUND(T433/11.5,2)</f>
        <v/>
      </c>
      <c r="V433" s="7">
        <f>IF(B433="","",IF(AB433,0,ROUND(AL433,2)))</f>
        <v/>
      </c>
      <c r="W433" s="7">
        <f>IF(B433="","",IF(AB433,0,MIN(5,ROUND(AL433+AM433,2))))</f>
        <v/>
      </c>
      <c r="X433" s="8">
        <f>IF(B433="","",IF(W433&gt;=5,"A+",IF(W433&gt;=4,"A",IF(W433&gt;=3.5,"A-",IF(W433&gt;=3,"B",IF(W433&gt;=2,"C",IF(W433&gt;=1,"D","F")))))))</f>
        <v/>
      </c>
      <c r="Y433">
        <f>NOT(OR(AND(J433&gt;=10,K433&gt;=23,L433&gt;=10,M433&gt;=23),AND(J433+L433&gt;=20,K433+M433&gt;=46)))</f>
        <v/>
      </c>
      <c r="Z433">
        <f>OR(N433&lt;10,O433&lt;23)</f>
        <v/>
      </c>
      <c r="AA433">
        <f>OR(P433&lt;10,Q433&lt;23)</f>
        <v/>
      </c>
      <c r="AB433">
        <f>OR((C433+D433)&lt;66,(E433+F433)&lt;66,G433&lt;33,(H433+I433)&lt;66,Y433,Z433,AA433,R433&lt;8.25)</f>
        <v/>
      </c>
      <c r="AC433">
        <f>IF(C433+D433&lt;66,0,IF((C433+D433)/2&gt;=80,5,IF((C433+D433)/2&gt;=70,4,IF((C433+D433)/2&gt;=60,3.5,IF((C433+D433)/2&gt;=50,3,IF((C433+D433)/2&gt;=40,2,IF((C433+D433)/2&gt;=33,1,0)))))))</f>
        <v/>
      </c>
      <c r="AD433">
        <f>IF(E433+F433&lt;66,0,IF((E433+F433)/2&gt;=80,5,IF((E433+F433)/2&gt;=70,4,IF((E433+F433)/2&gt;=60,3.5,IF((E433+F433)/2&gt;=50,3,IF((E433+F433)/2&gt;=40,2,IF((E433+F433)/2&gt;=33,1,0)))))))</f>
        <v/>
      </c>
      <c r="AE433">
        <f>IF(G433&lt;33,0,IF(G433&gt;=80,5,IF(G433&gt;=70,4,IF(G433&gt;=60,3.5,IF(G433&gt;=50,3,IF(G433&gt;=40,2,IF(G433&gt;=33,1,0)))))))</f>
        <v/>
      </c>
      <c r="AF433">
        <f>IF(H433+I433&lt;66,0,IF((H433+I433)/2&gt;=80,5,IF((H433+I433)/2&gt;=70,4,IF((H433+I433)/2&gt;=60,3.5,IF((H433+I433)/2&gt;=50,3,IF((H433+I433)/2&gt;=40,2,IF((H433+I433)/2&gt;=33,1,0)))))))</f>
        <v/>
      </c>
      <c r="AG433">
        <f>IF(Y433,0,IF((J433+K433+L433+M433)/2&gt;=80,5,IF((J433+K433+L433+M433)/2&gt;=70,4,IF((J433+K433+L433+M433)/2&gt;=60,3.5,IF((J433+K433+L433+M433)/2&gt;=50,3,IF((J433+K433+L433+M433)/2&gt;=40,2,IF((J433+K433+L433+M433)/2&gt;=33,1,0)))))))</f>
        <v/>
      </c>
      <c r="AH433">
        <f>IF(Z433,0,IF(N433+O433&gt;=80,5,IF(N433+O433&gt;=70,4,IF(N433+O433&gt;=60,3.5,IF(N433+O433&gt;=50,3,IF(N433+O433&gt;=40,2,IF(N433+O433&gt;=33,1,0)))))))</f>
        <v/>
      </c>
      <c r="AI433">
        <f>IF(AA433,0,IF(P433+Q433&gt;=80,5,IF(P433+Q433&gt;=70,4,IF(P433+Q433&gt;=60,3.5,IF(P433+Q433&gt;=50,3,IF(P433+Q433&gt;=40,2,IF(P433+Q433&gt;=33,1,0)))))))</f>
        <v/>
      </c>
      <c r="AJ433">
        <f>IF(R433&lt;8.25,0,IF(R433*2&gt;=80,5,IF(R433*2&gt;=70,4,IF(R433*2&gt;=60,3.5,IF(R433*2&gt;=50,3,IF(R433*2&gt;=40,2,IF(R433*2&gt;=33,1,0)))))))</f>
        <v/>
      </c>
      <c r="AK433">
        <f>IF(S433&lt;33,0,IF(S433&gt;=80,5,IF(S433&gt;=70,4,IF(S433&gt;=60,3.5,IF(S433&gt;=50,3,IF(S433&gt;=40,2,IF(S433&gt;=33,1,0)))))))</f>
        <v/>
      </c>
      <c r="AL433">
        <f>(AC433+AD433+AE433+AF433+AG433+AH433+AI433+AJ433)/8</f>
        <v/>
      </c>
      <c r="AM433">
        <f>IF(AK433&gt;=2,(AK433-2)/8,0)</f>
        <v/>
      </c>
    </row>
    <row r="434">
      <c r="T434">
        <f>SUM(C434:R434)</f>
        <v/>
      </c>
      <c r="U434" s="6">
        <f>ROUND(T434/11.5,2)</f>
        <v/>
      </c>
      <c r="V434" s="7">
        <f>IF(B434="","",IF(AB434,0,ROUND(AL434,2)))</f>
        <v/>
      </c>
      <c r="W434" s="7">
        <f>IF(B434="","",IF(AB434,0,MIN(5,ROUND(AL434+AM434,2))))</f>
        <v/>
      </c>
      <c r="X434" s="8">
        <f>IF(B434="","",IF(W434&gt;=5,"A+",IF(W434&gt;=4,"A",IF(W434&gt;=3.5,"A-",IF(W434&gt;=3,"B",IF(W434&gt;=2,"C",IF(W434&gt;=1,"D","F")))))))</f>
        <v/>
      </c>
      <c r="Y434">
        <f>NOT(OR(AND(J434&gt;=10,K434&gt;=23,L434&gt;=10,M434&gt;=23),AND(J434+L434&gt;=20,K434+M434&gt;=46)))</f>
        <v/>
      </c>
      <c r="Z434">
        <f>OR(N434&lt;10,O434&lt;23)</f>
        <v/>
      </c>
      <c r="AA434">
        <f>OR(P434&lt;10,Q434&lt;23)</f>
        <v/>
      </c>
      <c r="AB434">
        <f>OR((C434+D434)&lt;66,(E434+F434)&lt;66,G434&lt;33,(H434+I434)&lt;66,Y434,Z434,AA434,R434&lt;8.25)</f>
        <v/>
      </c>
      <c r="AC434">
        <f>IF(C434+D434&lt;66,0,IF((C434+D434)/2&gt;=80,5,IF((C434+D434)/2&gt;=70,4,IF((C434+D434)/2&gt;=60,3.5,IF((C434+D434)/2&gt;=50,3,IF((C434+D434)/2&gt;=40,2,IF((C434+D434)/2&gt;=33,1,0)))))))</f>
        <v/>
      </c>
      <c r="AD434">
        <f>IF(E434+F434&lt;66,0,IF((E434+F434)/2&gt;=80,5,IF((E434+F434)/2&gt;=70,4,IF((E434+F434)/2&gt;=60,3.5,IF((E434+F434)/2&gt;=50,3,IF((E434+F434)/2&gt;=40,2,IF((E434+F434)/2&gt;=33,1,0)))))))</f>
        <v/>
      </c>
      <c r="AE434">
        <f>IF(G434&lt;33,0,IF(G434&gt;=80,5,IF(G434&gt;=70,4,IF(G434&gt;=60,3.5,IF(G434&gt;=50,3,IF(G434&gt;=40,2,IF(G434&gt;=33,1,0)))))))</f>
        <v/>
      </c>
      <c r="AF434">
        <f>IF(H434+I434&lt;66,0,IF((H434+I434)/2&gt;=80,5,IF((H434+I434)/2&gt;=70,4,IF((H434+I434)/2&gt;=60,3.5,IF((H434+I434)/2&gt;=50,3,IF((H434+I434)/2&gt;=40,2,IF((H434+I434)/2&gt;=33,1,0)))))))</f>
        <v/>
      </c>
      <c r="AG434">
        <f>IF(Y434,0,IF((J434+K434+L434+M434)/2&gt;=80,5,IF((J434+K434+L434+M434)/2&gt;=70,4,IF((J434+K434+L434+M434)/2&gt;=60,3.5,IF((J434+K434+L434+M434)/2&gt;=50,3,IF((J434+K434+L434+M434)/2&gt;=40,2,IF((J434+K434+L434+M434)/2&gt;=33,1,0)))))))</f>
        <v/>
      </c>
      <c r="AH434">
        <f>IF(Z434,0,IF(N434+O434&gt;=80,5,IF(N434+O434&gt;=70,4,IF(N434+O434&gt;=60,3.5,IF(N434+O434&gt;=50,3,IF(N434+O434&gt;=40,2,IF(N434+O434&gt;=33,1,0)))))))</f>
        <v/>
      </c>
      <c r="AI434">
        <f>IF(AA434,0,IF(P434+Q434&gt;=80,5,IF(P434+Q434&gt;=70,4,IF(P434+Q434&gt;=60,3.5,IF(P434+Q434&gt;=50,3,IF(P434+Q434&gt;=40,2,IF(P434+Q434&gt;=33,1,0)))))))</f>
        <v/>
      </c>
      <c r="AJ434">
        <f>IF(R434&lt;8.25,0,IF(R434*2&gt;=80,5,IF(R434*2&gt;=70,4,IF(R434*2&gt;=60,3.5,IF(R434*2&gt;=50,3,IF(R434*2&gt;=40,2,IF(R434*2&gt;=33,1,0)))))))</f>
        <v/>
      </c>
      <c r="AK434">
        <f>IF(S434&lt;33,0,IF(S434&gt;=80,5,IF(S434&gt;=70,4,IF(S434&gt;=60,3.5,IF(S434&gt;=50,3,IF(S434&gt;=40,2,IF(S434&gt;=33,1,0)))))))</f>
        <v/>
      </c>
      <c r="AL434">
        <f>(AC434+AD434+AE434+AF434+AG434+AH434+AI434+AJ434)/8</f>
        <v/>
      </c>
      <c r="AM434">
        <f>IF(AK434&gt;=2,(AK434-2)/8,0)</f>
        <v/>
      </c>
    </row>
    <row r="435">
      <c r="T435">
        <f>SUM(C435:R435)</f>
        <v/>
      </c>
      <c r="U435" s="6">
        <f>ROUND(T435/11.5,2)</f>
        <v/>
      </c>
      <c r="V435" s="7">
        <f>IF(B435="","",IF(AB435,0,ROUND(AL435,2)))</f>
        <v/>
      </c>
      <c r="W435" s="7">
        <f>IF(B435="","",IF(AB435,0,MIN(5,ROUND(AL435+AM435,2))))</f>
        <v/>
      </c>
      <c r="X435" s="8">
        <f>IF(B435="","",IF(W435&gt;=5,"A+",IF(W435&gt;=4,"A",IF(W435&gt;=3.5,"A-",IF(W435&gt;=3,"B",IF(W435&gt;=2,"C",IF(W435&gt;=1,"D","F")))))))</f>
        <v/>
      </c>
      <c r="Y435">
        <f>NOT(OR(AND(J435&gt;=10,K435&gt;=23,L435&gt;=10,M435&gt;=23),AND(J435+L435&gt;=20,K435+M435&gt;=46)))</f>
        <v/>
      </c>
      <c r="Z435">
        <f>OR(N435&lt;10,O435&lt;23)</f>
        <v/>
      </c>
      <c r="AA435">
        <f>OR(P435&lt;10,Q435&lt;23)</f>
        <v/>
      </c>
      <c r="AB435">
        <f>OR((C435+D435)&lt;66,(E435+F435)&lt;66,G435&lt;33,(H435+I435)&lt;66,Y435,Z435,AA435,R435&lt;8.25)</f>
        <v/>
      </c>
      <c r="AC435">
        <f>IF(C435+D435&lt;66,0,IF((C435+D435)/2&gt;=80,5,IF((C435+D435)/2&gt;=70,4,IF((C435+D435)/2&gt;=60,3.5,IF((C435+D435)/2&gt;=50,3,IF((C435+D435)/2&gt;=40,2,IF((C435+D435)/2&gt;=33,1,0)))))))</f>
        <v/>
      </c>
      <c r="AD435">
        <f>IF(E435+F435&lt;66,0,IF((E435+F435)/2&gt;=80,5,IF((E435+F435)/2&gt;=70,4,IF((E435+F435)/2&gt;=60,3.5,IF((E435+F435)/2&gt;=50,3,IF((E435+F435)/2&gt;=40,2,IF((E435+F435)/2&gt;=33,1,0)))))))</f>
        <v/>
      </c>
      <c r="AE435">
        <f>IF(G435&lt;33,0,IF(G435&gt;=80,5,IF(G435&gt;=70,4,IF(G435&gt;=60,3.5,IF(G435&gt;=50,3,IF(G435&gt;=40,2,IF(G435&gt;=33,1,0)))))))</f>
        <v/>
      </c>
      <c r="AF435">
        <f>IF(H435+I435&lt;66,0,IF((H435+I435)/2&gt;=80,5,IF((H435+I435)/2&gt;=70,4,IF((H435+I435)/2&gt;=60,3.5,IF((H435+I435)/2&gt;=50,3,IF((H435+I435)/2&gt;=40,2,IF((H435+I435)/2&gt;=33,1,0)))))))</f>
        <v/>
      </c>
      <c r="AG435">
        <f>IF(Y435,0,IF((J435+K435+L435+M435)/2&gt;=80,5,IF((J435+K435+L435+M435)/2&gt;=70,4,IF((J435+K435+L435+M435)/2&gt;=60,3.5,IF((J435+K435+L435+M435)/2&gt;=50,3,IF((J435+K435+L435+M435)/2&gt;=40,2,IF((J435+K435+L435+M435)/2&gt;=33,1,0)))))))</f>
        <v/>
      </c>
      <c r="AH435">
        <f>IF(Z435,0,IF(N435+O435&gt;=80,5,IF(N435+O435&gt;=70,4,IF(N435+O435&gt;=60,3.5,IF(N435+O435&gt;=50,3,IF(N435+O435&gt;=40,2,IF(N435+O435&gt;=33,1,0)))))))</f>
        <v/>
      </c>
      <c r="AI435">
        <f>IF(AA435,0,IF(P435+Q435&gt;=80,5,IF(P435+Q435&gt;=70,4,IF(P435+Q435&gt;=60,3.5,IF(P435+Q435&gt;=50,3,IF(P435+Q435&gt;=40,2,IF(P435+Q435&gt;=33,1,0)))))))</f>
        <v/>
      </c>
      <c r="AJ435">
        <f>IF(R435&lt;8.25,0,IF(R435*2&gt;=80,5,IF(R435*2&gt;=70,4,IF(R435*2&gt;=60,3.5,IF(R435*2&gt;=50,3,IF(R435*2&gt;=40,2,IF(R435*2&gt;=33,1,0)))))))</f>
        <v/>
      </c>
      <c r="AK435">
        <f>IF(S435&lt;33,0,IF(S435&gt;=80,5,IF(S435&gt;=70,4,IF(S435&gt;=60,3.5,IF(S435&gt;=50,3,IF(S435&gt;=40,2,IF(S435&gt;=33,1,0)))))))</f>
        <v/>
      </c>
      <c r="AL435">
        <f>(AC435+AD435+AE435+AF435+AG435+AH435+AI435+AJ435)/8</f>
        <v/>
      </c>
      <c r="AM435">
        <f>IF(AK435&gt;=2,(AK435-2)/8,0)</f>
        <v/>
      </c>
    </row>
    <row r="436">
      <c r="T436">
        <f>SUM(C436:R436)</f>
        <v/>
      </c>
      <c r="U436" s="6">
        <f>ROUND(T436/11.5,2)</f>
        <v/>
      </c>
      <c r="V436" s="7">
        <f>IF(B436="","",IF(AB436,0,ROUND(AL436,2)))</f>
        <v/>
      </c>
      <c r="W436" s="7">
        <f>IF(B436="","",IF(AB436,0,MIN(5,ROUND(AL436+AM436,2))))</f>
        <v/>
      </c>
      <c r="X436" s="8">
        <f>IF(B436="","",IF(W436&gt;=5,"A+",IF(W436&gt;=4,"A",IF(W436&gt;=3.5,"A-",IF(W436&gt;=3,"B",IF(W436&gt;=2,"C",IF(W436&gt;=1,"D","F")))))))</f>
        <v/>
      </c>
      <c r="Y436">
        <f>NOT(OR(AND(J436&gt;=10,K436&gt;=23,L436&gt;=10,M436&gt;=23),AND(J436+L436&gt;=20,K436+M436&gt;=46)))</f>
        <v/>
      </c>
      <c r="Z436">
        <f>OR(N436&lt;10,O436&lt;23)</f>
        <v/>
      </c>
      <c r="AA436">
        <f>OR(P436&lt;10,Q436&lt;23)</f>
        <v/>
      </c>
      <c r="AB436">
        <f>OR((C436+D436)&lt;66,(E436+F436)&lt;66,G436&lt;33,(H436+I436)&lt;66,Y436,Z436,AA436,R436&lt;8.25)</f>
        <v/>
      </c>
      <c r="AC436">
        <f>IF(C436+D436&lt;66,0,IF((C436+D436)/2&gt;=80,5,IF((C436+D436)/2&gt;=70,4,IF((C436+D436)/2&gt;=60,3.5,IF((C436+D436)/2&gt;=50,3,IF((C436+D436)/2&gt;=40,2,IF((C436+D436)/2&gt;=33,1,0)))))))</f>
        <v/>
      </c>
      <c r="AD436">
        <f>IF(E436+F436&lt;66,0,IF((E436+F436)/2&gt;=80,5,IF((E436+F436)/2&gt;=70,4,IF((E436+F436)/2&gt;=60,3.5,IF((E436+F436)/2&gt;=50,3,IF((E436+F436)/2&gt;=40,2,IF((E436+F436)/2&gt;=33,1,0)))))))</f>
        <v/>
      </c>
      <c r="AE436">
        <f>IF(G436&lt;33,0,IF(G436&gt;=80,5,IF(G436&gt;=70,4,IF(G436&gt;=60,3.5,IF(G436&gt;=50,3,IF(G436&gt;=40,2,IF(G436&gt;=33,1,0)))))))</f>
        <v/>
      </c>
      <c r="AF436">
        <f>IF(H436+I436&lt;66,0,IF((H436+I436)/2&gt;=80,5,IF((H436+I436)/2&gt;=70,4,IF((H436+I436)/2&gt;=60,3.5,IF((H436+I436)/2&gt;=50,3,IF((H436+I436)/2&gt;=40,2,IF((H436+I436)/2&gt;=33,1,0)))))))</f>
        <v/>
      </c>
      <c r="AG436">
        <f>IF(Y436,0,IF((J436+K436+L436+M436)/2&gt;=80,5,IF((J436+K436+L436+M436)/2&gt;=70,4,IF((J436+K436+L436+M436)/2&gt;=60,3.5,IF((J436+K436+L436+M436)/2&gt;=50,3,IF((J436+K436+L436+M436)/2&gt;=40,2,IF((J436+K436+L436+M436)/2&gt;=33,1,0)))))))</f>
        <v/>
      </c>
      <c r="AH436">
        <f>IF(Z436,0,IF(N436+O436&gt;=80,5,IF(N436+O436&gt;=70,4,IF(N436+O436&gt;=60,3.5,IF(N436+O436&gt;=50,3,IF(N436+O436&gt;=40,2,IF(N436+O436&gt;=33,1,0)))))))</f>
        <v/>
      </c>
      <c r="AI436">
        <f>IF(AA436,0,IF(P436+Q436&gt;=80,5,IF(P436+Q436&gt;=70,4,IF(P436+Q436&gt;=60,3.5,IF(P436+Q436&gt;=50,3,IF(P436+Q436&gt;=40,2,IF(P436+Q436&gt;=33,1,0)))))))</f>
        <v/>
      </c>
      <c r="AJ436">
        <f>IF(R436&lt;8.25,0,IF(R436*2&gt;=80,5,IF(R436*2&gt;=70,4,IF(R436*2&gt;=60,3.5,IF(R436*2&gt;=50,3,IF(R436*2&gt;=40,2,IF(R436*2&gt;=33,1,0)))))))</f>
        <v/>
      </c>
      <c r="AK436">
        <f>IF(S436&lt;33,0,IF(S436&gt;=80,5,IF(S436&gt;=70,4,IF(S436&gt;=60,3.5,IF(S436&gt;=50,3,IF(S436&gt;=40,2,IF(S436&gt;=33,1,0)))))))</f>
        <v/>
      </c>
      <c r="AL436">
        <f>(AC436+AD436+AE436+AF436+AG436+AH436+AI436+AJ436)/8</f>
        <v/>
      </c>
      <c r="AM436">
        <f>IF(AK436&gt;=2,(AK436-2)/8,0)</f>
        <v/>
      </c>
    </row>
    <row r="437">
      <c r="T437">
        <f>SUM(C437:R437)</f>
        <v/>
      </c>
      <c r="U437" s="6">
        <f>ROUND(T437/11.5,2)</f>
        <v/>
      </c>
      <c r="V437" s="7">
        <f>IF(B437="","",IF(AB437,0,ROUND(AL437,2)))</f>
        <v/>
      </c>
      <c r="W437" s="7">
        <f>IF(B437="","",IF(AB437,0,MIN(5,ROUND(AL437+AM437,2))))</f>
        <v/>
      </c>
      <c r="X437" s="8">
        <f>IF(B437="","",IF(W437&gt;=5,"A+",IF(W437&gt;=4,"A",IF(W437&gt;=3.5,"A-",IF(W437&gt;=3,"B",IF(W437&gt;=2,"C",IF(W437&gt;=1,"D","F")))))))</f>
        <v/>
      </c>
      <c r="Y437">
        <f>NOT(OR(AND(J437&gt;=10,K437&gt;=23,L437&gt;=10,M437&gt;=23),AND(J437+L437&gt;=20,K437+M437&gt;=46)))</f>
        <v/>
      </c>
      <c r="Z437">
        <f>OR(N437&lt;10,O437&lt;23)</f>
        <v/>
      </c>
      <c r="AA437">
        <f>OR(P437&lt;10,Q437&lt;23)</f>
        <v/>
      </c>
      <c r="AB437">
        <f>OR((C437+D437)&lt;66,(E437+F437)&lt;66,G437&lt;33,(H437+I437)&lt;66,Y437,Z437,AA437,R437&lt;8.25)</f>
        <v/>
      </c>
      <c r="AC437">
        <f>IF(C437+D437&lt;66,0,IF((C437+D437)/2&gt;=80,5,IF((C437+D437)/2&gt;=70,4,IF((C437+D437)/2&gt;=60,3.5,IF((C437+D437)/2&gt;=50,3,IF((C437+D437)/2&gt;=40,2,IF((C437+D437)/2&gt;=33,1,0)))))))</f>
        <v/>
      </c>
      <c r="AD437">
        <f>IF(E437+F437&lt;66,0,IF((E437+F437)/2&gt;=80,5,IF((E437+F437)/2&gt;=70,4,IF((E437+F437)/2&gt;=60,3.5,IF((E437+F437)/2&gt;=50,3,IF((E437+F437)/2&gt;=40,2,IF((E437+F437)/2&gt;=33,1,0)))))))</f>
        <v/>
      </c>
      <c r="AE437">
        <f>IF(G437&lt;33,0,IF(G437&gt;=80,5,IF(G437&gt;=70,4,IF(G437&gt;=60,3.5,IF(G437&gt;=50,3,IF(G437&gt;=40,2,IF(G437&gt;=33,1,0)))))))</f>
        <v/>
      </c>
      <c r="AF437">
        <f>IF(H437+I437&lt;66,0,IF((H437+I437)/2&gt;=80,5,IF((H437+I437)/2&gt;=70,4,IF((H437+I437)/2&gt;=60,3.5,IF((H437+I437)/2&gt;=50,3,IF((H437+I437)/2&gt;=40,2,IF((H437+I437)/2&gt;=33,1,0)))))))</f>
        <v/>
      </c>
      <c r="AG437">
        <f>IF(Y437,0,IF((J437+K437+L437+M437)/2&gt;=80,5,IF((J437+K437+L437+M437)/2&gt;=70,4,IF((J437+K437+L437+M437)/2&gt;=60,3.5,IF((J437+K437+L437+M437)/2&gt;=50,3,IF((J437+K437+L437+M437)/2&gt;=40,2,IF((J437+K437+L437+M437)/2&gt;=33,1,0)))))))</f>
        <v/>
      </c>
      <c r="AH437">
        <f>IF(Z437,0,IF(N437+O437&gt;=80,5,IF(N437+O437&gt;=70,4,IF(N437+O437&gt;=60,3.5,IF(N437+O437&gt;=50,3,IF(N437+O437&gt;=40,2,IF(N437+O437&gt;=33,1,0)))))))</f>
        <v/>
      </c>
      <c r="AI437">
        <f>IF(AA437,0,IF(P437+Q437&gt;=80,5,IF(P437+Q437&gt;=70,4,IF(P437+Q437&gt;=60,3.5,IF(P437+Q437&gt;=50,3,IF(P437+Q437&gt;=40,2,IF(P437+Q437&gt;=33,1,0)))))))</f>
        <v/>
      </c>
      <c r="AJ437">
        <f>IF(R437&lt;8.25,0,IF(R437*2&gt;=80,5,IF(R437*2&gt;=70,4,IF(R437*2&gt;=60,3.5,IF(R437*2&gt;=50,3,IF(R437*2&gt;=40,2,IF(R437*2&gt;=33,1,0)))))))</f>
        <v/>
      </c>
      <c r="AK437">
        <f>IF(S437&lt;33,0,IF(S437&gt;=80,5,IF(S437&gt;=70,4,IF(S437&gt;=60,3.5,IF(S437&gt;=50,3,IF(S437&gt;=40,2,IF(S437&gt;=33,1,0)))))))</f>
        <v/>
      </c>
      <c r="AL437">
        <f>(AC437+AD437+AE437+AF437+AG437+AH437+AI437+AJ437)/8</f>
        <v/>
      </c>
      <c r="AM437">
        <f>IF(AK437&gt;=2,(AK437-2)/8,0)</f>
        <v/>
      </c>
    </row>
    <row r="438">
      <c r="T438">
        <f>SUM(C438:R438)</f>
        <v/>
      </c>
      <c r="U438" s="6">
        <f>ROUND(T438/11.5,2)</f>
        <v/>
      </c>
      <c r="V438" s="7">
        <f>IF(B438="","",IF(AB438,0,ROUND(AL438,2)))</f>
        <v/>
      </c>
      <c r="W438" s="7">
        <f>IF(B438="","",IF(AB438,0,MIN(5,ROUND(AL438+AM438,2))))</f>
        <v/>
      </c>
      <c r="X438" s="8">
        <f>IF(B438="","",IF(W438&gt;=5,"A+",IF(W438&gt;=4,"A",IF(W438&gt;=3.5,"A-",IF(W438&gt;=3,"B",IF(W438&gt;=2,"C",IF(W438&gt;=1,"D","F")))))))</f>
        <v/>
      </c>
      <c r="Y438">
        <f>NOT(OR(AND(J438&gt;=10,K438&gt;=23,L438&gt;=10,M438&gt;=23),AND(J438+L438&gt;=20,K438+M438&gt;=46)))</f>
        <v/>
      </c>
      <c r="Z438">
        <f>OR(N438&lt;10,O438&lt;23)</f>
        <v/>
      </c>
      <c r="AA438">
        <f>OR(P438&lt;10,Q438&lt;23)</f>
        <v/>
      </c>
      <c r="AB438">
        <f>OR((C438+D438)&lt;66,(E438+F438)&lt;66,G438&lt;33,(H438+I438)&lt;66,Y438,Z438,AA438,R438&lt;8.25)</f>
        <v/>
      </c>
      <c r="AC438">
        <f>IF(C438+D438&lt;66,0,IF((C438+D438)/2&gt;=80,5,IF((C438+D438)/2&gt;=70,4,IF((C438+D438)/2&gt;=60,3.5,IF((C438+D438)/2&gt;=50,3,IF((C438+D438)/2&gt;=40,2,IF((C438+D438)/2&gt;=33,1,0)))))))</f>
        <v/>
      </c>
      <c r="AD438">
        <f>IF(E438+F438&lt;66,0,IF((E438+F438)/2&gt;=80,5,IF((E438+F438)/2&gt;=70,4,IF((E438+F438)/2&gt;=60,3.5,IF((E438+F438)/2&gt;=50,3,IF((E438+F438)/2&gt;=40,2,IF((E438+F438)/2&gt;=33,1,0)))))))</f>
        <v/>
      </c>
      <c r="AE438">
        <f>IF(G438&lt;33,0,IF(G438&gt;=80,5,IF(G438&gt;=70,4,IF(G438&gt;=60,3.5,IF(G438&gt;=50,3,IF(G438&gt;=40,2,IF(G438&gt;=33,1,0)))))))</f>
        <v/>
      </c>
      <c r="AF438">
        <f>IF(H438+I438&lt;66,0,IF((H438+I438)/2&gt;=80,5,IF((H438+I438)/2&gt;=70,4,IF((H438+I438)/2&gt;=60,3.5,IF((H438+I438)/2&gt;=50,3,IF((H438+I438)/2&gt;=40,2,IF((H438+I438)/2&gt;=33,1,0)))))))</f>
        <v/>
      </c>
      <c r="AG438">
        <f>IF(Y438,0,IF((J438+K438+L438+M438)/2&gt;=80,5,IF((J438+K438+L438+M438)/2&gt;=70,4,IF((J438+K438+L438+M438)/2&gt;=60,3.5,IF((J438+K438+L438+M438)/2&gt;=50,3,IF((J438+K438+L438+M438)/2&gt;=40,2,IF((J438+K438+L438+M438)/2&gt;=33,1,0)))))))</f>
        <v/>
      </c>
      <c r="AH438">
        <f>IF(Z438,0,IF(N438+O438&gt;=80,5,IF(N438+O438&gt;=70,4,IF(N438+O438&gt;=60,3.5,IF(N438+O438&gt;=50,3,IF(N438+O438&gt;=40,2,IF(N438+O438&gt;=33,1,0)))))))</f>
        <v/>
      </c>
      <c r="AI438">
        <f>IF(AA438,0,IF(P438+Q438&gt;=80,5,IF(P438+Q438&gt;=70,4,IF(P438+Q438&gt;=60,3.5,IF(P438+Q438&gt;=50,3,IF(P438+Q438&gt;=40,2,IF(P438+Q438&gt;=33,1,0)))))))</f>
        <v/>
      </c>
      <c r="AJ438">
        <f>IF(R438&lt;8.25,0,IF(R438*2&gt;=80,5,IF(R438*2&gt;=70,4,IF(R438*2&gt;=60,3.5,IF(R438*2&gt;=50,3,IF(R438*2&gt;=40,2,IF(R438*2&gt;=33,1,0)))))))</f>
        <v/>
      </c>
      <c r="AK438">
        <f>IF(S438&lt;33,0,IF(S438&gt;=80,5,IF(S438&gt;=70,4,IF(S438&gt;=60,3.5,IF(S438&gt;=50,3,IF(S438&gt;=40,2,IF(S438&gt;=33,1,0)))))))</f>
        <v/>
      </c>
      <c r="AL438">
        <f>(AC438+AD438+AE438+AF438+AG438+AH438+AI438+AJ438)/8</f>
        <v/>
      </c>
      <c r="AM438">
        <f>IF(AK438&gt;=2,(AK438-2)/8,0)</f>
        <v/>
      </c>
    </row>
    <row r="439">
      <c r="T439">
        <f>SUM(C439:R439)</f>
        <v/>
      </c>
      <c r="U439" s="6">
        <f>ROUND(T439/11.5,2)</f>
        <v/>
      </c>
      <c r="V439" s="7">
        <f>IF(B439="","",IF(AB439,0,ROUND(AL439,2)))</f>
        <v/>
      </c>
      <c r="W439" s="7">
        <f>IF(B439="","",IF(AB439,0,MIN(5,ROUND(AL439+AM439,2))))</f>
        <v/>
      </c>
      <c r="X439" s="8">
        <f>IF(B439="","",IF(W439&gt;=5,"A+",IF(W439&gt;=4,"A",IF(W439&gt;=3.5,"A-",IF(W439&gt;=3,"B",IF(W439&gt;=2,"C",IF(W439&gt;=1,"D","F")))))))</f>
        <v/>
      </c>
      <c r="Y439">
        <f>NOT(OR(AND(J439&gt;=10,K439&gt;=23,L439&gt;=10,M439&gt;=23),AND(J439+L439&gt;=20,K439+M439&gt;=46)))</f>
        <v/>
      </c>
      <c r="Z439">
        <f>OR(N439&lt;10,O439&lt;23)</f>
        <v/>
      </c>
      <c r="AA439">
        <f>OR(P439&lt;10,Q439&lt;23)</f>
        <v/>
      </c>
      <c r="AB439">
        <f>OR((C439+D439)&lt;66,(E439+F439)&lt;66,G439&lt;33,(H439+I439)&lt;66,Y439,Z439,AA439,R439&lt;8.25)</f>
        <v/>
      </c>
      <c r="AC439">
        <f>IF(C439+D439&lt;66,0,IF((C439+D439)/2&gt;=80,5,IF((C439+D439)/2&gt;=70,4,IF((C439+D439)/2&gt;=60,3.5,IF((C439+D439)/2&gt;=50,3,IF((C439+D439)/2&gt;=40,2,IF((C439+D439)/2&gt;=33,1,0)))))))</f>
        <v/>
      </c>
      <c r="AD439">
        <f>IF(E439+F439&lt;66,0,IF((E439+F439)/2&gt;=80,5,IF((E439+F439)/2&gt;=70,4,IF((E439+F439)/2&gt;=60,3.5,IF((E439+F439)/2&gt;=50,3,IF((E439+F439)/2&gt;=40,2,IF((E439+F439)/2&gt;=33,1,0)))))))</f>
        <v/>
      </c>
      <c r="AE439">
        <f>IF(G439&lt;33,0,IF(G439&gt;=80,5,IF(G439&gt;=70,4,IF(G439&gt;=60,3.5,IF(G439&gt;=50,3,IF(G439&gt;=40,2,IF(G439&gt;=33,1,0)))))))</f>
        <v/>
      </c>
      <c r="AF439">
        <f>IF(H439+I439&lt;66,0,IF((H439+I439)/2&gt;=80,5,IF((H439+I439)/2&gt;=70,4,IF((H439+I439)/2&gt;=60,3.5,IF((H439+I439)/2&gt;=50,3,IF((H439+I439)/2&gt;=40,2,IF((H439+I439)/2&gt;=33,1,0)))))))</f>
        <v/>
      </c>
      <c r="AG439">
        <f>IF(Y439,0,IF((J439+K439+L439+M439)/2&gt;=80,5,IF((J439+K439+L439+M439)/2&gt;=70,4,IF((J439+K439+L439+M439)/2&gt;=60,3.5,IF((J439+K439+L439+M439)/2&gt;=50,3,IF((J439+K439+L439+M439)/2&gt;=40,2,IF((J439+K439+L439+M439)/2&gt;=33,1,0)))))))</f>
        <v/>
      </c>
      <c r="AH439">
        <f>IF(Z439,0,IF(N439+O439&gt;=80,5,IF(N439+O439&gt;=70,4,IF(N439+O439&gt;=60,3.5,IF(N439+O439&gt;=50,3,IF(N439+O439&gt;=40,2,IF(N439+O439&gt;=33,1,0)))))))</f>
        <v/>
      </c>
      <c r="AI439">
        <f>IF(AA439,0,IF(P439+Q439&gt;=80,5,IF(P439+Q439&gt;=70,4,IF(P439+Q439&gt;=60,3.5,IF(P439+Q439&gt;=50,3,IF(P439+Q439&gt;=40,2,IF(P439+Q439&gt;=33,1,0)))))))</f>
        <v/>
      </c>
      <c r="AJ439">
        <f>IF(R439&lt;8.25,0,IF(R439*2&gt;=80,5,IF(R439*2&gt;=70,4,IF(R439*2&gt;=60,3.5,IF(R439*2&gt;=50,3,IF(R439*2&gt;=40,2,IF(R439*2&gt;=33,1,0)))))))</f>
        <v/>
      </c>
      <c r="AK439">
        <f>IF(S439&lt;33,0,IF(S439&gt;=80,5,IF(S439&gt;=70,4,IF(S439&gt;=60,3.5,IF(S439&gt;=50,3,IF(S439&gt;=40,2,IF(S439&gt;=33,1,0)))))))</f>
        <v/>
      </c>
      <c r="AL439">
        <f>(AC439+AD439+AE439+AF439+AG439+AH439+AI439+AJ439)/8</f>
        <v/>
      </c>
      <c r="AM439">
        <f>IF(AK439&gt;=2,(AK439-2)/8,0)</f>
        <v/>
      </c>
    </row>
    <row r="440">
      <c r="T440">
        <f>SUM(C440:R440)</f>
        <v/>
      </c>
      <c r="U440" s="6">
        <f>ROUND(T440/11.5,2)</f>
        <v/>
      </c>
      <c r="V440" s="7">
        <f>IF(B440="","",IF(AB440,0,ROUND(AL440,2)))</f>
        <v/>
      </c>
      <c r="W440" s="7">
        <f>IF(B440="","",IF(AB440,0,MIN(5,ROUND(AL440+AM440,2))))</f>
        <v/>
      </c>
      <c r="X440" s="8">
        <f>IF(B440="","",IF(W440&gt;=5,"A+",IF(W440&gt;=4,"A",IF(W440&gt;=3.5,"A-",IF(W440&gt;=3,"B",IF(W440&gt;=2,"C",IF(W440&gt;=1,"D","F")))))))</f>
        <v/>
      </c>
      <c r="Y440">
        <f>NOT(OR(AND(J440&gt;=10,K440&gt;=23,L440&gt;=10,M440&gt;=23),AND(J440+L440&gt;=20,K440+M440&gt;=46)))</f>
        <v/>
      </c>
      <c r="Z440">
        <f>OR(N440&lt;10,O440&lt;23)</f>
        <v/>
      </c>
      <c r="AA440">
        <f>OR(P440&lt;10,Q440&lt;23)</f>
        <v/>
      </c>
      <c r="AB440">
        <f>OR((C440+D440)&lt;66,(E440+F440)&lt;66,G440&lt;33,(H440+I440)&lt;66,Y440,Z440,AA440,R440&lt;8.25)</f>
        <v/>
      </c>
      <c r="AC440">
        <f>IF(C440+D440&lt;66,0,IF((C440+D440)/2&gt;=80,5,IF((C440+D440)/2&gt;=70,4,IF((C440+D440)/2&gt;=60,3.5,IF((C440+D440)/2&gt;=50,3,IF((C440+D440)/2&gt;=40,2,IF((C440+D440)/2&gt;=33,1,0)))))))</f>
        <v/>
      </c>
      <c r="AD440">
        <f>IF(E440+F440&lt;66,0,IF((E440+F440)/2&gt;=80,5,IF((E440+F440)/2&gt;=70,4,IF((E440+F440)/2&gt;=60,3.5,IF((E440+F440)/2&gt;=50,3,IF((E440+F440)/2&gt;=40,2,IF((E440+F440)/2&gt;=33,1,0)))))))</f>
        <v/>
      </c>
      <c r="AE440">
        <f>IF(G440&lt;33,0,IF(G440&gt;=80,5,IF(G440&gt;=70,4,IF(G440&gt;=60,3.5,IF(G440&gt;=50,3,IF(G440&gt;=40,2,IF(G440&gt;=33,1,0)))))))</f>
        <v/>
      </c>
      <c r="AF440">
        <f>IF(H440+I440&lt;66,0,IF((H440+I440)/2&gt;=80,5,IF((H440+I440)/2&gt;=70,4,IF((H440+I440)/2&gt;=60,3.5,IF((H440+I440)/2&gt;=50,3,IF((H440+I440)/2&gt;=40,2,IF((H440+I440)/2&gt;=33,1,0)))))))</f>
        <v/>
      </c>
      <c r="AG440">
        <f>IF(Y440,0,IF((J440+K440+L440+M440)/2&gt;=80,5,IF((J440+K440+L440+M440)/2&gt;=70,4,IF((J440+K440+L440+M440)/2&gt;=60,3.5,IF((J440+K440+L440+M440)/2&gt;=50,3,IF((J440+K440+L440+M440)/2&gt;=40,2,IF((J440+K440+L440+M440)/2&gt;=33,1,0)))))))</f>
        <v/>
      </c>
      <c r="AH440">
        <f>IF(Z440,0,IF(N440+O440&gt;=80,5,IF(N440+O440&gt;=70,4,IF(N440+O440&gt;=60,3.5,IF(N440+O440&gt;=50,3,IF(N440+O440&gt;=40,2,IF(N440+O440&gt;=33,1,0)))))))</f>
        <v/>
      </c>
      <c r="AI440">
        <f>IF(AA440,0,IF(P440+Q440&gt;=80,5,IF(P440+Q440&gt;=70,4,IF(P440+Q440&gt;=60,3.5,IF(P440+Q440&gt;=50,3,IF(P440+Q440&gt;=40,2,IF(P440+Q440&gt;=33,1,0)))))))</f>
        <v/>
      </c>
      <c r="AJ440">
        <f>IF(R440&lt;8.25,0,IF(R440*2&gt;=80,5,IF(R440*2&gt;=70,4,IF(R440*2&gt;=60,3.5,IF(R440*2&gt;=50,3,IF(R440*2&gt;=40,2,IF(R440*2&gt;=33,1,0)))))))</f>
        <v/>
      </c>
      <c r="AK440">
        <f>IF(S440&lt;33,0,IF(S440&gt;=80,5,IF(S440&gt;=70,4,IF(S440&gt;=60,3.5,IF(S440&gt;=50,3,IF(S440&gt;=40,2,IF(S440&gt;=33,1,0)))))))</f>
        <v/>
      </c>
      <c r="AL440">
        <f>(AC440+AD440+AE440+AF440+AG440+AH440+AI440+AJ440)/8</f>
        <v/>
      </c>
      <c r="AM440">
        <f>IF(AK440&gt;=2,(AK440-2)/8,0)</f>
        <v/>
      </c>
    </row>
    <row r="441">
      <c r="T441">
        <f>SUM(C441:R441)</f>
        <v/>
      </c>
      <c r="U441" s="6">
        <f>ROUND(T441/11.5,2)</f>
        <v/>
      </c>
      <c r="V441" s="7">
        <f>IF(B441="","",IF(AB441,0,ROUND(AL441,2)))</f>
        <v/>
      </c>
      <c r="W441" s="7">
        <f>IF(B441="","",IF(AB441,0,MIN(5,ROUND(AL441+AM441,2))))</f>
        <v/>
      </c>
      <c r="X441" s="8">
        <f>IF(B441="","",IF(W441&gt;=5,"A+",IF(W441&gt;=4,"A",IF(W441&gt;=3.5,"A-",IF(W441&gt;=3,"B",IF(W441&gt;=2,"C",IF(W441&gt;=1,"D","F")))))))</f>
        <v/>
      </c>
      <c r="Y441">
        <f>NOT(OR(AND(J441&gt;=10,K441&gt;=23,L441&gt;=10,M441&gt;=23),AND(J441+L441&gt;=20,K441+M441&gt;=46)))</f>
        <v/>
      </c>
      <c r="Z441">
        <f>OR(N441&lt;10,O441&lt;23)</f>
        <v/>
      </c>
      <c r="AA441">
        <f>OR(P441&lt;10,Q441&lt;23)</f>
        <v/>
      </c>
      <c r="AB441">
        <f>OR((C441+D441)&lt;66,(E441+F441)&lt;66,G441&lt;33,(H441+I441)&lt;66,Y441,Z441,AA441,R441&lt;8.25)</f>
        <v/>
      </c>
      <c r="AC441">
        <f>IF(C441+D441&lt;66,0,IF((C441+D441)/2&gt;=80,5,IF((C441+D441)/2&gt;=70,4,IF((C441+D441)/2&gt;=60,3.5,IF((C441+D441)/2&gt;=50,3,IF((C441+D441)/2&gt;=40,2,IF((C441+D441)/2&gt;=33,1,0)))))))</f>
        <v/>
      </c>
      <c r="AD441">
        <f>IF(E441+F441&lt;66,0,IF((E441+F441)/2&gt;=80,5,IF((E441+F441)/2&gt;=70,4,IF((E441+F441)/2&gt;=60,3.5,IF((E441+F441)/2&gt;=50,3,IF((E441+F441)/2&gt;=40,2,IF((E441+F441)/2&gt;=33,1,0)))))))</f>
        <v/>
      </c>
      <c r="AE441">
        <f>IF(G441&lt;33,0,IF(G441&gt;=80,5,IF(G441&gt;=70,4,IF(G441&gt;=60,3.5,IF(G441&gt;=50,3,IF(G441&gt;=40,2,IF(G441&gt;=33,1,0)))))))</f>
        <v/>
      </c>
      <c r="AF441">
        <f>IF(H441+I441&lt;66,0,IF((H441+I441)/2&gt;=80,5,IF((H441+I441)/2&gt;=70,4,IF((H441+I441)/2&gt;=60,3.5,IF((H441+I441)/2&gt;=50,3,IF((H441+I441)/2&gt;=40,2,IF((H441+I441)/2&gt;=33,1,0)))))))</f>
        <v/>
      </c>
      <c r="AG441">
        <f>IF(Y441,0,IF((J441+K441+L441+M441)/2&gt;=80,5,IF((J441+K441+L441+M441)/2&gt;=70,4,IF((J441+K441+L441+M441)/2&gt;=60,3.5,IF((J441+K441+L441+M441)/2&gt;=50,3,IF((J441+K441+L441+M441)/2&gt;=40,2,IF((J441+K441+L441+M441)/2&gt;=33,1,0)))))))</f>
        <v/>
      </c>
      <c r="AH441">
        <f>IF(Z441,0,IF(N441+O441&gt;=80,5,IF(N441+O441&gt;=70,4,IF(N441+O441&gt;=60,3.5,IF(N441+O441&gt;=50,3,IF(N441+O441&gt;=40,2,IF(N441+O441&gt;=33,1,0)))))))</f>
        <v/>
      </c>
      <c r="AI441">
        <f>IF(AA441,0,IF(P441+Q441&gt;=80,5,IF(P441+Q441&gt;=70,4,IF(P441+Q441&gt;=60,3.5,IF(P441+Q441&gt;=50,3,IF(P441+Q441&gt;=40,2,IF(P441+Q441&gt;=33,1,0)))))))</f>
        <v/>
      </c>
      <c r="AJ441">
        <f>IF(R441&lt;8.25,0,IF(R441*2&gt;=80,5,IF(R441*2&gt;=70,4,IF(R441*2&gt;=60,3.5,IF(R441*2&gt;=50,3,IF(R441*2&gt;=40,2,IF(R441*2&gt;=33,1,0)))))))</f>
        <v/>
      </c>
      <c r="AK441">
        <f>IF(S441&lt;33,0,IF(S441&gt;=80,5,IF(S441&gt;=70,4,IF(S441&gt;=60,3.5,IF(S441&gt;=50,3,IF(S441&gt;=40,2,IF(S441&gt;=33,1,0)))))))</f>
        <v/>
      </c>
      <c r="AL441">
        <f>(AC441+AD441+AE441+AF441+AG441+AH441+AI441+AJ441)/8</f>
        <v/>
      </c>
      <c r="AM441">
        <f>IF(AK441&gt;=2,(AK441-2)/8,0)</f>
        <v/>
      </c>
    </row>
    <row r="442">
      <c r="T442">
        <f>SUM(C442:R442)</f>
        <v/>
      </c>
      <c r="U442" s="6">
        <f>ROUND(T442/11.5,2)</f>
        <v/>
      </c>
      <c r="V442" s="7">
        <f>IF(B442="","",IF(AB442,0,ROUND(AL442,2)))</f>
        <v/>
      </c>
      <c r="W442" s="7">
        <f>IF(B442="","",IF(AB442,0,MIN(5,ROUND(AL442+AM442,2))))</f>
        <v/>
      </c>
      <c r="X442" s="8">
        <f>IF(B442="","",IF(W442&gt;=5,"A+",IF(W442&gt;=4,"A",IF(W442&gt;=3.5,"A-",IF(W442&gt;=3,"B",IF(W442&gt;=2,"C",IF(W442&gt;=1,"D","F")))))))</f>
        <v/>
      </c>
      <c r="Y442">
        <f>NOT(OR(AND(J442&gt;=10,K442&gt;=23,L442&gt;=10,M442&gt;=23),AND(J442+L442&gt;=20,K442+M442&gt;=46)))</f>
        <v/>
      </c>
      <c r="Z442">
        <f>OR(N442&lt;10,O442&lt;23)</f>
        <v/>
      </c>
      <c r="AA442">
        <f>OR(P442&lt;10,Q442&lt;23)</f>
        <v/>
      </c>
      <c r="AB442">
        <f>OR((C442+D442)&lt;66,(E442+F442)&lt;66,G442&lt;33,(H442+I442)&lt;66,Y442,Z442,AA442,R442&lt;8.25)</f>
        <v/>
      </c>
      <c r="AC442">
        <f>IF(C442+D442&lt;66,0,IF((C442+D442)/2&gt;=80,5,IF((C442+D442)/2&gt;=70,4,IF((C442+D442)/2&gt;=60,3.5,IF((C442+D442)/2&gt;=50,3,IF((C442+D442)/2&gt;=40,2,IF((C442+D442)/2&gt;=33,1,0)))))))</f>
        <v/>
      </c>
      <c r="AD442">
        <f>IF(E442+F442&lt;66,0,IF((E442+F442)/2&gt;=80,5,IF((E442+F442)/2&gt;=70,4,IF((E442+F442)/2&gt;=60,3.5,IF((E442+F442)/2&gt;=50,3,IF((E442+F442)/2&gt;=40,2,IF((E442+F442)/2&gt;=33,1,0)))))))</f>
        <v/>
      </c>
      <c r="AE442">
        <f>IF(G442&lt;33,0,IF(G442&gt;=80,5,IF(G442&gt;=70,4,IF(G442&gt;=60,3.5,IF(G442&gt;=50,3,IF(G442&gt;=40,2,IF(G442&gt;=33,1,0)))))))</f>
        <v/>
      </c>
      <c r="AF442">
        <f>IF(H442+I442&lt;66,0,IF((H442+I442)/2&gt;=80,5,IF((H442+I442)/2&gt;=70,4,IF((H442+I442)/2&gt;=60,3.5,IF((H442+I442)/2&gt;=50,3,IF((H442+I442)/2&gt;=40,2,IF((H442+I442)/2&gt;=33,1,0)))))))</f>
        <v/>
      </c>
      <c r="AG442">
        <f>IF(Y442,0,IF((J442+K442+L442+M442)/2&gt;=80,5,IF((J442+K442+L442+M442)/2&gt;=70,4,IF((J442+K442+L442+M442)/2&gt;=60,3.5,IF((J442+K442+L442+M442)/2&gt;=50,3,IF((J442+K442+L442+M442)/2&gt;=40,2,IF((J442+K442+L442+M442)/2&gt;=33,1,0)))))))</f>
        <v/>
      </c>
      <c r="AH442">
        <f>IF(Z442,0,IF(N442+O442&gt;=80,5,IF(N442+O442&gt;=70,4,IF(N442+O442&gt;=60,3.5,IF(N442+O442&gt;=50,3,IF(N442+O442&gt;=40,2,IF(N442+O442&gt;=33,1,0)))))))</f>
        <v/>
      </c>
      <c r="AI442">
        <f>IF(AA442,0,IF(P442+Q442&gt;=80,5,IF(P442+Q442&gt;=70,4,IF(P442+Q442&gt;=60,3.5,IF(P442+Q442&gt;=50,3,IF(P442+Q442&gt;=40,2,IF(P442+Q442&gt;=33,1,0)))))))</f>
        <v/>
      </c>
      <c r="AJ442">
        <f>IF(R442&lt;8.25,0,IF(R442*2&gt;=80,5,IF(R442*2&gt;=70,4,IF(R442*2&gt;=60,3.5,IF(R442*2&gt;=50,3,IF(R442*2&gt;=40,2,IF(R442*2&gt;=33,1,0)))))))</f>
        <v/>
      </c>
      <c r="AK442">
        <f>IF(S442&lt;33,0,IF(S442&gt;=80,5,IF(S442&gt;=70,4,IF(S442&gt;=60,3.5,IF(S442&gt;=50,3,IF(S442&gt;=40,2,IF(S442&gt;=33,1,0)))))))</f>
        <v/>
      </c>
      <c r="AL442">
        <f>(AC442+AD442+AE442+AF442+AG442+AH442+AI442+AJ442)/8</f>
        <v/>
      </c>
      <c r="AM442">
        <f>IF(AK442&gt;=2,(AK442-2)/8,0)</f>
        <v/>
      </c>
    </row>
    <row r="443">
      <c r="T443">
        <f>SUM(C443:R443)</f>
        <v/>
      </c>
      <c r="U443" s="6">
        <f>ROUND(T443/11.5,2)</f>
        <v/>
      </c>
      <c r="V443" s="7">
        <f>IF(B443="","",IF(AB443,0,ROUND(AL443,2)))</f>
        <v/>
      </c>
      <c r="W443" s="7">
        <f>IF(B443="","",IF(AB443,0,MIN(5,ROUND(AL443+AM443,2))))</f>
        <v/>
      </c>
      <c r="X443" s="8">
        <f>IF(B443="","",IF(W443&gt;=5,"A+",IF(W443&gt;=4,"A",IF(W443&gt;=3.5,"A-",IF(W443&gt;=3,"B",IF(W443&gt;=2,"C",IF(W443&gt;=1,"D","F")))))))</f>
        <v/>
      </c>
      <c r="Y443">
        <f>NOT(OR(AND(J443&gt;=10,K443&gt;=23,L443&gt;=10,M443&gt;=23),AND(J443+L443&gt;=20,K443+M443&gt;=46)))</f>
        <v/>
      </c>
      <c r="Z443">
        <f>OR(N443&lt;10,O443&lt;23)</f>
        <v/>
      </c>
      <c r="AA443">
        <f>OR(P443&lt;10,Q443&lt;23)</f>
        <v/>
      </c>
      <c r="AB443">
        <f>OR((C443+D443)&lt;66,(E443+F443)&lt;66,G443&lt;33,(H443+I443)&lt;66,Y443,Z443,AA443,R443&lt;8.25)</f>
        <v/>
      </c>
      <c r="AC443">
        <f>IF(C443+D443&lt;66,0,IF((C443+D443)/2&gt;=80,5,IF((C443+D443)/2&gt;=70,4,IF((C443+D443)/2&gt;=60,3.5,IF((C443+D443)/2&gt;=50,3,IF((C443+D443)/2&gt;=40,2,IF((C443+D443)/2&gt;=33,1,0)))))))</f>
        <v/>
      </c>
      <c r="AD443">
        <f>IF(E443+F443&lt;66,0,IF((E443+F443)/2&gt;=80,5,IF((E443+F443)/2&gt;=70,4,IF((E443+F443)/2&gt;=60,3.5,IF((E443+F443)/2&gt;=50,3,IF((E443+F443)/2&gt;=40,2,IF((E443+F443)/2&gt;=33,1,0)))))))</f>
        <v/>
      </c>
      <c r="AE443">
        <f>IF(G443&lt;33,0,IF(G443&gt;=80,5,IF(G443&gt;=70,4,IF(G443&gt;=60,3.5,IF(G443&gt;=50,3,IF(G443&gt;=40,2,IF(G443&gt;=33,1,0)))))))</f>
        <v/>
      </c>
      <c r="AF443">
        <f>IF(H443+I443&lt;66,0,IF((H443+I443)/2&gt;=80,5,IF((H443+I443)/2&gt;=70,4,IF((H443+I443)/2&gt;=60,3.5,IF((H443+I443)/2&gt;=50,3,IF((H443+I443)/2&gt;=40,2,IF((H443+I443)/2&gt;=33,1,0)))))))</f>
        <v/>
      </c>
      <c r="AG443">
        <f>IF(Y443,0,IF((J443+K443+L443+M443)/2&gt;=80,5,IF((J443+K443+L443+M443)/2&gt;=70,4,IF((J443+K443+L443+M443)/2&gt;=60,3.5,IF((J443+K443+L443+M443)/2&gt;=50,3,IF((J443+K443+L443+M443)/2&gt;=40,2,IF((J443+K443+L443+M443)/2&gt;=33,1,0)))))))</f>
        <v/>
      </c>
      <c r="AH443">
        <f>IF(Z443,0,IF(N443+O443&gt;=80,5,IF(N443+O443&gt;=70,4,IF(N443+O443&gt;=60,3.5,IF(N443+O443&gt;=50,3,IF(N443+O443&gt;=40,2,IF(N443+O443&gt;=33,1,0)))))))</f>
        <v/>
      </c>
      <c r="AI443">
        <f>IF(AA443,0,IF(P443+Q443&gt;=80,5,IF(P443+Q443&gt;=70,4,IF(P443+Q443&gt;=60,3.5,IF(P443+Q443&gt;=50,3,IF(P443+Q443&gt;=40,2,IF(P443+Q443&gt;=33,1,0)))))))</f>
        <v/>
      </c>
      <c r="AJ443">
        <f>IF(R443&lt;8.25,0,IF(R443*2&gt;=80,5,IF(R443*2&gt;=70,4,IF(R443*2&gt;=60,3.5,IF(R443*2&gt;=50,3,IF(R443*2&gt;=40,2,IF(R443*2&gt;=33,1,0)))))))</f>
        <v/>
      </c>
      <c r="AK443">
        <f>IF(S443&lt;33,0,IF(S443&gt;=80,5,IF(S443&gt;=70,4,IF(S443&gt;=60,3.5,IF(S443&gt;=50,3,IF(S443&gt;=40,2,IF(S443&gt;=33,1,0)))))))</f>
        <v/>
      </c>
      <c r="AL443">
        <f>(AC443+AD443+AE443+AF443+AG443+AH443+AI443+AJ443)/8</f>
        <v/>
      </c>
      <c r="AM443">
        <f>IF(AK443&gt;=2,(AK443-2)/8,0)</f>
        <v/>
      </c>
    </row>
    <row r="444">
      <c r="T444">
        <f>SUM(C444:R444)</f>
        <v/>
      </c>
      <c r="U444" s="6">
        <f>ROUND(T444/11.5,2)</f>
        <v/>
      </c>
      <c r="V444" s="7">
        <f>IF(B444="","",IF(AB444,0,ROUND(AL444,2)))</f>
        <v/>
      </c>
      <c r="W444" s="7">
        <f>IF(B444="","",IF(AB444,0,MIN(5,ROUND(AL444+AM444,2))))</f>
        <v/>
      </c>
      <c r="X444" s="8">
        <f>IF(B444="","",IF(W444&gt;=5,"A+",IF(W444&gt;=4,"A",IF(W444&gt;=3.5,"A-",IF(W444&gt;=3,"B",IF(W444&gt;=2,"C",IF(W444&gt;=1,"D","F")))))))</f>
        <v/>
      </c>
      <c r="Y444">
        <f>NOT(OR(AND(J444&gt;=10,K444&gt;=23,L444&gt;=10,M444&gt;=23),AND(J444+L444&gt;=20,K444+M444&gt;=46)))</f>
        <v/>
      </c>
      <c r="Z444">
        <f>OR(N444&lt;10,O444&lt;23)</f>
        <v/>
      </c>
      <c r="AA444">
        <f>OR(P444&lt;10,Q444&lt;23)</f>
        <v/>
      </c>
      <c r="AB444">
        <f>OR((C444+D444)&lt;66,(E444+F444)&lt;66,G444&lt;33,(H444+I444)&lt;66,Y444,Z444,AA444,R444&lt;8.25)</f>
        <v/>
      </c>
      <c r="AC444">
        <f>IF(C444+D444&lt;66,0,IF((C444+D444)/2&gt;=80,5,IF((C444+D444)/2&gt;=70,4,IF((C444+D444)/2&gt;=60,3.5,IF((C444+D444)/2&gt;=50,3,IF((C444+D444)/2&gt;=40,2,IF((C444+D444)/2&gt;=33,1,0)))))))</f>
        <v/>
      </c>
      <c r="AD444">
        <f>IF(E444+F444&lt;66,0,IF((E444+F444)/2&gt;=80,5,IF((E444+F444)/2&gt;=70,4,IF((E444+F444)/2&gt;=60,3.5,IF((E444+F444)/2&gt;=50,3,IF((E444+F444)/2&gt;=40,2,IF((E444+F444)/2&gt;=33,1,0)))))))</f>
        <v/>
      </c>
      <c r="AE444">
        <f>IF(G444&lt;33,0,IF(G444&gt;=80,5,IF(G444&gt;=70,4,IF(G444&gt;=60,3.5,IF(G444&gt;=50,3,IF(G444&gt;=40,2,IF(G444&gt;=33,1,0)))))))</f>
        <v/>
      </c>
      <c r="AF444">
        <f>IF(H444+I444&lt;66,0,IF((H444+I444)/2&gt;=80,5,IF((H444+I444)/2&gt;=70,4,IF((H444+I444)/2&gt;=60,3.5,IF((H444+I444)/2&gt;=50,3,IF((H444+I444)/2&gt;=40,2,IF((H444+I444)/2&gt;=33,1,0)))))))</f>
        <v/>
      </c>
      <c r="AG444">
        <f>IF(Y444,0,IF((J444+K444+L444+M444)/2&gt;=80,5,IF((J444+K444+L444+M444)/2&gt;=70,4,IF((J444+K444+L444+M444)/2&gt;=60,3.5,IF((J444+K444+L444+M444)/2&gt;=50,3,IF((J444+K444+L444+M444)/2&gt;=40,2,IF((J444+K444+L444+M444)/2&gt;=33,1,0)))))))</f>
        <v/>
      </c>
      <c r="AH444">
        <f>IF(Z444,0,IF(N444+O444&gt;=80,5,IF(N444+O444&gt;=70,4,IF(N444+O444&gt;=60,3.5,IF(N444+O444&gt;=50,3,IF(N444+O444&gt;=40,2,IF(N444+O444&gt;=33,1,0)))))))</f>
        <v/>
      </c>
      <c r="AI444">
        <f>IF(AA444,0,IF(P444+Q444&gt;=80,5,IF(P444+Q444&gt;=70,4,IF(P444+Q444&gt;=60,3.5,IF(P444+Q444&gt;=50,3,IF(P444+Q444&gt;=40,2,IF(P444+Q444&gt;=33,1,0)))))))</f>
        <v/>
      </c>
      <c r="AJ444">
        <f>IF(R444&lt;8.25,0,IF(R444*2&gt;=80,5,IF(R444*2&gt;=70,4,IF(R444*2&gt;=60,3.5,IF(R444*2&gt;=50,3,IF(R444*2&gt;=40,2,IF(R444*2&gt;=33,1,0)))))))</f>
        <v/>
      </c>
      <c r="AK444">
        <f>IF(S444&lt;33,0,IF(S444&gt;=80,5,IF(S444&gt;=70,4,IF(S444&gt;=60,3.5,IF(S444&gt;=50,3,IF(S444&gt;=40,2,IF(S444&gt;=33,1,0)))))))</f>
        <v/>
      </c>
      <c r="AL444">
        <f>(AC444+AD444+AE444+AF444+AG444+AH444+AI444+AJ444)/8</f>
        <v/>
      </c>
      <c r="AM444">
        <f>IF(AK444&gt;=2,(AK444-2)/8,0)</f>
        <v/>
      </c>
    </row>
    <row r="445">
      <c r="T445">
        <f>SUM(C445:R445)</f>
        <v/>
      </c>
      <c r="U445" s="6">
        <f>ROUND(T445/11.5,2)</f>
        <v/>
      </c>
      <c r="V445" s="7">
        <f>IF(B445="","",IF(AB445,0,ROUND(AL445,2)))</f>
        <v/>
      </c>
      <c r="W445" s="7">
        <f>IF(B445="","",IF(AB445,0,MIN(5,ROUND(AL445+AM445,2))))</f>
        <v/>
      </c>
      <c r="X445" s="8">
        <f>IF(B445="","",IF(W445&gt;=5,"A+",IF(W445&gt;=4,"A",IF(W445&gt;=3.5,"A-",IF(W445&gt;=3,"B",IF(W445&gt;=2,"C",IF(W445&gt;=1,"D","F")))))))</f>
        <v/>
      </c>
      <c r="Y445">
        <f>NOT(OR(AND(J445&gt;=10,K445&gt;=23,L445&gt;=10,M445&gt;=23),AND(J445+L445&gt;=20,K445+M445&gt;=46)))</f>
        <v/>
      </c>
      <c r="Z445">
        <f>OR(N445&lt;10,O445&lt;23)</f>
        <v/>
      </c>
      <c r="AA445">
        <f>OR(P445&lt;10,Q445&lt;23)</f>
        <v/>
      </c>
      <c r="AB445">
        <f>OR((C445+D445)&lt;66,(E445+F445)&lt;66,G445&lt;33,(H445+I445)&lt;66,Y445,Z445,AA445,R445&lt;8.25)</f>
        <v/>
      </c>
      <c r="AC445">
        <f>IF(C445+D445&lt;66,0,IF((C445+D445)/2&gt;=80,5,IF((C445+D445)/2&gt;=70,4,IF((C445+D445)/2&gt;=60,3.5,IF((C445+D445)/2&gt;=50,3,IF((C445+D445)/2&gt;=40,2,IF((C445+D445)/2&gt;=33,1,0)))))))</f>
        <v/>
      </c>
      <c r="AD445">
        <f>IF(E445+F445&lt;66,0,IF((E445+F445)/2&gt;=80,5,IF((E445+F445)/2&gt;=70,4,IF((E445+F445)/2&gt;=60,3.5,IF((E445+F445)/2&gt;=50,3,IF((E445+F445)/2&gt;=40,2,IF((E445+F445)/2&gt;=33,1,0)))))))</f>
        <v/>
      </c>
      <c r="AE445">
        <f>IF(G445&lt;33,0,IF(G445&gt;=80,5,IF(G445&gt;=70,4,IF(G445&gt;=60,3.5,IF(G445&gt;=50,3,IF(G445&gt;=40,2,IF(G445&gt;=33,1,0)))))))</f>
        <v/>
      </c>
      <c r="AF445">
        <f>IF(H445+I445&lt;66,0,IF((H445+I445)/2&gt;=80,5,IF((H445+I445)/2&gt;=70,4,IF((H445+I445)/2&gt;=60,3.5,IF((H445+I445)/2&gt;=50,3,IF((H445+I445)/2&gt;=40,2,IF((H445+I445)/2&gt;=33,1,0)))))))</f>
        <v/>
      </c>
      <c r="AG445">
        <f>IF(Y445,0,IF((J445+K445+L445+M445)/2&gt;=80,5,IF((J445+K445+L445+M445)/2&gt;=70,4,IF((J445+K445+L445+M445)/2&gt;=60,3.5,IF((J445+K445+L445+M445)/2&gt;=50,3,IF((J445+K445+L445+M445)/2&gt;=40,2,IF((J445+K445+L445+M445)/2&gt;=33,1,0)))))))</f>
        <v/>
      </c>
      <c r="AH445">
        <f>IF(Z445,0,IF(N445+O445&gt;=80,5,IF(N445+O445&gt;=70,4,IF(N445+O445&gt;=60,3.5,IF(N445+O445&gt;=50,3,IF(N445+O445&gt;=40,2,IF(N445+O445&gt;=33,1,0)))))))</f>
        <v/>
      </c>
      <c r="AI445">
        <f>IF(AA445,0,IF(P445+Q445&gt;=80,5,IF(P445+Q445&gt;=70,4,IF(P445+Q445&gt;=60,3.5,IF(P445+Q445&gt;=50,3,IF(P445+Q445&gt;=40,2,IF(P445+Q445&gt;=33,1,0)))))))</f>
        <v/>
      </c>
      <c r="AJ445">
        <f>IF(R445&lt;8.25,0,IF(R445*2&gt;=80,5,IF(R445*2&gt;=70,4,IF(R445*2&gt;=60,3.5,IF(R445*2&gt;=50,3,IF(R445*2&gt;=40,2,IF(R445*2&gt;=33,1,0)))))))</f>
        <v/>
      </c>
      <c r="AK445">
        <f>IF(S445&lt;33,0,IF(S445&gt;=80,5,IF(S445&gt;=70,4,IF(S445&gt;=60,3.5,IF(S445&gt;=50,3,IF(S445&gt;=40,2,IF(S445&gt;=33,1,0)))))))</f>
        <v/>
      </c>
      <c r="AL445">
        <f>(AC445+AD445+AE445+AF445+AG445+AH445+AI445+AJ445)/8</f>
        <v/>
      </c>
      <c r="AM445">
        <f>IF(AK445&gt;=2,(AK445-2)/8,0)</f>
        <v/>
      </c>
    </row>
    <row r="446">
      <c r="T446">
        <f>SUM(C446:R446)</f>
        <v/>
      </c>
      <c r="U446" s="6">
        <f>ROUND(T446/11.5,2)</f>
        <v/>
      </c>
      <c r="V446" s="7">
        <f>IF(B446="","",IF(AB446,0,ROUND(AL446,2)))</f>
        <v/>
      </c>
      <c r="W446" s="7">
        <f>IF(B446="","",IF(AB446,0,MIN(5,ROUND(AL446+AM446,2))))</f>
        <v/>
      </c>
      <c r="X446" s="8">
        <f>IF(B446="","",IF(W446&gt;=5,"A+",IF(W446&gt;=4,"A",IF(W446&gt;=3.5,"A-",IF(W446&gt;=3,"B",IF(W446&gt;=2,"C",IF(W446&gt;=1,"D","F")))))))</f>
        <v/>
      </c>
      <c r="Y446">
        <f>NOT(OR(AND(J446&gt;=10,K446&gt;=23,L446&gt;=10,M446&gt;=23),AND(J446+L446&gt;=20,K446+M446&gt;=46)))</f>
        <v/>
      </c>
      <c r="Z446">
        <f>OR(N446&lt;10,O446&lt;23)</f>
        <v/>
      </c>
      <c r="AA446">
        <f>OR(P446&lt;10,Q446&lt;23)</f>
        <v/>
      </c>
      <c r="AB446">
        <f>OR((C446+D446)&lt;66,(E446+F446)&lt;66,G446&lt;33,(H446+I446)&lt;66,Y446,Z446,AA446,R446&lt;8.25)</f>
        <v/>
      </c>
      <c r="AC446">
        <f>IF(C446+D446&lt;66,0,IF((C446+D446)/2&gt;=80,5,IF((C446+D446)/2&gt;=70,4,IF((C446+D446)/2&gt;=60,3.5,IF((C446+D446)/2&gt;=50,3,IF((C446+D446)/2&gt;=40,2,IF((C446+D446)/2&gt;=33,1,0)))))))</f>
        <v/>
      </c>
      <c r="AD446">
        <f>IF(E446+F446&lt;66,0,IF((E446+F446)/2&gt;=80,5,IF((E446+F446)/2&gt;=70,4,IF((E446+F446)/2&gt;=60,3.5,IF((E446+F446)/2&gt;=50,3,IF((E446+F446)/2&gt;=40,2,IF((E446+F446)/2&gt;=33,1,0)))))))</f>
        <v/>
      </c>
      <c r="AE446">
        <f>IF(G446&lt;33,0,IF(G446&gt;=80,5,IF(G446&gt;=70,4,IF(G446&gt;=60,3.5,IF(G446&gt;=50,3,IF(G446&gt;=40,2,IF(G446&gt;=33,1,0)))))))</f>
        <v/>
      </c>
      <c r="AF446">
        <f>IF(H446+I446&lt;66,0,IF((H446+I446)/2&gt;=80,5,IF((H446+I446)/2&gt;=70,4,IF((H446+I446)/2&gt;=60,3.5,IF((H446+I446)/2&gt;=50,3,IF((H446+I446)/2&gt;=40,2,IF((H446+I446)/2&gt;=33,1,0)))))))</f>
        <v/>
      </c>
      <c r="AG446">
        <f>IF(Y446,0,IF((J446+K446+L446+M446)/2&gt;=80,5,IF((J446+K446+L446+M446)/2&gt;=70,4,IF((J446+K446+L446+M446)/2&gt;=60,3.5,IF((J446+K446+L446+M446)/2&gt;=50,3,IF((J446+K446+L446+M446)/2&gt;=40,2,IF((J446+K446+L446+M446)/2&gt;=33,1,0)))))))</f>
        <v/>
      </c>
      <c r="AH446">
        <f>IF(Z446,0,IF(N446+O446&gt;=80,5,IF(N446+O446&gt;=70,4,IF(N446+O446&gt;=60,3.5,IF(N446+O446&gt;=50,3,IF(N446+O446&gt;=40,2,IF(N446+O446&gt;=33,1,0)))))))</f>
        <v/>
      </c>
      <c r="AI446">
        <f>IF(AA446,0,IF(P446+Q446&gt;=80,5,IF(P446+Q446&gt;=70,4,IF(P446+Q446&gt;=60,3.5,IF(P446+Q446&gt;=50,3,IF(P446+Q446&gt;=40,2,IF(P446+Q446&gt;=33,1,0)))))))</f>
        <v/>
      </c>
      <c r="AJ446">
        <f>IF(R446&lt;8.25,0,IF(R446*2&gt;=80,5,IF(R446*2&gt;=70,4,IF(R446*2&gt;=60,3.5,IF(R446*2&gt;=50,3,IF(R446*2&gt;=40,2,IF(R446*2&gt;=33,1,0)))))))</f>
        <v/>
      </c>
      <c r="AK446">
        <f>IF(S446&lt;33,0,IF(S446&gt;=80,5,IF(S446&gt;=70,4,IF(S446&gt;=60,3.5,IF(S446&gt;=50,3,IF(S446&gt;=40,2,IF(S446&gt;=33,1,0)))))))</f>
        <v/>
      </c>
      <c r="AL446">
        <f>(AC446+AD446+AE446+AF446+AG446+AH446+AI446+AJ446)/8</f>
        <v/>
      </c>
      <c r="AM446">
        <f>IF(AK446&gt;=2,(AK446-2)/8,0)</f>
        <v/>
      </c>
    </row>
    <row r="447">
      <c r="T447">
        <f>SUM(C447:R447)</f>
        <v/>
      </c>
      <c r="U447" s="6">
        <f>ROUND(T447/11.5,2)</f>
        <v/>
      </c>
      <c r="V447" s="7">
        <f>IF(B447="","",IF(AB447,0,ROUND(AL447,2)))</f>
        <v/>
      </c>
      <c r="W447" s="7">
        <f>IF(B447="","",IF(AB447,0,MIN(5,ROUND(AL447+AM447,2))))</f>
        <v/>
      </c>
      <c r="X447" s="8">
        <f>IF(B447="","",IF(W447&gt;=5,"A+",IF(W447&gt;=4,"A",IF(W447&gt;=3.5,"A-",IF(W447&gt;=3,"B",IF(W447&gt;=2,"C",IF(W447&gt;=1,"D","F")))))))</f>
        <v/>
      </c>
      <c r="Y447">
        <f>NOT(OR(AND(J447&gt;=10,K447&gt;=23,L447&gt;=10,M447&gt;=23),AND(J447+L447&gt;=20,K447+M447&gt;=46)))</f>
        <v/>
      </c>
      <c r="Z447">
        <f>OR(N447&lt;10,O447&lt;23)</f>
        <v/>
      </c>
      <c r="AA447">
        <f>OR(P447&lt;10,Q447&lt;23)</f>
        <v/>
      </c>
      <c r="AB447">
        <f>OR((C447+D447)&lt;66,(E447+F447)&lt;66,G447&lt;33,(H447+I447)&lt;66,Y447,Z447,AA447,R447&lt;8.25)</f>
        <v/>
      </c>
      <c r="AC447">
        <f>IF(C447+D447&lt;66,0,IF((C447+D447)/2&gt;=80,5,IF((C447+D447)/2&gt;=70,4,IF((C447+D447)/2&gt;=60,3.5,IF((C447+D447)/2&gt;=50,3,IF((C447+D447)/2&gt;=40,2,IF((C447+D447)/2&gt;=33,1,0)))))))</f>
        <v/>
      </c>
      <c r="AD447">
        <f>IF(E447+F447&lt;66,0,IF((E447+F447)/2&gt;=80,5,IF((E447+F447)/2&gt;=70,4,IF((E447+F447)/2&gt;=60,3.5,IF((E447+F447)/2&gt;=50,3,IF((E447+F447)/2&gt;=40,2,IF((E447+F447)/2&gt;=33,1,0)))))))</f>
        <v/>
      </c>
      <c r="AE447">
        <f>IF(G447&lt;33,0,IF(G447&gt;=80,5,IF(G447&gt;=70,4,IF(G447&gt;=60,3.5,IF(G447&gt;=50,3,IF(G447&gt;=40,2,IF(G447&gt;=33,1,0)))))))</f>
        <v/>
      </c>
      <c r="AF447">
        <f>IF(H447+I447&lt;66,0,IF((H447+I447)/2&gt;=80,5,IF((H447+I447)/2&gt;=70,4,IF((H447+I447)/2&gt;=60,3.5,IF((H447+I447)/2&gt;=50,3,IF((H447+I447)/2&gt;=40,2,IF((H447+I447)/2&gt;=33,1,0)))))))</f>
        <v/>
      </c>
      <c r="AG447">
        <f>IF(Y447,0,IF((J447+K447+L447+M447)/2&gt;=80,5,IF((J447+K447+L447+M447)/2&gt;=70,4,IF((J447+K447+L447+M447)/2&gt;=60,3.5,IF((J447+K447+L447+M447)/2&gt;=50,3,IF((J447+K447+L447+M447)/2&gt;=40,2,IF((J447+K447+L447+M447)/2&gt;=33,1,0)))))))</f>
        <v/>
      </c>
      <c r="AH447">
        <f>IF(Z447,0,IF(N447+O447&gt;=80,5,IF(N447+O447&gt;=70,4,IF(N447+O447&gt;=60,3.5,IF(N447+O447&gt;=50,3,IF(N447+O447&gt;=40,2,IF(N447+O447&gt;=33,1,0)))))))</f>
        <v/>
      </c>
      <c r="AI447">
        <f>IF(AA447,0,IF(P447+Q447&gt;=80,5,IF(P447+Q447&gt;=70,4,IF(P447+Q447&gt;=60,3.5,IF(P447+Q447&gt;=50,3,IF(P447+Q447&gt;=40,2,IF(P447+Q447&gt;=33,1,0)))))))</f>
        <v/>
      </c>
      <c r="AJ447">
        <f>IF(R447&lt;8.25,0,IF(R447*2&gt;=80,5,IF(R447*2&gt;=70,4,IF(R447*2&gt;=60,3.5,IF(R447*2&gt;=50,3,IF(R447*2&gt;=40,2,IF(R447*2&gt;=33,1,0)))))))</f>
        <v/>
      </c>
      <c r="AK447">
        <f>IF(S447&lt;33,0,IF(S447&gt;=80,5,IF(S447&gt;=70,4,IF(S447&gt;=60,3.5,IF(S447&gt;=50,3,IF(S447&gt;=40,2,IF(S447&gt;=33,1,0)))))))</f>
        <v/>
      </c>
      <c r="AL447">
        <f>(AC447+AD447+AE447+AF447+AG447+AH447+AI447+AJ447)/8</f>
        <v/>
      </c>
      <c r="AM447">
        <f>IF(AK447&gt;=2,(AK447-2)/8,0)</f>
        <v/>
      </c>
    </row>
    <row r="448">
      <c r="T448">
        <f>SUM(C448:R448)</f>
        <v/>
      </c>
      <c r="U448" s="6">
        <f>ROUND(T448/11.5,2)</f>
        <v/>
      </c>
      <c r="V448" s="7">
        <f>IF(B448="","",IF(AB448,0,ROUND(AL448,2)))</f>
        <v/>
      </c>
      <c r="W448" s="7">
        <f>IF(B448="","",IF(AB448,0,MIN(5,ROUND(AL448+AM448,2))))</f>
        <v/>
      </c>
      <c r="X448" s="8">
        <f>IF(B448="","",IF(W448&gt;=5,"A+",IF(W448&gt;=4,"A",IF(W448&gt;=3.5,"A-",IF(W448&gt;=3,"B",IF(W448&gt;=2,"C",IF(W448&gt;=1,"D","F")))))))</f>
        <v/>
      </c>
      <c r="Y448">
        <f>NOT(OR(AND(J448&gt;=10,K448&gt;=23,L448&gt;=10,M448&gt;=23),AND(J448+L448&gt;=20,K448+M448&gt;=46)))</f>
        <v/>
      </c>
      <c r="Z448">
        <f>OR(N448&lt;10,O448&lt;23)</f>
        <v/>
      </c>
      <c r="AA448">
        <f>OR(P448&lt;10,Q448&lt;23)</f>
        <v/>
      </c>
      <c r="AB448">
        <f>OR((C448+D448)&lt;66,(E448+F448)&lt;66,G448&lt;33,(H448+I448)&lt;66,Y448,Z448,AA448,R448&lt;8.25)</f>
        <v/>
      </c>
      <c r="AC448">
        <f>IF(C448+D448&lt;66,0,IF((C448+D448)/2&gt;=80,5,IF((C448+D448)/2&gt;=70,4,IF((C448+D448)/2&gt;=60,3.5,IF((C448+D448)/2&gt;=50,3,IF((C448+D448)/2&gt;=40,2,IF((C448+D448)/2&gt;=33,1,0)))))))</f>
        <v/>
      </c>
      <c r="AD448">
        <f>IF(E448+F448&lt;66,0,IF((E448+F448)/2&gt;=80,5,IF((E448+F448)/2&gt;=70,4,IF((E448+F448)/2&gt;=60,3.5,IF((E448+F448)/2&gt;=50,3,IF((E448+F448)/2&gt;=40,2,IF((E448+F448)/2&gt;=33,1,0)))))))</f>
        <v/>
      </c>
      <c r="AE448">
        <f>IF(G448&lt;33,0,IF(G448&gt;=80,5,IF(G448&gt;=70,4,IF(G448&gt;=60,3.5,IF(G448&gt;=50,3,IF(G448&gt;=40,2,IF(G448&gt;=33,1,0)))))))</f>
        <v/>
      </c>
      <c r="AF448">
        <f>IF(H448+I448&lt;66,0,IF((H448+I448)/2&gt;=80,5,IF((H448+I448)/2&gt;=70,4,IF((H448+I448)/2&gt;=60,3.5,IF((H448+I448)/2&gt;=50,3,IF((H448+I448)/2&gt;=40,2,IF((H448+I448)/2&gt;=33,1,0)))))))</f>
        <v/>
      </c>
      <c r="AG448">
        <f>IF(Y448,0,IF((J448+K448+L448+M448)/2&gt;=80,5,IF((J448+K448+L448+M448)/2&gt;=70,4,IF((J448+K448+L448+M448)/2&gt;=60,3.5,IF((J448+K448+L448+M448)/2&gt;=50,3,IF((J448+K448+L448+M448)/2&gt;=40,2,IF((J448+K448+L448+M448)/2&gt;=33,1,0)))))))</f>
        <v/>
      </c>
      <c r="AH448">
        <f>IF(Z448,0,IF(N448+O448&gt;=80,5,IF(N448+O448&gt;=70,4,IF(N448+O448&gt;=60,3.5,IF(N448+O448&gt;=50,3,IF(N448+O448&gt;=40,2,IF(N448+O448&gt;=33,1,0)))))))</f>
        <v/>
      </c>
      <c r="AI448">
        <f>IF(AA448,0,IF(P448+Q448&gt;=80,5,IF(P448+Q448&gt;=70,4,IF(P448+Q448&gt;=60,3.5,IF(P448+Q448&gt;=50,3,IF(P448+Q448&gt;=40,2,IF(P448+Q448&gt;=33,1,0)))))))</f>
        <v/>
      </c>
      <c r="AJ448">
        <f>IF(R448&lt;8.25,0,IF(R448*2&gt;=80,5,IF(R448*2&gt;=70,4,IF(R448*2&gt;=60,3.5,IF(R448*2&gt;=50,3,IF(R448*2&gt;=40,2,IF(R448*2&gt;=33,1,0)))))))</f>
        <v/>
      </c>
      <c r="AK448">
        <f>IF(S448&lt;33,0,IF(S448&gt;=80,5,IF(S448&gt;=70,4,IF(S448&gt;=60,3.5,IF(S448&gt;=50,3,IF(S448&gt;=40,2,IF(S448&gt;=33,1,0)))))))</f>
        <v/>
      </c>
      <c r="AL448">
        <f>(AC448+AD448+AE448+AF448+AG448+AH448+AI448+AJ448)/8</f>
        <v/>
      </c>
      <c r="AM448">
        <f>IF(AK448&gt;=2,(AK448-2)/8,0)</f>
        <v/>
      </c>
    </row>
    <row r="449">
      <c r="T449">
        <f>SUM(C449:R449)</f>
        <v/>
      </c>
      <c r="U449" s="6">
        <f>ROUND(T449/11.5,2)</f>
        <v/>
      </c>
      <c r="V449" s="7">
        <f>IF(B449="","",IF(AB449,0,ROUND(AL449,2)))</f>
        <v/>
      </c>
      <c r="W449" s="7">
        <f>IF(B449="","",IF(AB449,0,MIN(5,ROUND(AL449+AM449,2))))</f>
        <v/>
      </c>
      <c r="X449" s="8">
        <f>IF(B449="","",IF(W449&gt;=5,"A+",IF(W449&gt;=4,"A",IF(W449&gt;=3.5,"A-",IF(W449&gt;=3,"B",IF(W449&gt;=2,"C",IF(W449&gt;=1,"D","F")))))))</f>
        <v/>
      </c>
      <c r="Y449">
        <f>NOT(OR(AND(J449&gt;=10,K449&gt;=23,L449&gt;=10,M449&gt;=23),AND(J449+L449&gt;=20,K449+M449&gt;=46)))</f>
        <v/>
      </c>
      <c r="Z449">
        <f>OR(N449&lt;10,O449&lt;23)</f>
        <v/>
      </c>
      <c r="AA449">
        <f>OR(P449&lt;10,Q449&lt;23)</f>
        <v/>
      </c>
      <c r="AB449">
        <f>OR((C449+D449)&lt;66,(E449+F449)&lt;66,G449&lt;33,(H449+I449)&lt;66,Y449,Z449,AA449,R449&lt;8.25)</f>
        <v/>
      </c>
      <c r="AC449">
        <f>IF(C449+D449&lt;66,0,IF((C449+D449)/2&gt;=80,5,IF((C449+D449)/2&gt;=70,4,IF((C449+D449)/2&gt;=60,3.5,IF((C449+D449)/2&gt;=50,3,IF((C449+D449)/2&gt;=40,2,IF((C449+D449)/2&gt;=33,1,0)))))))</f>
        <v/>
      </c>
      <c r="AD449">
        <f>IF(E449+F449&lt;66,0,IF((E449+F449)/2&gt;=80,5,IF((E449+F449)/2&gt;=70,4,IF((E449+F449)/2&gt;=60,3.5,IF((E449+F449)/2&gt;=50,3,IF((E449+F449)/2&gt;=40,2,IF((E449+F449)/2&gt;=33,1,0)))))))</f>
        <v/>
      </c>
      <c r="AE449">
        <f>IF(G449&lt;33,0,IF(G449&gt;=80,5,IF(G449&gt;=70,4,IF(G449&gt;=60,3.5,IF(G449&gt;=50,3,IF(G449&gt;=40,2,IF(G449&gt;=33,1,0)))))))</f>
        <v/>
      </c>
      <c r="AF449">
        <f>IF(H449+I449&lt;66,0,IF((H449+I449)/2&gt;=80,5,IF((H449+I449)/2&gt;=70,4,IF((H449+I449)/2&gt;=60,3.5,IF((H449+I449)/2&gt;=50,3,IF((H449+I449)/2&gt;=40,2,IF((H449+I449)/2&gt;=33,1,0)))))))</f>
        <v/>
      </c>
      <c r="AG449">
        <f>IF(Y449,0,IF((J449+K449+L449+M449)/2&gt;=80,5,IF((J449+K449+L449+M449)/2&gt;=70,4,IF((J449+K449+L449+M449)/2&gt;=60,3.5,IF((J449+K449+L449+M449)/2&gt;=50,3,IF((J449+K449+L449+M449)/2&gt;=40,2,IF((J449+K449+L449+M449)/2&gt;=33,1,0)))))))</f>
        <v/>
      </c>
      <c r="AH449">
        <f>IF(Z449,0,IF(N449+O449&gt;=80,5,IF(N449+O449&gt;=70,4,IF(N449+O449&gt;=60,3.5,IF(N449+O449&gt;=50,3,IF(N449+O449&gt;=40,2,IF(N449+O449&gt;=33,1,0)))))))</f>
        <v/>
      </c>
      <c r="AI449">
        <f>IF(AA449,0,IF(P449+Q449&gt;=80,5,IF(P449+Q449&gt;=70,4,IF(P449+Q449&gt;=60,3.5,IF(P449+Q449&gt;=50,3,IF(P449+Q449&gt;=40,2,IF(P449+Q449&gt;=33,1,0)))))))</f>
        <v/>
      </c>
      <c r="AJ449">
        <f>IF(R449&lt;8.25,0,IF(R449*2&gt;=80,5,IF(R449*2&gt;=70,4,IF(R449*2&gt;=60,3.5,IF(R449*2&gt;=50,3,IF(R449*2&gt;=40,2,IF(R449*2&gt;=33,1,0)))))))</f>
        <v/>
      </c>
      <c r="AK449">
        <f>IF(S449&lt;33,0,IF(S449&gt;=80,5,IF(S449&gt;=70,4,IF(S449&gt;=60,3.5,IF(S449&gt;=50,3,IF(S449&gt;=40,2,IF(S449&gt;=33,1,0)))))))</f>
        <v/>
      </c>
      <c r="AL449">
        <f>(AC449+AD449+AE449+AF449+AG449+AH449+AI449+AJ449)/8</f>
        <v/>
      </c>
      <c r="AM449">
        <f>IF(AK449&gt;=2,(AK449-2)/8,0)</f>
        <v/>
      </c>
    </row>
    <row r="450">
      <c r="T450">
        <f>SUM(C450:R450)</f>
        <v/>
      </c>
      <c r="U450" s="6">
        <f>ROUND(T450/11.5,2)</f>
        <v/>
      </c>
      <c r="V450" s="7">
        <f>IF(B450="","",IF(AB450,0,ROUND(AL450,2)))</f>
        <v/>
      </c>
      <c r="W450" s="7">
        <f>IF(B450="","",IF(AB450,0,MIN(5,ROUND(AL450+AM450,2))))</f>
        <v/>
      </c>
      <c r="X450" s="8">
        <f>IF(B450="","",IF(W450&gt;=5,"A+",IF(W450&gt;=4,"A",IF(W450&gt;=3.5,"A-",IF(W450&gt;=3,"B",IF(W450&gt;=2,"C",IF(W450&gt;=1,"D","F")))))))</f>
        <v/>
      </c>
      <c r="Y450">
        <f>NOT(OR(AND(J450&gt;=10,K450&gt;=23,L450&gt;=10,M450&gt;=23),AND(J450+L450&gt;=20,K450+M450&gt;=46)))</f>
        <v/>
      </c>
      <c r="Z450">
        <f>OR(N450&lt;10,O450&lt;23)</f>
        <v/>
      </c>
      <c r="AA450">
        <f>OR(P450&lt;10,Q450&lt;23)</f>
        <v/>
      </c>
      <c r="AB450">
        <f>OR((C450+D450)&lt;66,(E450+F450)&lt;66,G450&lt;33,(H450+I450)&lt;66,Y450,Z450,AA450,R450&lt;8.25)</f>
        <v/>
      </c>
      <c r="AC450">
        <f>IF(C450+D450&lt;66,0,IF((C450+D450)/2&gt;=80,5,IF((C450+D450)/2&gt;=70,4,IF((C450+D450)/2&gt;=60,3.5,IF((C450+D450)/2&gt;=50,3,IF((C450+D450)/2&gt;=40,2,IF((C450+D450)/2&gt;=33,1,0)))))))</f>
        <v/>
      </c>
      <c r="AD450">
        <f>IF(E450+F450&lt;66,0,IF((E450+F450)/2&gt;=80,5,IF((E450+F450)/2&gt;=70,4,IF((E450+F450)/2&gt;=60,3.5,IF((E450+F450)/2&gt;=50,3,IF((E450+F450)/2&gt;=40,2,IF((E450+F450)/2&gt;=33,1,0)))))))</f>
        <v/>
      </c>
      <c r="AE450">
        <f>IF(G450&lt;33,0,IF(G450&gt;=80,5,IF(G450&gt;=70,4,IF(G450&gt;=60,3.5,IF(G450&gt;=50,3,IF(G450&gt;=40,2,IF(G450&gt;=33,1,0)))))))</f>
        <v/>
      </c>
      <c r="AF450">
        <f>IF(H450+I450&lt;66,0,IF((H450+I450)/2&gt;=80,5,IF((H450+I450)/2&gt;=70,4,IF((H450+I450)/2&gt;=60,3.5,IF((H450+I450)/2&gt;=50,3,IF((H450+I450)/2&gt;=40,2,IF((H450+I450)/2&gt;=33,1,0)))))))</f>
        <v/>
      </c>
      <c r="AG450">
        <f>IF(Y450,0,IF((J450+K450+L450+M450)/2&gt;=80,5,IF((J450+K450+L450+M450)/2&gt;=70,4,IF((J450+K450+L450+M450)/2&gt;=60,3.5,IF((J450+K450+L450+M450)/2&gt;=50,3,IF((J450+K450+L450+M450)/2&gt;=40,2,IF((J450+K450+L450+M450)/2&gt;=33,1,0)))))))</f>
        <v/>
      </c>
      <c r="AH450">
        <f>IF(Z450,0,IF(N450+O450&gt;=80,5,IF(N450+O450&gt;=70,4,IF(N450+O450&gt;=60,3.5,IF(N450+O450&gt;=50,3,IF(N450+O450&gt;=40,2,IF(N450+O450&gt;=33,1,0)))))))</f>
        <v/>
      </c>
      <c r="AI450">
        <f>IF(AA450,0,IF(P450+Q450&gt;=80,5,IF(P450+Q450&gt;=70,4,IF(P450+Q450&gt;=60,3.5,IF(P450+Q450&gt;=50,3,IF(P450+Q450&gt;=40,2,IF(P450+Q450&gt;=33,1,0)))))))</f>
        <v/>
      </c>
      <c r="AJ450">
        <f>IF(R450&lt;8.25,0,IF(R450*2&gt;=80,5,IF(R450*2&gt;=70,4,IF(R450*2&gt;=60,3.5,IF(R450*2&gt;=50,3,IF(R450*2&gt;=40,2,IF(R450*2&gt;=33,1,0)))))))</f>
        <v/>
      </c>
      <c r="AK450">
        <f>IF(S450&lt;33,0,IF(S450&gt;=80,5,IF(S450&gt;=70,4,IF(S450&gt;=60,3.5,IF(S450&gt;=50,3,IF(S450&gt;=40,2,IF(S450&gt;=33,1,0)))))))</f>
        <v/>
      </c>
      <c r="AL450">
        <f>(AC450+AD450+AE450+AF450+AG450+AH450+AI450+AJ450)/8</f>
        <v/>
      </c>
      <c r="AM450">
        <f>IF(AK450&gt;=2,(AK450-2)/8,0)</f>
        <v/>
      </c>
    </row>
    <row r="451">
      <c r="T451">
        <f>SUM(C451:R451)</f>
        <v/>
      </c>
      <c r="U451" s="6">
        <f>ROUND(T451/11.5,2)</f>
        <v/>
      </c>
      <c r="V451" s="7">
        <f>IF(B451="","",IF(AB451,0,ROUND(AL451,2)))</f>
        <v/>
      </c>
      <c r="W451" s="7">
        <f>IF(B451="","",IF(AB451,0,MIN(5,ROUND(AL451+AM451,2))))</f>
        <v/>
      </c>
      <c r="X451" s="8">
        <f>IF(B451="","",IF(W451&gt;=5,"A+",IF(W451&gt;=4,"A",IF(W451&gt;=3.5,"A-",IF(W451&gt;=3,"B",IF(W451&gt;=2,"C",IF(W451&gt;=1,"D","F")))))))</f>
        <v/>
      </c>
      <c r="Y451">
        <f>NOT(OR(AND(J451&gt;=10,K451&gt;=23,L451&gt;=10,M451&gt;=23),AND(J451+L451&gt;=20,K451+M451&gt;=46)))</f>
        <v/>
      </c>
      <c r="Z451">
        <f>OR(N451&lt;10,O451&lt;23)</f>
        <v/>
      </c>
      <c r="AA451">
        <f>OR(P451&lt;10,Q451&lt;23)</f>
        <v/>
      </c>
      <c r="AB451">
        <f>OR((C451+D451)&lt;66,(E451+F451)&lt;66,G451&lt;33,(H451+I451)&lt;66,Y451,Z451,AA451,R451&lt;8.25)</f>
        <v/>
      </c>
      <c r="AC451">
        <f>IF(C451+D451&lt;66,0,IF((C451+D451)/2&gt;=80,5,IF((C451+D451)/2&gt;=70,4,IF((C451+D451)/2&gt;=60,3.5,IF((C451+D451)/2&gt;=50,3,IF((C451+D451)/2&gt;=40,2,IF((C451+D451)/2&gt;=33,1,0)))))))</f>
        <v/>
      </c>
      <c r="AD451">
        <f>IF(E451+F451&lt;66,0,IF((E451+F451)/2&gt;=80,5,IF((E451+F451)/2&gt;=70,4,IF((E451+F451)/2&gt;=60,3.5,IF((E451+F451)/2&gt;=50,3,IF((E451+F451)/2&gt;=40,2,IF((E451+F451)/2&gt;=33,1,0)))))))</f>
        <v/>
      </c>
      <c r="AE451">
        <f>IF(G451&lt;33,0,IF(G451&gt;=80,5,IF(G451&gt;=70,4,IF(G451&gt;=60,3.5,IF(G451&gt;=50,3,IF(G451&gt;=40,2,IF(G451&gt;=33,1,0)))))))</f>
        <v/>
      </c>
      <c r="AF451">
        <f>IF(H451+I451&lt;66,0,IF((H451+I451)/2&gt;=80,5,IF((H451+I451)/2&gt;=70,4,IF((H451+I451)/2&gt;=60,3.5,IF((H451+I451)/2&gt;=50,3,IF((H451+I451)/2&gt;=40,2,IF((H451+I451)/2&gt;=33,1,0)))))))</f>
        <v/>
      </c>
      <c r="AG451">
        <f>IF(Y451,0,IF((J451+K451+L451+M451)/2&gt;=80,5,IF((J451+K451+L451+M451)/2&gt;=70,4,IF((J451+K451+L451+M451)/2&gt;=60,3.5,IF((J451+K451+L451+M451)/2&gt;=50,3,IF((J451+K451+L451+M451)/2&gt;=40,2,IF((J451+K451+L451+M451)/2&gt;=33,1,0)))))))</f>
        <v/>
      </c>
      <c r="AH451">
        <f>IF(Z451,0,IF(N451+O451&gt;=80,5,IF(N451+O451&gt;=70,4,IF(N451+O451&gt;=60,3.5,IF(N451+O451&gt;=50,3,IF(N451+O451&gt;=40,2,IF(N451+O451&gt;=33,1,0)))))))</f>
        <v/>
      </c>
      <c r="AI451">
        <f>IF(AA451,0,IF(P451+Q451&gt;=80,5,IF(P451+Q451&gt;=70,4,IF(P451+Q451&gt;=60,3.5,IF(P451+Q451&gt;=50,3,IF(P451+Q451&gt;=40,2,IF(P451+Q451&gt;=33,1,0)))))))</f>
        <v/>
      </c>
      <c r="AJ451">
        <f>IF(R451&lt;8.25,0,IF(R451*2&gt;=80,5,IF(R451*2&gt;=70,4,IF(R451*2&gt;=60,3.5,IF(R451*2&gt;=50,3,IF(R451*2&gt;=40,2,IF(R451*2&gt;=33,1,0)))))))</f>
        <v/>
      </c>
      <c r="AK451">
        <f>IF(S451&lt;33,0,IF(S451&gt;=80,5,IF(S451&gt;=70,4,IF(S451&gt;=60,3.5,IF(S451&gt;=50,3,IF(S451&gt;=40,2,IF(S451&gt;=33,1,0)))))))</f>
        <v/>
      </c>
      <c r="AL451">
        <f>(AC451+AD451+AE451+AF451+AG451+AH451+AI451+AJ451)/8</f>
        <v/>
      </c>
      <c r="AM451">
        <f>IF(AK451&gt;=2,(AK451-2)/8,0)</f>
        <v/>
      </c>
    </row>
    <row r="452">
      <c r="T452">
        <f>SUM(C452:R452)</f>
        <v/>
      </c>
      <c r="U452" s="6">
        <f>ROUND(T452/11.5,2)</f>
        <v/>
      </c>
      <c r="V452" s="7">
        <f>IF(B452="","",IF(AB452,0,ROUND(AL452,2)))</f>
        <v/>
      </c>
      <c r="W452" s="7">
        <f>IF(B452="","",IF(AB452,0,MIN(5,ROUND(AL452+AM452,2))))</f>
        <v/>
      </c>
      <c r="X452" s="8">
        <f>IF(B452="","",IF(W452&gt;=5,"A+",IF(W452&gt;=4,"A",IF(W452&gt;=3.5,"A-",IF(W452&gt;=3,"B",IF(W452&gt;=2,"C",IF(W452&gt;=1,"D","F")))))))</f>
        <v/>
      </c>
      <c r="Y452">
        <f>NOT(OR(AND(J452&gt;=10,K452&gt;=23,L452&gt;=10,M452&gt;=23),AND(J452+L452&gt;=20,K452+M452&gt;=46)))</f>
        <v/>
      </c>
      <c r="Z452">
        <f>OR(N452&lt;10,O452&lt;23)</f>
        <v/>
      </c>
      <c r="AA452">
        <f>OR(P452&lt;10,Q452&lt;23)</f>
        <v/>
      </c>
      <c r="AB452">
        <f>OR((C452+D452)&lt;66,(E452+F452)&lt;66,G452&lt;33,(H452+I452)&lt;66,Y452,Z452,AA452,R452&lt;8.25)</f>
        <v/>
      </c>
      <c r="AC452">
        <f>IF(C452+D452&lt;66,0,IF((C452+D452)/2&gt;=80,5,IF((C452+D452)/2&gt;=70,4,IF((C452+D452)/2&gt;=60,3.5,IF((C452+D452)/2&gt;=50,3,IF((C452+D452)/2&gt;=40,2,IF((C452+D452)/2&gt;=33,1,0)))))))</f>
        <v/>
      </c>
      <c r="AD452">
        <f>IF(E452+F452&lt;66,0,IF((E452+F452)/2&gt;=80,5,IF((E452+F452)/2&gt;=70,4,IF((E452+F452)/2&gt;=60,3.5,IF((E452+F452)/2&gt;=50,3,IF((E452+F452)/2&gt;=40,2,IF((E452+F452)/2&gt;=33,1,0)))))))</f>
        <v/>
      </c>
      <c r="AE452">
        <f>IF(G452&lt;33,0,IF(G452&gt;=80,5,IF(G452&gt;=70,4,IF(G452&gt;=60,3.5,IF(G452&gt;=50,3,IF(G452&gt;=40,2,IF(G452&gt;=33,1,0)))))))</f>
        <v/>
      </c>
      <c r="AF452">
        <f>IF(H452+I452&lt;66,0,IF((H452+I452)/2&gt;=80,5,IF((H452+I452)/2&gt;=70,4,IF((H452+I452)/2&gt;=60,3.5,IF((H452+I452)/2&gt;=50,3,IF((H452+I452)/2&gt;=40,2,IF((H452+I452)/2&gt;=33,1,0)))))))</f>
        <v/>
      </c>
      <c r="AG452">
        <f>IF(Y452,0,IF((J452+K452+L452+M452)/2&gt;=80,5,IF((J452+K452+L452+M452)/2&gt;=70,4,IF((J452+K452+L452+M452)/2&gt;=60,3.5,IF((J452+K452+L452+M452)/2&gt;=50,3,IF((J452+K452+L452+M452)/2&gt;=40,2,IF((J452+K452+L452+M452)/2&gt;=33,1,0)))))))</f>
        <v/>
      </c>
      <c r="AH452">
        <f>IF(Z452,0,IF(N452+O452&gt;=80,5,IF(N452+O452&gt;=70,4,IF(N452+O452&gt;=60,3.5,IF(N452+O452&gt;=50,3,IF(N452+O452&gt;=40,2,IF(N452+O452&gt;=33,1,0)))))))</f>
        <v/>
      </c>
      <c r="AI452">
        <f>IF(AA452,0,IF(P452+Q452&gt;=80,5,IF(P452+Q452&gt;=70,4,IF(P452+Q452&gt;=60,3.5,IF(P452+Q452&gt;=50,3,IF(P452+Q452&gt;=40,2,IF(P452+Q452&gt;=33,1,0)))))))</f>
        <v/>
      </c>
      <c r="AJ452">
        <f>IF(R452&lt;8.25,0,IF(R452*2&gt;=80,5,IF(R452*2&gt;=70,4,IF(R452*2&gt;=60,3.5,IF(R452*2&gt;=50,3,IF(R452*2&gt;=40,2,IF(R452*2&gt;=33,1,0)))))))</f>
        <v/>
      </c>
      <c r="AK452">
        <f>IF(S452&lt;33,0,IF(S452&gt;=80,5,IF(S452&gt;=70,4,IF(S452&gt;=60,3.5,IF(S452&gt;=50,3,IF(S452&gt;=40,2,IF(S452&gt;=33,1,0)))))))</f>
        <v/>
      </c>
      <c r="AL452">
        <f>(AC452+AD452+AE452+AF452+AG452+AH452+AI452+AJ452)/8</f>
        <v/>
      </c>
      <c r="AM452">
        <f>IF(AK452&gt;=2,(AK452-2)/8,0)</f>
        <v/>
      </c>
    </row>
    <row r="453">
      <c r="T453">
        <f>SUM(C453:R453)</f>
        <v/>
      </c>
      <c r="U453" s="6">
        <f>ROUND(T453/11.5,2)</f>
        <v/>
      </c>
      <c r="V453" s="7">
        <f>IF(B453="","",IF(AB453,0,ROUND(AL453,2)))</f>
        <v/>
      </c>
      <c r="W453" s="7">
        <f>IF(B453="","",IF(AB453,0,MIN(5,ROUND(AL453+AM453,2))))</f>
        <v/>
      </c>
      <c r="X453" s="8">
        <f>IF(B453="","",IF(W453&gt;=5,"A+",IF(W453&gt;=4,"A",IF(W453&gt;=3.5,"A-",IF(W453&gt;=3,"B",IF(W453&gt;=2,"C",IF(W453&gt;=1,"D","F")))))))</f>
        <v/>
      </c>
      <c r="Y453">
        <f>NOT(OR(AND(J453&gt;=10,K453&gt;=23,L453&gt;=10,M453&gt;=23),AND(J453+L453&gt;=20,K453+M453&gt;=46)))</f>
        <v/>
      </c>
      <c r="Z453">
        <f>OR(N453&lt;10,O453&lt;23)</f>
        <v/>
      </c>
      <c r="AA453">
        <f>OR(P453&lt;10,Q453&lt;23)</f>
        <v/>
      </c>
      <c r="AB453">
        <f>OR((C453+D453)&lt;66,(E453+F453)&lt;66,G453&lt;33,(H453+I453)&lt;66,Y453,Z453,AA453,R453&lt;8.25)</f>
        <v/>
      </c>
      <c r="AC453">
        <f>IF(C453+D453&lt;66,0,IF((C453+D453)/2&gt;=80,5,IF((C453+D453)/2&gt;=70,4,IF((C453+D453)/2&gt;=60,3.5,IF((C453+D453)/2&gt;=50,3,IF((C453+D453)/2&gt;=40,2,IF((C453+D453)/2&gt;=33,1,0)))))))</f>
        <v/>
      </c>
      <c r="AD453">
        <f>IF(E453+F453&lt;66,0,IF((E453+F453)/2&gt;=80,5,IF((E453+F453)/2&gt;=70,4,IF((E453+F453)/2&gt;=60,3.5,IF((E453+F453)/2&gt;=50,3,IF((E453+F453)/2&gt;=40,2,IF((E453+F453)/2&gt;=33,1,0)))))))</f>
        <v/>
      </c>
      <c r="AE453">
        <f>IF(G453&lt;33,0,IF(G453&gt;=80,5,IF(G453&gt;=70,4,IF(G453&gt;=60,3.5,IF(G453&gt;=50,3,IF(G453&gt;=40,2,IF(G453&gt;=33,1,0)))))))</f>
        <v/>
      </c>
      <c r="AF453">
        <f>IF(H453+I453&lt;66,0,IF((H453+I453)/2&gt;=80,5,IF((H453+I453)/2&gt;=70,4,IF((H453+I453)/2&gt;=60,3.5,IF((H453+I453)/2&gt;=50,3,IF((H453+I453)/2&gt;=40,2,IF((H453+I453)/2&gt;=33,1,0)))))))</f>
        <v/>
      </c>
      <c r="AG453">
        <f>IF(Y453,0,IF((J453+K453+L453+M453)/2&gt;=80,5,IF((J453+K453+L453+M453)/2&gt;=70,4,IF((J453+K453+L453+M453)/2&gt;=60,3.5,IF((J453+K453+L453+M453)/2&gt;=50,3,IF((J453+K453+L453+M453)/2&gt;=40,2,IF((J453+K453+L453+M453)/2&gt;=33,1,0)))))))</f>
        <v/>
      </c>
      <c r="AH453">
        <f>IF(Z453,0,IF(N453+O453&gt;=80,5,IF(N453+O453&gt;=70,4,IF(N453+O453&gt;=60,3.5,IF(N453+O453&gt;=50,3,IF(N453+O453&gt;=40,2,IF(N453+O453&gt;=33,1,0)))))))</f>
        <v/>
      </c>
      <c r="AI453">
        <f>IF(AA453,0,IF(P453+Q453&gt;=80,5,IF(P453+Q453&gt;=70,4,IF(P453+Q453&gt;=60,3.5,IF(P453+Q453&gt;=50,3,IF(P453+Q453&gt;=40,2,IF(P453+Q453&gt;=33,1,0)))))))</f>
        <v/>
      </c>
      <c r="AJ453">
        <f>IF(R453&lt;8.25,0,IF(R453*2&gt;=80,5,IF(R453*2&gt;=70,4,IF(R453*2&gt;=60,3.5,IF(R453*2&gt;=50,3,IF(R453*2&gt;=40,2,IF(R453*2&gt;=33,1,0)))))))</f>
        <v/>
      </c>
      <c r="AK453">
        <f>IF(S453&lt;33,0,IF(S453&gt;=80,5,IF(S453&gt;=70,4,IF(S453&gt;=60,3.5,IF(S453&gt;=50,3,IF(S453&gt;=40,2,IF(S453&gt;=33,1,0)))))))</f>
        <v/>
      </c>
      <c r="AL453">
        <f>(AC453+AD453+AE453+AF453+AG453+AH453+AI453+AJ453)/8</f>
        <v/>
      </c>
      <c r="AM453">
        <f>IF(AK453&gt;=2,(AK453-2)/8,0)</f>
        <v/>
      </c>
    </row>
    <row r="454">
      <c r="T454">
        <f>SUM(C454:R454)</f>
        <v/>
      </c>
      <c r="U454" s="6">
        <f>ROUND(T454/11.5,2)</f>
        <v/>
      </c>
      <c r="V454" s="7">
        <f>IF(B454="","",IF(AB454,0,ROUND(AL454,2)))</f>
        <v/>
      </c>
      <c r="W454" s="7">
        <f>IF(B454="","",IF(AB454,0,MIN(5,ROUND(AL454+AM454,2))))</f>
        <v/>
      </c>
      <c r="X454" s="8">
        <f>IF(B454="","",IF(W454&gt;=5,"A+",IF(W454&gt;=4,"A",IF(W454&gt;=3.5,"A-",IF(W454&gt;=3,"B",IF(W454&gt;=2,"C",IF(W454&gt;=1,"D","F")))))))</f>
        <v/>
      </c>
      <c r="Y454">
        <f>NOT(OR(AND(J454&gt;=10,K454&gt;=23,L454&gt;=10,M454&gt;=23),AND(J454+L454&gt;=20,K454+M454&gt;=46)))</f>
        <v/>
      </c>
      <c r="Z454">
        <f>OR(N454&lt;10,O454&lt;23)</f>
        <v/>
      </c>
      <c r="AA454">
        <f>OR(P454&lt;10,Q454&lt;23)</f>
        <v/>
      </c>
      <c r="AB454">
        <f>OR((C454+D454)&lt;66,(E454+F454)&lt;66,G454&lt;33,(H454+I454)&lt;66,Y454,Z454,AA454,R454&lt;8.25)</f>
        <v/>
      </c>
      <c r="AC454">
        <f>IF(C454+D454&lt;66,0,IF((C454+D454)/2&gt;=80,5,IF((C454+D454)/2&gt;=70,4,IF((C454+D454)/2&gt;=60,3.5,IF((C454+D454)/2&gt;=50,3,IF((C454+D454)/2&gt;=40,2,IF((C454+D454)/2&gt;=33,1,0)))))))</f>
        <v/>
      </c>
      <c r="AD454">
        <f>IF(E454+F454&lt;66,0,IF((E454+F454)/2&gt;=80,5,IF((E454+F454)/2&gt;=70,4,IF((E454+F454)/2&gt;=60,3.5,IF((E454+F454)/2&gt;=50,3,IF((E454+F454)/2&gt;=40,2,IF((E454+F454)/2&gt;=33,1,0)))))))</f>
        <v/>
      </c>
      <c r="AE454">
        <f>IF(G454&lt;33,0,IF(G454&gt;=80,5,IF(G454&gt;=70,4,IF(G454&gt;=60,3.5,IF(G454&gt;=50,3,IF(G454&gt;=40,2,IF(G454&gt;=33,1,0)))))))</f>
        <v/>
      </c>
      <c r="AF454">
        <f>IF(H454+I454&lt;66,0,IF((H454+I454)/2&gt;=80,5,IF((H454+I454)/2&gt;=70,4,IF((H454+I454)/2&gt;=60,3.5,IF((H454+I454)/2&gt;=50,3,IF((H454+I454)/2&gt;=40,2,IF((H454+I454)/2&gt;=33,1,0)))))))</f>
        <v/>
      </c>
      <c r="AG454">
        <f>IF(Y454,0,IF((J454+K454+L454+M454)/2&gt;=80,5,IF((J454+K454+L454+M454)/2&gt;=70,4,IF((J454+K454+L454+M454)/2&gt;=60,3.5,IF((J454+K454+L454+M454)/2&gt;=50,3,IF((J454+K454+L454+M454)/2&gt;=40,2,IF((J454+K454+L454+M454)/2&gt;=33,1,0)))))))</f>
        <v/>
      </c>
      <c r="AH454">
        <f>IF(Z454,0,IF(N454+O454&gt;=80,5,IF(N454+O454&gt;=70,4,IF(N454+O454&gt;=60,3.5,IF(N454+O454&gt;=50,3,IF(N454+O454&gt;=40,2,IF(N454+O454&gt;=33,1,0)))))))</f>
        <v/>
      </c>
      <c r="AI454">
        <f>IF(AA454,0,IF(P454+Q454&gt;=80,5,IF(P454+Q454&gt;=70,4,IF(P454+Q454&gt;=60,3.5,IF(P454+Q454&gt;=50,3,IF(P454+Q454&gt;=40,2,IF(P454+Q454&gt;=33,1,0)))))))</f>
        <v/>
      </c>
      <c r="AJ454">
        <f>IF(R454&lt;8.25,0,IF(R454*2&gt;=80,5,IF(R454*2&gt;=70,4,IF(R454*2&gt;=60,3.5,IF(R454*2&gt;=50,3,IF(R454*2&gt;=40,2,IF(R454*2&gt;=33,1,0)))))))</f>
        <v/>
      </c>
      <c r="AK454">
        <f>IF(S454&lt;33,0,IF(S454&gt;=80,5,IF(S454&gt;=70,4,IF(S454&gt;=60,3.5,IF(S454&gt;=50,3,IF(S454&gt;=40,2,IF(S454&gt;=33,1,0)))))))</f>
        <v/>
      </c>
      <c r="AL454">
        <f>(AC454+AD454+AE454+AF454+AG454+AH454+AI454+AJ454)/8</f>
        <v/>
      </c>
      <c r="AM454">
        <f>IF(AK454&gt;=2,(AK454-2)/8,0)</f>
        <v/>
      </c>
    </row>
    <row r="455">
      <c r="T455">
        <f>SUM(C455:R455)</f>
        <v/>
      </c>
      <c r="U455" s="6">
        <f>ROUND(T455/11.5,2)</f>
        <v/>
      </c>
      <c r="V455" s="7">
        <f>IF(B455="","",IF(AB455,0,ROUND(AL455,2)))</f>
        <v/>
      </c>
      <c r="W455" s="7">
        <f>IF(B455="","",IF(AB455,0,MIN(5,ROUND(AL455+AM455,2))))</f>
        <v/>
      </c>
      <c r="X455" s="8">
        <f>IF(B455="","",IF(W455&gt;=5,"A+",IF(W455&gt;=4,"A",IF(W455&gt;=3.5,"A-",IF(W455&gt;=3,"B",IF(W455&gt;=2,"C",IF(W455&gt;=1,"D","F")))))))</f>
        <v/>
      </c>
      <c r="Y455">
        <f>NOT(OR(AND(J455&gt;=10,K455&gt;=23,L455&gt;=10,M455&gt;=23),AND(J455+L455&gt;=20,K455+M455&gt;=46)))</f>
        <v/>
      </c>
      <c r="Z455">
        <f>OR(N455&lt;10,O455&lt;23)</f>
        <v/>
      </c>
      <c r="AA455">
        <f>OR(P455&lt;10,Q455&lt;23)</f>
        <v/>
      </c>
      <c r="AB455">
        <f>OR((C455+D455)&lt;66,(E455+F455)&lt;66,G455&lt;33,(H455+I455)&lt;66,Y455,Z455,AA455,R455&lt;8.25)</f>
        <v/>
      </c>
      <c r="AC455">
        <f>IF(C455+D455&lt;66,0,IF((C455+D455)/2&gt;=80,5,IF((C455+D455)/2&gt;=70,4,IF((C455+D455)/2&gt;=60,3.5,IF((C455+D455)/2&gt;=50,3,IF((C455+D455)/2&gt;=40,2,IF((C455+D455)/2&gt;=33,1,0)))))))</f>
        <v/>
      </c>
      <c r="AD455">
        <f>IF(E455+F455&lt;66,0,IF((E455+F455)/2&gt;=80,5,IF((E455+F455)/2&gt;=70,4,IF((E455+F455)/2&gt;=60,3.5,IF((E455+F455)/2&gt;=50,3,IF((E455+F455)/2&gt;=40,2,IF((E455+F455)/2&gt;=33,1,0)))))))</f>
        <v/>
      </c>
      <c r="AE455">
        <f>IF(G455&lt;33,0,IF(G455&gt;=80,5,IF(G455&gt;=70,4,IF(G455&gt;=60,3.5,IF(G455&gt;=50,3,IF(G455&gt;=40,2,IF(G455&gt;=33,1,0)))))))</f>
        <v/>
      </c>
      <c r="AF455">
        <f>IF(H455+I455&lt;66,0,IF((H455+I455)/2&gt;=80,5,IF((H455+I455)/2&gt;=70,4,IF((H455+I455)/2&gt;=60,3.5,IF((H455+I455)/2&gt;=50,3,IF((H455+I455)/2&gt;=40,2,IF((H455+I455)/2&gt;=33,1,0)))))))</f>
        <v/>
      </c>
      <c r="AG455">
        <f>IF(Y455,0,IF((J455+K455+L455+M455)/2&gt;=80,5,IF((J455+K455+L455+M455)/2&gt;=70,4,IF((J455+K455+L455+M455)/2&gt;=60,3.5,IF((J455+K455+L455+M455)/2&gt;=50,3,IF((J455+K455+L455+M455)/2&gt;=40,2,IF((J455+K455+L455+M455)/2&gt;=33,1,0)))))))</f>
        <v/>
      </c>
      <c r="AH455">
        <f>IF(Z455,0,IF(N455+O455&gt;=80,5,IF(N455+O455&gt;=70,4,IF(N455+O455&gt;=60,3.5,IF(N455+O455&gt;=50,3,IF(N455+O455&gt;=40,2,IF(N455+O455&gt;=33,1,0)))))))</f>
        <v/>
      </c>
      <c r="AI455">
        <f>IF(AA455,0,IF(P455+Q455&gt;=80,5,IF(P455+Q455&gt;=70,4,IF(P455+Q455&gt;=60,3.5,IF(P455+Q455&gt;=50,3,IF(P455+Q455&gt;=40,2,IF(P455+Q455&gt;=33,1,0)))))))</f>
        <v/>
      </c>
      <c r="AJ455">
        <f>IF(R455&lt;8.25,0,IF(R455*2&gt;=80,5,IF(R455*2&gt;=70,4,IF(R455*2&gt;=60,3.5,IF(R455*2&gt;=50,3,IF(R455*2&gt;=40,2,IF(R455*2&gt;=33,1,0)))))))</f>
        <v/>
      </c>
      <c r="AK455">
        <f>IF(S455&lt;33,0,IF(S455&gt;=80,5,IF(S455&gt;=70,4,IF(S455&gt;=60,3.5,IF(S455&gt;=50,3,IF(S455&gt;=40,2,IF(S455&gt;=33,1,0)))))))</f>
        <v/>
      </c>
      <c r="AL455">
        <f>(AC455+AD455+AE455+AF455+AG455+AH455+AI455+AJ455)/8</f>
        <v/>
      </c>
      <c r="AM455">
        <f>IF(AK455&gt;=2,(AK455-2)/8,0)</f>
        <v/>
      </c>
    </row>
    <row r="456">
      <c r="T456">
        <f>SUM(C456:R456)</f>
        <v/>
      </c>
      <c r="U456" s="6">
        <f>ROUND(T456/11.5,2)</f>
        <v/>
      </c>
      <c r="V456" s="7">
        <f>IF(B456="","",IF(AB456,0,ROUND(AL456,2)))</f>
        <v/>
      </c>
      <c r="W456" s="7">
        <f>IF(B456="","",IF(AB456,0,MIN(5,ROUND(AL456+AM456,2))))</f>
        <v/>
      </c>
      <c r="X456" s="8">
        <f>IF(B456="","",IF(W456&gt;=5,"A+",IF(W456&gt;=4,"A",IF(W456&gt;=3.5,"A-",IF(W456&gt;=3,"B",IF(W456&gt;=2,"C",IF(W456&gt;=1,"D","F")))))))</f>
        <v/>
      </c>
      <c r="Y456">
        <f>NOT(OR(AND(J456&gt;=10,K456&gt;=23,L456&gt;=10,M456&gt;=23),AND(J456+L456&gt;=20,K456+M456&gt;=46)))</f>
        <v/>
      </c>
      <c r="Z456">
        <f>OR(N456&lt;10,O456&lt;23)</f>
        <v/>
      </c>
      <c r="AA456">
        <f>OR(P456&lt;10,Q456&lt;23)</f>
        <v/>
      </c>
      <c r="AB456">
        <f>OR((C456+D456)&lt;66,(E456+F456)&lt;66,G456&lt;33,(H456+I456)&lt;66,Y456,Z456,AA456,R456&lt;8.25)</f>
        <v/>
      </c>
      <c r="AC456">
        <f>IF(C456+D456&lt;66,0,IF((C456+D456)/2&gt;=80,5,IF((C456+D456)/2&gt;=70,4,IF((C456+D456)/2&gt;=60,3.5,IF((C456+D456)/2&gt;=50,3,IF((C456+D456)/2&gt;=40,2,IF((C456+D456)/2&gt;=33,1,0)))))))</f>
        <v/>
      </c>
      <c r="AD456">
        <f>IF(E456+F456&lt;66,0,IF((E456+F456)/2&gt;=80,5,IF((E456+F456)/2&gt;=70,4,IF((E456+F456)/2&gt;=60,3.5,IF((E456+F456)/2&gt;=50,3,IF((E456+F456)/2&gt;=40,2,IF((E456+F456)/2&gt;=33,1,0)))))))</f>
        <v/>
      </c>
      <c r="AE456">
        <f>IF(G456&lt;33,0,IF(G456&gt;=80,5,IF(G456&gt;=70,4,IF(G456&gt;=60,3.5,IF(G456&gt;=50,3,IF(G456&gt;=40,2,IF(G456&gt;=33,1,0)))))))</f>
        <v/>
      </c>
      <c r="AF456">
        <f>IF(H456+I456&lt;66,0,IF((H456+I456)/2&gt;=80,5,IF((H456+I456)/2&gt;=70,4,IF((H456+I456)/2&gt;=60,3.5,IF((H456+I456)/2&gt;=50,3,IF((H456+I456)/2&gt;=40,2,IF((H456+I456)/2&gt;=33,1,0)))))))</f>
        <v/>
      </c>
      <c r="AG456">
        <f>IF(Y456,0,IF((J456+K456+L456+M456)/2&gt;=80,5,IF((J456+K456+L456+M456)/2&gt;=70,4,IF((J456+K456+L456+M456)/2&gt;=60,3.5,IF((J456+K456+L456+M456)/2&gt;=50,3,IF((J456+K456+L456+M456)/2&gt;=40,2,IF((J456+K456+L456+M456)/2&gt;=33,1,0)))))))</f>
        <v/>
      </c>
      <c r="AH456">
        <f>IF(Z456,0,IF(N456+O456&gt;=80,5,IF(N456+O456&gt;=70,4,IF(N456+O456&gt;=60,3.5,IF(N456+O456&gt;=50,3,IF(N456+O456&gt;=40,2,IF(N456+O456&gt;=33,1,0)))))))</f>
        <v/>
      </c>
      <c r="AI456">
        <f>IF(AA456,0,IF(P456+Q456&gt;=80,5,IF(P456+Q456&gt;=70,4,IF(P456+Q456&gt;=60,3.5,IF(P456+Q456&gt;=50,3,IF(P456+Q456&gt;=40,2,IF(P456+Q456&gt;=33,1,0)))))))</f>
        <v/>
      </c>
      <c r="AJ456">
        <f>IF(R456&lt;8.25,0,IF(R456*2&gt;=80,5,IF(R456*2&gt;=70,4,IF(R456*2&gt;=60,3.5,IF(R456*2&gt;=50,3,IF(R456*2&gt;=40,2,IF(R456*2&gt;=33,1,0)))))))</f>
        <v/>
      </c>
      <c r="AK456">
        <f>IF(S456&lt;33,0,IF(S456&gt;=80,5,IF(S456&gt;=70,4,IF(S456&gt;=60,3.5,IF(S456&gt;=50,3,IF(S456&gt;=40,2,IF(S456&gt;=33,1,0)))))))</f>
        <v/>
      </c>
      <c r="AL456">
        <f>(AC456+AD456+AE456+AF456+AG456+AH456+AI456+AJ456)/8</f>
        <v/>
      </c>
      <c r="AM456">
        <f>IF(AK456&gt;=2,(AK456-2)/8,0)</f>
        <v/>
      </c>
    </row>
    <row r="457">
      <c r="T457">
        <f>SUM(C457:R457)</f>
        <v/>
      </c>
      <c r="U457" s="6">
        <f>ROUND(T457/11.5,2)</f>
        <v/>
      </c>
      <c r="V457" s="7">
        <f>IF(B457="","",IF(AB457,0,ROUND(AL457,2)))</f>
        <v/>
      </c>
      <c r="W457" s="7">
        <f>IF(B457="","",IF(AB457,0,MIN(5,ROUND(AL457+AM457,2))))</f>
        <v/>
      </c>
      <c r="X457" s="8">
        <f>IF(B457="","",IF(W457&gt;=5,"A+",IF(W457&gt;=4,"A",IF(W457&gt;=3.5,"A-",IF(W457&gt;=3,"B",IF(W457&gt;=2,"C",IF(W457&gt;=1,"D","F")))))))</f>
        <v/>
      </c>
      <c r="Y457">
        <f>NOT(OR(AND(J457&gt;=10,K457&gt;=23,L457&gt;=10,M457&gt;=23),AND(J457+L457&gt;=20,K457+M457&gt;=46)))</f>
        <v/>
      </c>
      <c r="Z457">
        <f>OR(N457&lt;10,O457&lt;23)</f>
        <v/>
      </c>
      <c r="AA457">
        <f>OR(P457&lt;10,Q457&lt;23)</f>
        <v/>
      </c>
      <c r="AB457">
        <f>OR((C457+D457)&lt;66,(E457+F457)&lt;66,G457&lt;33,(H457+I457)&lt;66,Y457,Z457,AA457,R457&lt;8.25)</f>
        <v/>
      </c>
      <c r="AC457">
        <f>IF(C457+D457&lt;66,0,IF((C457+D457)/2&gt;=80,5,IF((C457+D457)/2&gt;=70,4,IF((C457+D457)/2&gt;=60,3.5,IF((C457+D457)/2&gt;=50,3,IF((C457+D457)/2&gt;=40,2,IF((C457+D457)/2&gt;=33,1,0)))))))</f>
        <v/>
      </c>
      <c r="AD457">
        <f>IF(E457+F457&lt;66,0,IF((E457+F457)/2&gt;=80,5,IF((E457+F457)/2&gt;=70,4,IF((E457+F457)/2&gt;=60,3.5,IF((E457+F457)/2&gt;=50,3,IF((E457+F457)/2&gt;=40,2,IF((E457+F457)/2&gt;=33,1,0)))))))</f>
        <v/>
      </c>
      <c r="AE457">
        <f>IF(G457&lt;33,0,IF(G457&gt;=80,5,IF(G457&gt;=70,4,IF(G457&gt;=60,3.5,IF(G457&gt;=50,3,IF(G457&gt;=40,2,IF(G457&gt;=33,1,0)))))))</f>
        <v/>
      </c>
      <c r="AF457">
        <f>IF(H457+I457&lt;66,0,IF((H457+I457)/2&gt;=80,5,IF((H457+I457)/2&gt;=70,4,IF((H457+I457)/2&gt;=60,3.5,IF((H457+I457)/2&gt;=50,3,IF((H457+I457)/2&gt;=40,2,IF((H457+I457)/2&gt;=33,1,0)))))))</f>
        <v/>
      </c>
      <c r="AG457">
        <f>IF(Y457,0,IF((J457+K457+L457+M457)/2&gt;=80,5,IF((J457+K457+L457+M457)/2&gt;=70,4,IF((J457+K457+L457+M457)/2&gt;=60,3.5,IF((J457+K457+L457+M457)/2&gt;=50,3,IF((J457+K457+L457+M457)/2&gt;=40,2,IF((J457+K457+L457+M457)/2&gt;=33,1,0)))))))</f>
        <v/>
      </c>
      <c r="AH457">
        <f>IF(Z457,0,IF(N457+O457&gt;=80,5,IF(N457+O457&gt;=70,4,IF(N457+O457&gt;=60,3.5,IF(N457+O457&gt;=50,3,IF(N457+O457&gt;=40,2,IF(N457+O457&gt;=33,1,0)))))))</f>
        <v/>
      </c>
      <c r="AI457">
        <f>IF(AA457,0,IF(P457+Q457&gt;=80,5,IF(P457+Q457&gt;=70,4,IF(P457+Q457&gt;=60,3.5,IF(P457+Q457&gt;=50,3,IF(P457+Q457&gt;=40,2,IF(P457+Q457&gt;=33,1,0)))))))</f>
        <v/>
      </c>
      <c r="AJ457">
        <f>IF(R457&lt;8.25,0,IF(R457*2&gt;=80,5,IF(R457*2&gt;=70,4,IF(R457*2&gt;=60,3.5,IF(R457*2&gt;=50,3,IF(R457*2&gt;=40,2,IF(R457*2&gt;=33,1,0)))))))</f>
        <v/>
      </c>
      <c r="AK457">
        <f>IF(S457&lt;33,0,IF(S457&gt;=80,5,IF(S457&gt;=70,4,IF(S457&gt;=60,3.5,IF(S457&gt;=50,3,IF(S457&gt;=40,2,IF(S457&gt;=33,1,0)))))))</f>
        <v/>
      </c>
      <c r="AL457">
        <f>(AC457+AD457+AE457+AF457+AG457+AH457+AI457+AJ457)/8</f>
        <v/>
      </c>
      <c r="AM457">
        <f>IF(AK457&gt;=2,(AK457-2)/8,0)</f>
        <v/>
      </c>
    </row>
    <row r="458">
      <c r="T458">
        <f>SUM(C458:R458)</f>
        <v/>
      </c>
      <c r="U458" s="6">
        <f>ROUND(T458/11.5,2)</f>
        <v/>
      </c>
      <c r="V458" s="7">
        <f>IF(B458="","",IF(AB458,0,ROUND(AL458,2)))</f>
        <v/>
      </c>
      <c r="W458" s="7">
        <f>IF(B458="","",IF(AB458,0,MIN(5,ROUND(AL458+AM458,2))))</f>
        <v/>
      </c>
      <c r="X458" s="8">
        <f>IF(B458="","",IF(W458&gt;=5,"A+",IF(W458&gt;=4,"A",IF(W458&gt;=3.5,"A-",IF(W458&gt;=3,"B",IF(W458&gt;=2,"C",IF(W458&gt;=1,"D","F")))))))</f>
        <v/>
      </c>
      <c r="Y458">
        <f>NOT(OR(AND(J458&gt;=10,K458&gt;=23,L458&gt;=10,M458&gt;=23),AND(J458+L458&gt;=20,K458+M458&gt;=46)))</f>
        <v/>
      </c>
      <c r="Z458">
        <f>OR(N458&lt;10,O458&lt;23)</f>
        <v/>
      </c>
      <c r="AA458">
        <f>OR(P458&lt;10,Q458&lt;23)</f>
        <v/>
      </c>
      <c r="AB458">
        <f>OR((C458+D458)&lt;66,(E458+F458)&lt;66,G458&lt;33,(H458+I458)&lt;66,Y458,Z458,AA458,R458&lt;8.25)</f>
        <v/>
      </c>
      <c r="AC458">
        <f>IF(C458+D458&lt;66,0,IF((C458+D458)/2&gt;=80,5,IF((C458+D458)/2&gt;=70,4,IF((C458+D458)/2&gt;=60,3.5,IF((C458+D458)/2&gt;=50,3,IF((C458+D458)/2&gt;=40,2,IF((C458+D458)/2&gt;=33,1,0)))))))</f>
        <v/>
      </c>
      <c r="AD458">
        <f>IF(E458+F458&lt;66,0,IF((E458+F458)/2&gt;=80,5,IF((E458+F458)/2&gt;=70,4,IF((E458+F458)/2&gt;=60,3.5,IF((E458+F458)/2&gt;=50,3,IF((E458+F458)/2&gt;=40,2,IF((E458+F458)/2&gt;=33,1,0)))))))</f>
        <v/>
      </c>
      <c r="AE458">
        <f>IF(G458&lt;33,0,IF(G458&gt;=80,5,IF(G458&gt;=70,4,IF(G458&gt;=60,3.5,IF(G458&gt;=50,3,IF(G458&gt;=40,2,IF(G458&gt;=33,1,0)))))))</f>
        <v/>
      </c>
      <c r="AF458">
        <f>IF(H458+I458&lt;66,0,IF((H458+I458)/2&gt;=80,5,IF((H458+I458)/2&gt;=70,4,IF((H458+I458)/2&gt;=60,3.5,IF((H458+I458)/2&gt;=50,3,IF((H458+I458)/2&gt;=40,2,IF((H458+I458)/2&gt;=33,1,0)))))))</f>
        <v/>
      </c>
      <c r="AG458">
        <f>IF(Y458,0,IF((J458+K458+L458+M458)/2&gt;=80,5,IF((J458+K458+L458+M458)/2&gt;=70,4,IF((J458+K458+L458+M458)/2&gt;=60,3.5,IF((J458+K458+L458+M458)/2&gt;=50,3,IF((J458+K458+L458+M458)/2&gt;=40,2,IF((J458+K458+L458+M458)/2&gt;=33,1,0)))))))</f>
        <v/>
      </c>
      <c r="AH458">
        <f>IF(Z458,0,IF(N458+O458&gt;=80,5,IF(N458+O458&gt;=70,4,IF(N458+O458&gt;=60,3.5,IF(N458+O458&gt;=50,3,IF(N458+O458&gt;=40,2,IF(N458+O458&gt;=33,1,0)))))))</f>
        <v/>
      </c>
      <c r="AI458">
        <f>IF(AA458,0,IF(P458+Q458&gt;=80,5,IF(P458+Q458&gt;=70,4,IF(P458+Q458&gt;=60,3.5,IF(P458+Q458&gt;=50,3,IF(P458+Q458&gt;=40,2,IF(P458+Q458&gt;=33,1,0)))))))</f>
        <v/>
      </c>
      <c r="AJ458">
        <f>IF(R458&lt;8.25,0,IF(R458*2&gt;=80,5,IF(R458*2&gt;=70,4,IF(R458*2&gt;=60,3.5,IF(R458*2&gt;=50,3,IF(R458*2&gt;=40,2,IF(R458*2&gt;=33,1,0)))))))</f>
        <v/>
      </c>
      <c r="AK458">
        <f>IF(S458&lt;33,0,IF(S458&gt;=80,5,IF(S458&gt;=70,4,IF(S458&gt;=60,3.5,IF(S458&gt;=50,3,IF(S458&gt;=40,2,IF(S458&gt;=33,1,0)))))))</f>
        <v/>
      </c>
      <c r="AL458">
        <f>(AC458+AD458+AE458+AF458+AG458+AH458+AI458+AJ458)/8</f>
        <v/>
      </c>
      <c r="AM458">
        <f>IF(AK458&gt;=2,(AK458-2)/8,0)</f>
        <v/>
      </c>
    </row>
    <row r="459">
      <c r="T459">
        <f>SUM(C459:R459)</f>
        <v/>
      </c>
      <c r="U459" s="6">
        <f>ROUND(T459/11.5,2)</f>
        <v/>
      </c>
      <c r="V459" s="7">
        <f>IF(B459="","",IF(AB459,0,ROUND(AL459,2)))</f>
        <v/>
      </c>
      <c r="W459" s="7">
        <f>IF(B459="","",IF(AB459,0,MIN(5,ROUND(AL459+AM459,2))))</f>
        <v/>
      </c>
      <c r="X459" s="8">
        <f>IF(B459="","",IF(W459&gt;=5,"A+",IF(W459&gt;=4,"A",IF(W459&gt;=3.5,"A-",IF(W459&gt;=3,"B",IF(W459&gt;=2,"C",IF(W459&gt;=1,"D","F")))))))</f>
        <v/>
      </c>
      <c r="Y459">
        <f>NOT(OR(AND(J459&gt;=10,K459&gt;=23,L459&gt;=10,M459&gt;=23),AND(J459+L459&gt;=20,K459+M459&gt;=46)))</f>
        <v/>
      </c>
      <c r="Z459">
        <f>OR(N459&lt;10,O459&lt;23)</f>
        <v/>
      </c>
      <c r="AA459">
        <f>OR(P459&lt;10,Q459&lt;23)</f>
        <v/>
      </c>
      <c r="AB459">
        <f>OR((C459+D459)&lt;66,(E459+F459)&lt;66,G459&lt;33,(H459+I459)&lt;66,Y459,Z459,AA459,R459&lt;8.25)</f>
        <v/>
      </c>
      <c r="AC459">
        <f>IF(C459+D459&lt;66,0,IF((C459+D459)/2&gt;=80,5,IF((C459+D459)/2&gt;=70,4,IF((C459+D459)/2&gt;=60,3.5,IF((C459+D459)/2&gt;=50,3,IF((C459+D459)/2&gt;=40,2,IF((C459+D459)/2&gt;=33,1,0)))))))</f>
        <v/>
      </c>
      <c r="AD459">
        <f>IF(E459+F459&lt;66,0,IF((E459+F459)/2&gt;=80,5,IF((E459+F459)/2&gt;=70,4,IF((E459+F459)/2&gt;=60,3.5,IF((E459+F459)/2&gt;=50,3,IF((E459+F459)/2&gt;=40,2,IF((E459+F459)/2&gt;=33,1,0)))))))</f>
        <v/>
      </c>
      <c r="AE459">
        <f>IF(G459&lt;33,0,IF(G459&gt;=80,5,IF(G459&gt;=70,4,IF(G459&gt;=60,3.5,IF(G459&gt;=50,3,IF(G459&gt;=40,2,IF(G459&gt;=33,1,0)))))))</f>
        <v/>
      </c>
      <c r="AF459">
        <f>IF(H459+I459&lt;66,0,IF((H459+I459)/2&gt;=80,5,IF((H459+I459)/2&gt;=70,4,IF((H459+I459)/2&gt;=60,3.5,IF((H459+I459)/2&gt;=50,3,IF((H459+I459)/2&gt;=40,2,IF((H459+I459)/2&gt;=33,1,0)))))))</f>
        <v/>
      </c>
      <c r="AG459">
        <f>IF(Y459,0,IF((J459+K459+L459+M459)/2&gt;=80,5,IF((J459+K459+L459+M459)/2&gt;=70,4,IF((J459+K459+L459+M459)/2&gt;=60,3.5,IF((J459+K459+L459+M459)/2&gt;=50,3,IF((J459+K459+L459+M459)/2&gt;=40,2,IF((J459+K459+L459+M459)/2&gt;=33,1,0)))))))</f>
        <v/>
      </c>
      <c r="AH459">
        <f>IF(Z459,0,IF(N459+O459&gt;=80,5,IF(N459+O459&gt;=70,4,IF(N459+O459&gt;=60,3.5,IF(N459+O459&gt;=50,3,IF(N459+O459&gt;=40,2,IF(N459+O459&gt;=33,1,0)))))))</f>
        <v/>
      </c>
      <c r="AI459">
        <f>IF(AA459,0,IF(P459+Q459&gt;=80,5,IF(P459+Q459&gt;=70,4,IF(P459+Q459&gt;=60,3.5,IF(P459+Q459&gt;=50,3,IF(P459+Q459&gt;=40,2,IF(P459+Q459&gt;=33,1,0)))))))</f>
        <v/>
      </c>
      <c r="AJ459">
        <f>IF(R459&lt;8.25,0,IF(R459*2&gt;=80,5,IF(R459*2&gt;=70,4,IF(R459*2&gt;=60,3.5,IF(R459*2&gt;=50,3,IF(R459*2&gt;=40,2,IF(R459*2&gt;=33,1,0)))))))</f>
        <v/>
      </c>
      <c r="AK459">
        <f>IF(S459&lt;33,0,IF(S459&gt;=80,5,IF(S459&gt;=70,4,IF(S459&gt;=60,3.5,IF(S459&gt;=50,3,IF(S459&gt;=40,2,IF(S459&gt;=33,1,0)))))))</f>
        <v/>
      </c>
      <c r="AL459">
        <f>(AC459+AD459+AE459+AF459+AG459+AH459+AI459+AJ459)/8</f>
        <v/>
      </c>
      <c r="AM459">
        <f>IF(AK459&gt;=2,(AK459-2)/8,0)</f>
        <v/>
      </c>
    </row>
    <row r="460">
      <c r="T460">
        <f>SUM(C460:R460)</f>
        <v/>
      </c>
      <c r="U460" s="6">
        <f>ROUND(T460/11.5,2)</f>
        <v/>
      </c>
      <c r="V460" s="7">
        <f>IF(B460="","",IF(AB460,0,ROUND(AL460,2)))</f>
        <v/>
      </c>
      <c r="W460" s="7">
        <f>IF(B460="","",IF(AB460,0,MIN(5,ROUND(AL460+AM460,2))))</f>
        <v/>
      </c>
      <c r="X460" s="8">
        <f>IF(B460="","",IF(W460&gt;=5,"A+",IF(W460&gt;=4,"A",IF(W460&gt;=3.5,"A-",IF(W460&gt;=3,"B",IF(W460&gt;=2,"C",IF(W460&gt;=1,"D","F")))))))</f>
        <v/>
      </c>
      <c r="Y460">
        <f>NOT(OR(AND(J460&gt;=10,K460&gt;=23,L460&gt;=10,M460&gt;=23),AND(J460+L460&gt;=20,K460+M460&gt;=46)))</f>
        <v/>
      </c>
      <c r="Z460">
        <f>OR(N460&lt;10,O460&lt;23)</f>
        <v/>
      </c>
      <c r="AA460">
        <f>OR(P460&lt;10,Q460&lt;23)</f>
        <v/>
      </c>
      <c r="AB460">
        <f>OR((C460+D460)&lt;66,(E460+F460)&lt;66,G460&lt;33,(H460+I460)&lt;66,Y460,Z460,AA460,R460&lt;8.25)</f>
        <v/>
      </c>
      <c r="AC460">
        <f>IF(C460+D460&lt;66,0,IF((C460+D460)/2&gt;=80,5,IF((C460+D460)/2&gt;=70,4,IF((C460+D460)/2&gt;=60,3.5,IF((C460+D460)/2&gt;=50,3,IF((C460+D460)/2&gt;=40,2,IF((C460+D460)/2&gt;=33,1,0)))))))</f>
        <v/>
      </c>
      <c r="AD460">
        <f>IF(E460+F460&lt;66,0,IF((E460+F460)/2&gt;=80,5,IF((E460+F460)/2&gt;=70,4,IF((E460+F460)/2&gt;=60,3.5,IF((E460+F460)/2&gt;=50,3,IF((E460+F460)/2&gt;=40,2,IF((E460+F460)/2&gt;=33,1,0)))))))</f>
        <v/>
      </c>
      <c r="AE460">
        <f>IF(G460&lt;33,0,IF(G460&gt;=80,5,IF(G460&gt;=70,4,IF(G460&gt;=60,3.5,IF(G460&gt;=50,3,IF(G460&gt;=40,2,IF(G460&gt;=33,1,0)))))))</f>
        <v/>
      </c>
      <c r="AF460">
        <f>IF(H460+I460&lt;66,0,IF((H460+I460)/2&gt;=80,5,IF((H460+I460)/2&gt;=70,4,IF((H460+I460)/2&gt;=60,3.5,IF((H460+I460)/2&gt;=50,3,IF((H460+I460)/2&gt;=40,2,IF((H460+I460)/2&gt;=33,1,0)))))))</f>
        <v/>
      </c>
      <c r="AG460">
        <f>IF(Y460,0,IF((J460+K460+L460+M460)/2&gt;=80,5,IF((J460+K460+L460+M460)/2&gt;=70,4,IF((J460+K460+L460+M460)/2&gt;=60,3.5,IF((J460+K460+L460+M460)/2&gt;=50,3,IF((J460+K460+L460+M460)/2&gt;=40,2,IF((J460+K460+L460+M460)/2&gt;=33,1,0)))))))</f>
        <v/>
      </c>
      <c r="AH460">
        <f>IF(Z460,0,IF(N460+O460&gt;=80,5,IF(N460+O460&gt;=70,4,IF(N460+O460&gt;=60,3.5,IF(N460+O460&gt;=50,3,IF(N460+O460&gt;=40,2,IF(N460+O460&gt;=33,1,0)))))))</f>
        <v/>
      </c>
      <c r="AI460">
        <f>IF(AA460,0,IF(P460+Q460&gt;=80,5,IF(P460+Q460&gt;=70,4,IF(P460+Q460&gt;=60,3.5,IF(P460+Q460&gt;=50,3,IF(P460+Q460&gt;=40,2,IF(P460+Q460&gt;=33,1,0)))))))</f>
        <v/>
      </c>
      <c r="AJ460">
        <f>IF(R460&lt;8.25,0,IF(R460*2&gt;=80,5,IF(R460*2&gt;=70,4,IF(R460*2&gt;=60,3.5,IF(R460*2&gt;=50,3,IF(R460*2&gt;=40,2,IF(R460*2&gt;=33,1,0)))))))</f>
        <v/>
      </c>
      <c r="AK460">
        <f>IF(S460&lt;33,0,IF(S460&gt;=80,5,IF(S460&gt;=70,4,IF(S460&gt;=60,3.5,IF(S460&gt;=50,3,IF(S460&gt;=40,2,IF(S460&gt;=33,1,0)))))))</f>
        <v/>
      </c>
      <c r="AL460">
        <f>(AC460+AD460+AE460+AF460+AG460+AH460+AI460+AJ460)/8</f>
        <v/>
      </c>
      <c r="AM460">
        <f>IF(AK460&gt;=2,(AK460-2)/8,0)</f>
        <v/>
      </c>
    </row>
    <row r="461">
      <c r="T461">
        <f>SUM(C461:R461)</f>
        <v/>
      </c>
      <c r="U461" s="6">
        <f>ROUND(T461/11.5,2)</f>
        <v/>
      </c>
      <c r="V461" s="7">
        <f>IF(B461="","",IF(AB461,0,ROUND(AL461,2)))</f>
        <v/>
      </c>
      <c r="W461" s="7">
        <f>IF(B461="","",IF(AB461,0,MIN(5,ROUND(AL461+AM461,2))))</f>
        <v/>
      </c>
      <c r="X461" s="8">
        <f>IF(B461="","",IF(W461&gt;=5,"A+",IF(W461&gt;=4,"A",IF(W461&gt;=3.5,"A-",IF(W461&gt;=3,"B",IF(W461&gt;=2,"C",IF(W461&gt;=1,"D","F")))))))</f>
        <v/>
      </c>
      <c r="Y461">
        <f>NOT(OR(AND(J461&gt;=10,K461&gt;=23,L461&gt;=10,M461&gt;=23),AND(J461+L461&gt;=20,K461+M461&gt;=46)))</f>
        <v/>
      </c>
      <c r="Z461">
        <f>OR(N461&lt;10,O461&lt;23)</f>
        <v/>
      </c>
      <c r="AA461">
        <f>OR(P461&lt;10,Q461&lt;23)</f>
        <v/>
      </c>
      <c r="AB461">
        <f>OR((C461+D461)&lt;66,(E461+F461)&lt;66,G461&lt;33,(H461+I461)&lt;66,Y461,Z461,AA461,R461&lt;8.25)</f>
        <v/>
      </c>
      <c r="AC461">
        <f>IF(C461+D461&lt;66,0,IF((C461+D461)/2&gt;=80,5,IF((C461+D461)/2&gt;=70,4,IF((C461+D461)/2&gt;=60,3.5,IF((C461+D461)/2&gt;=50,3,IF((C461+D461)/2&gt;=40,2,IF((C461+D461)/2&gt;=33,1,0)))))))</f>
        <v/>
      </c>
      <c r="AD461">
        <f>IF(E461+F461&lt;66,0,IF((E461+F461)/2&gt;=80,5,IF((E461+F461)/2&gt;=70,4,IF((E461+F461)/2&gt;=60,3.5,IF((E461+F461)/2&gt;=50,3,IF((E461+F461)/2&gt;=40,2,IF((E461+F461)/2&gt;=33,1,0)))))))</f>
        <v/>
      </c>
      <c r="AE461">
        <f>IF(G461&lt;33,0,IF(G461&gt;=80,5,IF(G461&gt;=70,4,IF(G461&gt;=60,3.5,IF(G461&gt;=50,3,IF(G461&gt;=40,2,IF(G461&gt;=33,1,0)))))))</f>
        <v/>
      </c>
      <c r="AF461">
        <f>IF(H461+I461&lt;66,0,IF((H461+I461)/2&gt;=80,5,IF((H461+I461)/2&gt;=70,4,IF((H461+I461)/2&gt;=60,3.5,IF((H461+I461)/2&gt;=50,3,IF((H461+I461)/2&gt;=40,2,IF((H461+I461)/2&gt;=33,1,0)))))))</f>
        <v/>
      </c>
      <c r="AG461">
        <f>IF(Y461,0,IF((J461+K461+L461+M461)/2&gt;=80,5,IF((J461+K461+L461+M461)/2&gt;=70,4,IF((J461+K461+L461+M461)/2&gt;=60,3.5,IF((J461+K461+L461+M461)/2&gt;=50,3,IF((J461+K461+L461+M461)/2&gt;=40,2,IF((J461+K461+L461+M461)/2&gt;=33,1,0)))))))</f>
        <v/>
      </c>
      <c r="AH461">
        <f>IF(Z461,0,IF(N461+O461&gt;=80,5,IF(N461+O461&gt;=70,4,IF(N461+O461&gt;=60,3.5,IF(N461+O461&gt;=50,3,IF(N461+O461&gt;=40,2,IF(N461+O461&gt;=33,1,0)))))))</f>
        <v/>
      </c>
      <c r="AI461">
        <f>IF(AA461,0,IF(P461+Q461&gt;=80,5,IF(P461+Q461&gt;=70,4,IF(P461+Q461&gt;=60,3.5,IF(P461+Q461&gt;=50,3,IF(P461+Q461&gt;=40,2,IF(P461+Q461&gt;=33,1,0)))))))</f>
        <v/>
      </c>
      <c r="AJ461">
        <f>IF(R461&lt;8.25,0,IF(R461*2&gt;=80,5,IF(R461*2&gt;=70,4,IF(R461*2&gt;=60,3.5,IF(R461*2&gt;=50,3,IF(R461*2&gt;=40,2,IF(R461*2&gt;=33,1,0)))))))</f>
        <v/>
      </c>
      <c r="AK461">
        <f>IF(S461&lt;33,0,IF(S461&gt;=80,5,IF(S461&gt;=70,4,IF(S461&gt;=60,3.5,IF(S461&gt;=50,3,IF(S461&gt;=40,2,IF(S461&gt;=33,1,0)))))))</f>
        <v/>
      </c>
      <c r="AL461">
        <f>(AC461+AD461+AE461+AF461+AG461+AH461+AI461+AJ461)/8</f>
        <v/>
      </c>
      <c r="AM461">
        <f>IF(AK461&gt;=2,(AK461-2)/8,0)</f>
        <v/>
      </c>
    </row>
    <row r="462">
      <c r="T462">
        <f>SUM(C462:R462)</f>
        <v/>
      </c>
      <c r="U462" s="6">
        <f>ROUND(T462/11.5,2)</f>
        <v/>
      </c>
      <c r="V462" s="7">
        <f>IF(B462="","",IF(AB462,0,ROUND(AL462,2)))</f>
        <v/>
      </c>
      <c r="W462" s="7">
        <f>IF(B462="","",IF(AB462,0,MIN(5,ROUND(AL462+AM462,2))))</f>
        <v/>
      </c>
      <c r="X462" s="8">
        <f>IF(B462="","",IF(W462&gt;=5,"A+",IF(W462&gt;=4,"A",IF(W462&gt;=3.5,"A-",IF(W462&gt;=3,"B",IF(W462&gt;=2,"C",IF(W462&gt;=1,"D","F")))))))</f>
        <v/>
      </c>
      <c r="Y462">
        <f>NOT(OR(AND(J462&gt;=10,K462&gt;=23,L462&gt;=10,M462&gt;=23),AND(J462+L462&gt;=20,K462+M462&gt;=46)))</f>
        <v/>
      </c>
      <c r="Z462">
        <f>OR(N462&lt;10,O462&lt;23)</f>
        <v/>
      </c>
      <c r="AA462">
        <f>OR(P462&lt;10,Q462&lt;23)</f>
        <v/>
      </c>
      <c r="AB462">
        <f>OR((C462+D462)&lt;66,(E462+F462)&lt;66,G462&lt;33,(H462+I462)&lt;66,Y462,Z462,AA462,R462&lt;8.25)</f>
        <v/>
      </c>
      <c r="AC462">
        <f>IF(C462+D462&lt;66,0,IF((C462+D462)/2&gt;=80,5,IF((C462+D462)/2&gt;=70,4,IF((C462+D462)/2&gt;=60,3.5,IF((C462+D462)/2&gt;=50,3,IF((C462+D462)/2&gt;=40,2,IF((C462+D462)/2&gt;=33,1,0)))))))</f>
        <v/>
      </c>
      <c r="AD462">
        <f>IF(E462+F462&lt;66,0,IF((E462+F462)/2&gt;=80,5,IF((E462+F462)/2&gt;=70,4,IF((E462+F462)/2&gt;=60,3.5,IF((E462+F462)/2&gt;=50,3,IF((E462+F462)/2&gt;=40,2,IF((E462+F462)/2&gt;=33,1,0)))))))</f>
        <v/>
      </c>
      <c r="AE462">
        <f>IF(G462&lt;33,0,IF(G462&gt;=80,5,IF(G462&gt;=70,4,IF(G462&gt;=60,3.5,IF(G462&gt;=50,3,IF(G462&gt;=40,2,IF(G462&gt;=33,1,0)))))))</f>
        <v/>
      </c>
      <c r="AF462">
        <f>IF(H462+I462&lt;66,0,IF((H462+I462)/2&gt;=80,5,IF((H462+I462)/2&gt;=70,4,IF((H462+I462)/2&gt;=60,3.5,IF((H462+I462)/2&gt;=50,3,IF((H462+I462)/2&gt;=40,2,IF((H462+I462)/2&gt;=33,1,0)))))))</f>
        <v/>
      </c>
      <c r="AG462">
        <f>IF(Y462,0,IF((J462+K462+L462+M462)/2&gt;=80,5,IF((J462+K462+L462+M462)/2&gt;=70,4,IF((J462+K462+L462+M462)/2&gt;=60,3.5,IF((J462+K462+L462+M462)/2&gt;=50,3,IF((J462+K462+L462+M462)/2&gt;=40,2,IF((J462+K462+L462+M462)/2&gt;=33,1,0)))))))</f>
        <v/>
      </c>
      <c r="AH462">
        <f>IF(Z462,0,IF(N462+O462&gt;=80,5,IF(N462+O462&gt;=70,4,IF(N462+O462&gt;=60,3.5,IF(N462+O462&gt;=50,3,IF(N462+O462&gt;=40,2,IF(N462+O462&gt;=33,1,0)))))))</f>
        <v/>
      </c>
      <c r="AI462">
        <f>IF(AA462,0,IF(P462+Q462&gt;=80,5,IF(P462+Q462&gt;=70,4,IF(P462+Q462&gt;=60,3.5,IF(P462+Q462&gt;=50,3,IF(P462+Q462&gt;=40,2,IF(P462+Q462&gt;=33,1,0)))))))</f>
        <v/>
      </c>
      <c r="AJ462">
        <f>IF(R462&lt;8.25,0,IF(R462*2&gt;=80,5,IF(R462*2&gt;=70,4,IF(R462*2&gt;=60,3.5,IF(R462*2&gt;=50,3,IF(R462*2&gt;=40,2,IF(R462*2&gt;=33,1,0)))))))</f>
        <v/>
      </c>
      <c r="AK462">
        <f>IF(S462&lt;33,0,IF(S462&gt;=80,5,IF(S462&gt;=70,4,IF(S462&gt;=60,3.5,IF(S462&gt;=50,3,IF(S462&gt;=40,2,IF(S462&gt;=33,1,0)))))))</f>
        <v/>
      </c>
      <c r="AL462">
        <f>(AC462+AD462+AE462+AF462+AG462+AH462+AI462+AJ462)/8</f>
        <v/>
      </c>
      <c r="AM462">
        <f>IF(AK462&gt;=2,(AK462-2)/8,0)</f>
        <v/>
      </c>
    </row>
    <row r="463">
      <c r="T463">
        <f>SUM(C463:R463)</f>
        <v/>
      </c>
      <c r="U463" s="6">
        <f>ROUND(T463/11.5,2)</f>
        <v/>
      </c>
      <c r="V463" s="7">
        <f>IF(B463="","",IF(AB463,0,ROUND(AL463,2)))</f>
        <v/>
      </c>
      <c r="W463" s="7">
        <f>IF(B463="","",IF(AB463,0,MIN(5,ROUND(AL463+AM463,2))))</f>
        <v/>
      </c>
      <c r="X463" s="8">
        <f>IF(B463="","",IF(W463&gt;=5,"A+",IF(W463&gt;=4,"A",IF(W463&gt;=3.5,"A-",IF(W463&gt;=3,"B",IF(W463&gt;=2,"C",IF(W463&gt;=1,"D","F")))))))</f>
        <v/>
      </c>
      <c r="Y463">
        <f>NOT(OR(AND(J463&gt;=10,K463&gt;=23,L463&gt;=10,M463&gt;=23),AND(J463+L463&gt;=20,K463+M463&gt;=46)))</f>
        <v/>
      </c>
      <c r="Z463">
        <f>OR(N463&lt;10,O463&lt;23)</f>
        <v/>
      </c>
      <c r="AA463">
        <f>OR(P463&lt;10,Q463&lt;23)</f>
        <v/>
      </c>
      <c r="AB463">
        <f>OR((C463+D463)&lt;66,(E463+F463)&lt;66,G463&lt;33,(H463+I463)&lt;66,Y463,Z463,AA463,R463&lt;8.25)</f>
        <v/>
      </c>
      <c r="AC463">
        <f>IF(C463+D463&lt;66,0,IF((C463+D463)/2&gt;=80,5,IF((C463+D463)/2&gt;=70,4,IF((C463+D463)/2&gt;=60,3.5,IF((C463+D463)/2&gt;=50,3,IF((C463+D463)/2&gt;=40,2,IF((C463+D463)/2&gt;=33,1,0)))))))</f>
        <v/>
      </c>
      <c r="AD463">
        <f>IF(E463+F463&lt;66,0,IF((E463+F463)/2&gt;=80,5,IF((E463+F463)/2&gt;=70,4,IF((E463+F463)/2&gt;=60,3.5,IF((E463+F463)/2&gt;=50,3,IF((E463+F463)/2&gt;=40,2,IF((E463+F463)/2&gt;=33,1,0)))))))</f>
        <v/>
      </c>
      <c r="AE463">
        <f>IF(G463&lt;33,0,IF(G463&gt;=80,5,IF(G463&gt;=70,4,IF(G463&gt;=60,3.5,IF(G463&gt;=50,3,IF(G463&gt;=40,2,IF(G463&gt;=33,1,0)))))))</f>
        <v/>
      </c>
      <c r="AF463">
        <f>IF(H463+I463&lt;66,0,IF((H463+I463)/2&gt;=80,5,IF((H463+I463)/2&gt;=70,4,IF((H463+I463)/2&gt;=60,3.5,IF((H463+I463)/2&gt;=50,3,IF((H463+I463)/2&gt;=40,2,IF((H463+I463)/2&gt;=33,1,0)))))))</f>
        <v/>
      </c>
      <c r="AG463">
        <f>IF(Y463,0,IF((J463+K463+L463+M463)/2&gt;=80,5,IF((J463+K463+L463+M463)/2&gt;=70,4,IF((J463+K463+L463+M463)/2&gt;=60,3.5,IF((J463+K463+L463+M463)/2&gt;=50,3,IF((J463+K463+L463+M463)/2&gt;=40,2,IF((J463+K463+L463+M463)/2&gt;=33,1,0)))))))</f>
        <v/>
      </c>
      <c r="AH463">
        <f>IF(Z463,0,IF(N463+O463&gt;=80,5,IF(N463+O463&gt;=70,4,IF(N463+O463&gt;=60,3.5,IF(N463+O463&gt;=50,3,IF(N463+O463&gt;=40,2,IF(N463+O463&gt;=33,1,0)))))))</f>
        <v/>
      </c>
      <c r="AI463">
        <f>IF(AA463,0,IF(P463+Q463&gt;=80,5,IF(P463+Q463&gt;=70,4,IF(P463+Q463&gt;=60,3.5,IF(P463+Q463&gt;=50,3,IF(P463+Q463&gt;=40,2,IF(P463+Q463&gt;=33,1,0)))))))</f>
        <v/>
      </c>
      <c r="AJ463">
        <f>IF(R463&lt;8.25,0,IF(R463*2&gt;=80,5,IF(R463*2&gt;=70,4,IF(R463*2&gt;=60,3.5,IF(R463*2&gt;=50,3,IF(R463*2&gt;=40,2,IF(R463*2&gt;=33,1,0)))))))</f>
        <v/>
      </c>
      <c r="AK463">
        <f>IF(S463&lt;33,0,IF(S463&gt;=80,5,IF(S463&gt;=70,4,IF(S463&gt;=60,3.5,IF(S463&gt;=50,3,IF(S463&gt;=40,2,IF(S463&gt;=33,1,0)))))))</f>
        <v/>
      </c>
      <c r="AL463">
        <f>(AC463+AD463+AE463+AF463+AG463+AH463+AI463+AJ463)/8</f>
        <v/>
      </c>
      <c r="AM463">
        <f>IF(AK463&gt;=2,(AK463-2)/8,0)</f>
        <v/>
      </c>
    </row>
    <row r="464">
      <c r="T464">
        <f>SUM(C464:R464)</f>
        <v/>
      </c>
      <c r="U464" s="6">
        <f>ROUND(T464/11.5,2)</f>
        <v/>
      </c>
      <c r="V464" s="7">
        <f>IF(B464="","",IF(AB464,0,ROUND(AL464,2)))</f>
        <v/>
      </c>
      <c r="W464" s="7">
        <f>IF(B464="","",IF(AB464,0,MIN(5,ROUND(AL464+AM464,2))))</f>
        <v/>
      </c>
      <c r="X464" s="8">
        <f>IF(B464="","",IF(W464&gt;=5,"A+",IF(W464&gt;=4,"A",IF(W464&gt;=3.5,"A-",IF(W464&gt;=3,"B",IF(W464&gt;=2,"C",IF(W464&gt;=1,"D","F")))))))</f>
        <v/>
      </c>
      <c r="Y464">
        <f>NOT(OR(AND(J464&gt;=10,K464&gt;=23,L464&gt;=10,M464&gt;=23),AND(J464+L464&gt;=20,K464+M464&gt;=46)))</f>
        <v/>
      </c>
      <c r="Z464">
        <f>OR(N464&lt;10,O464&lt;23)</f>
        <v/>
      </c>
      <c r="AA464">
        <f>OR(P464&lt;10,Q464&lt;23)</f>
        <v/>
      </c>
      <c r="AB464">
        <f>OR((C464+D464)&lt;66,(E464+F464)&lt;66,G464&lt;33,(H464+I464)&lt;66,Y464,Z464,AA464,R464&lt;8.25)</f>
        <v/>
      </c>
      <c r="AC464">
        <f>IF(C464+D464&lt;66,0,IF((C464+D464)/2&gt;=80,5,IF((C464+D464)/2&gt;=70,4,IF((C464+D464)/2&gt;=60,3.5,IF((C464+D464)/2&gt;=50,3,IF((C464+D464)/2&gt;=40,2,IF((C464+D464)/2&gt;=33,1,0)))))))</f>
        <v/>
      </c>
      <c r="AD464">
        <f>IF(E464+F464&lt;66,0,IF((E464+F464)/2&gt;=80,5,IF((E464+F464)/2&gt;=70,4,IF((E464+F464)/2&gt;=60,3.5,IF((E464+F464)/2&gt;=50,3,IF((E464+F464)/2&gt;=40,2,IF((E464+F464)/2&gt;=33,1,0)))))))</f>
        <v/>
      </c>
      <c r="AE464">
        <f>IF(G464&lt;33,0,IF(G464&gt;=80,5,IF(G464&gt;=70,4,IF(G464&gt;=60,3.5,IF(G464&gt;=50,3,IF(G464&gt;=40,2,IF(G464&gt;=33,1,0)))))))</f>
        <v/>
      </c>
      <c r="AF464">
        <f>IF(H464+I464&lt;66,0,IF((H464+I464)/2&gt;=80,5,IF((H464+I464)/2&gt;=70,4,IF((H464+I464)/2&gt;=60,3.5,IF((H464+I464)/2&gt;=50,3,IF((H464+I464)/2&gt;=40,2,IF((H464+I464)/2&gt;=33,1,0)))))))</f>
        <v/>
      </c>
      <c r="AG464">
        <f>IF(Y464,0,IF((J464+K464+L464+M464)/2&gt;=80,5,IF((J464+K464+L464+M464)/2&gt;=70,4,IF((J464+K464+L464+M464)/2&gt;=60,3.5,IF((J464+K464+L464+M464)/2&gt;=50,3,IF((J464+K464+L464+M464)/2&gt;=40,2,IF((J464+K464+L464+M464)/2&gt;=33,1,0)))))))</f>
        <v/>
      </c>
      <c r="AH464">
        <f>IF(Z464,0,IF(N464+O464&gt;=80,5,IF(N464+O464&gt;=70,4,IF(N464+O464&gt;=60,3.5,IF(N464+O464&gt;=50,3,IF(N464+O464&gt;=40,2,IF(N464+O464&gt;=33,1,0)))))))</f>
        <v/>
      </c>
      <c r="AI464">
        <f>IF(AA464,0,IF(P464+Q464&gt;=80,5,IF(P464+Q464&gt;=70,4,IF(P464+Q464&gt;=60,3.5,IF(P464+Q464&gt;=50,3,IF(P464+Q464&gt;=40,2,IF(P464+Q464&gt;=33,1,0)))))))</f>
        <v/>
      </c>
      <c r="AJ464">
        <f>IF(R464&lt;8.25,0,IF(R464*2&gt;=80,5,IF(R464*2&gt;=70,4,IF(R464*2&gt;=60,3.5,IF(R464*2&gt;=50,3,IF(R464*2&gt;=40,2,IF(R464*2&gt;=33,1,0)))))))</f>
        <v/>
      </c>
      <c r="AK464">
        <f>IF(S464&lt;33,0,IF(S464&gt;=80,5,IF(S464&gt;=70,4,IF(S464&gt;=60,3.5,IF(S464&gt;=50,3,IF(S464&gt;=40,2,IF(S464&gt;=33,1,0)))))))</f>
        <v/>
      </c>
      <c r="AL464">
        <f>(AC464+AD464+AE464+AF464+AG464+AH464+AI464+AJ464)/8</f>
        <v/>
      </c>
      <c r="AM464">
        <f>IF(AK464&gt;=2,(AK464-2)/8,0)</f>
        <v/>
      </c>
    </row>
    <row r="465">
      <c r="T465">
        <f>SUM(C465:R465)</f>
        <v/>
      </c>
      <c r="U465" s="6">
        <f>ROUND(T465/11.5,2)</f>
        <v/>
      </c>
      <c r="V465" s="7">
        <f>IF(B465="","",IF(AB465,0,ROUND(AL465,2)))</f>
        <v/>
      </c>
      <c r="W465" s="7">
        <f>IF(B465="","",IF(AB465,0,MIN(5,ROUND(AL465+AM465,2))))</f>
        <v/>
      </c>
      <c r="X465" s="8">
        <f>IF(B465="","",IF(W465&gt;=5,"A+",IF(W465&gt;=4,"A",IF(W465&gt;=3.5,"A-",IF(W465&gt;=3,"B",IF(W465&gt;=2,"C",IF(W465&gt;=1,"D","F")))))))</f>
        <v/>
      </c>
      <c r="Y465">
        <f>NOT(OR(AND(J465&gt;=10,K465&gt;=23,L465&gt;=10,M465&gt;=23),AND(J465+L465&gt;=20,K465+M465&gt;=46)))</f>
        <v/>
      </c>
      <c r="Z465">
        <f>OR(N465&lt;10,O465&lt;23)</f>
        <v/>
      </c>
      <c r="AA465">
        <f>OR(P465&lt;10,Q465&lt;23)</f>
        <v/>
      </c>
      <c r="AB465">
        <f>OR((C465+D465)&lt;66,(E465+F465)&lt;66,G465&lt;33,(H465+I465)&lt;66,Y465,Z465,AA465,R465&lt;8.25)</f>
        <v/>
      </c>
      <c r="AC465">
        <f>IF(C465+D465&lt;66,0,IF((C465+D465)/2&gt;=80,5,IF((C465+D465)/2&gt;=70,4,IF((C465+D465)/2&gt;=60,3.5,IF((C465+D465)/2&gt;=50,3,IF((C465+D465)/2&gt;=40,2,IF((C465+D465)/2&gt;=33,1,0)))))))</f>
        <v/>
      </c>
      <c r="AD465">
        <f>IF(E465+F465&lt;66,0,IF((E465+F465)/2&gt;=80,5,IF((E465+F465)/2&gt;=70,4,IF((E465+F465)/2&gt;=60,3.5,IF((E465+F465)/2&gt;=50,3,IF((E465+F465)/2&gt;=40,2,IF((E465+F465)/2&gt;=33,1,0)))))))</f>
        <v/>
      </c>
      <c r="AE465">
        <f>IF(G465&lt;33,0,IF(G465&gt;=80,5,IF(G465&gt;=70,4,IF(G465&gt;=60,3.5,IF(G465&gt;=50,3,IF(G465&gt;=40,2,IF(G465&gt;=33,1,0)))))))</f>
        <v/>
      </c>
      <c r="AF465">
        <f>IF(H465+I465&lt;66,0,IF((H465+I465)/2&gt;=80,5,IF((H465+I465)/2&gt;=70,4,IF((H465+I465)/2&gt;=60,3.5,IF((H465+I465)/2&gt;=50,3,IF((H465+I465)/2&gt;=40,2,IF((H465+I465)/2&gt;=33,1,0)))))))</f>
        <v/>
      </c>
      <c r="AG465">
        <f>IF(Y465,0,IF((J465+K465+L465+M465)/2&gt;=80,5,IF((J465+K465+L465+M465)/2&gt;=70,4,IF((J465+K465+L465+M465)/2&gt;=60,3.5,IF((J465+K465+L465+M465)/2&gt;=50,3,IF((J465+K465+L465+M465)/2&gt;=40,2,IF((J465+K465+L465+M465)/2&gt;=33,1,0)))))))</f>
        <v/>
      </c>
      <c r="AH465">
        <f>IF(Z465,0,IF(N465+O465&gt;=80,5,IF(N465+O465&gt;=70,4,IF(N465+O465&gt;=60,3.5,IF(N465+O465&gt;=50,3,IF(N465+O465&gt;=40,2,IF(N465+O465&gt;=33,1,0)))))))</f>
        <v/>
      </c>
      <c r="AI465">
        <f>IF(AA465,0,IF(P465+Q465&gt;=80,5,IF(P465+Q465&gt;=70,4,IF(P465+Q465&gt;=60,3.5,IF(P465+Q465&gt;=50,3,IF(P465+Q465&gt;=40,2,IF(P465+Q465&gt;=33,1,0)))))))</f>
        <v/>
      </c>
      <c r="AJ465">
        <f>IF(R465&lt;8.25,0,IF(R465*2&gt;=80,5,IF(R465*2&gt;=70,4,IF(R465*2&gt;=60,3.5,IF(R465*2&gt;=50,3,IF(R465*2&gt;=40,2,IF(R465*2&gt;=33,1,0)))))))</f>
        <v/>
      </c>
      <c r="AK465">
        <f>IF(S465&lt;33,0,IF(S465&gt;=80,5,IF(S465&gt;=70,4,IF(S465&gt;=60,3.5,IF(S465&gt;=50,3,IF(S465&gt;=40,2,IF(S465&gt;=33,1,0)))))))</f>
        <v/>
      </c>
      <c r="AL465">
        <f>(AC465+AD465+AE465+AF465+AG465+AH465+AI465+AJ465)/8</f>
        <v/>
      </c>
      <c r="AM465">
        <f>IF(AK465&gt;=2,(AK465-2)/8,0)</f>
        <v/>
      </c>
    </row>
    <row r="466">
      <c r="T466">
        <f>SUM(C466:R466)</f>
        <v/>
      </c>
      <c r="U466" s="6">
        <f>ROUND(T466/11.5,2)</f>
        <v/>
      </c>
      <c r="V466" s="7">
        <f>IF(B466="","",IF(AB466,0,ROUND(AL466,2)))</f>
        <v/>
      </c>
      <c r="W466" s="7">
        <f>IF(B466="","",IF(AB466,0,MIN(5,ROUND(AL466+AM466,2))))</f>
        <v/>
      </c>
      <c r="X466" s="8">
        <f>IF(B466="","",IF(W466&gt;=5,"A+",IF(W466&gt;=4,"A",IF(W466&gt;=3.5,"A-",IF(W466&gt;=3,"B",IF(W466&gt;=2,"C",IF(W466&gt;=1,"D","F")))))))</f>
        <v/>
      </c>
      <c r="Y466">
        <f>NOT(OR(AND(J466&gt;=10,K466&gt;=23,L466&gt;=10,M466&gt;=23),AND(J466+L466&gt;=20,K466+M466&gt;=46)))</f>
        <v/>
      </c>
      <c r="Z466">
        <f>OR(N466&lt;10,O466&lt;23)</f>
        <v/>
      </c>
      <c r="AA466">
        <f>OR(P466&lt;10,Q466&lt;23)</f>
        <v/>
      </c>
      <c r="AB466">
        <f>OR((C466+D466)&lt;66,(E466+F466)&lt;66,G466&lt;33,(H466+I466)&lt;66,Y466,Z466,AA466,R466&lt;8.25)</f>
        <v/>
      </c>
      <c r="AC466">
        <f>IF(C466+D466&lt;66,0,IF((C466+D466)/2&gt;=80,5,IF((C466+D466)/2&gt;=70,4,IF((C466+D466)/2&gt;=60,3.5,IF((C466+D466)/2&gt;=50,3,IF((C466+D466)/2&gt;=40,2,IF((C466+D466)/2&gt;=33,1,0)))))))</f>
        <v/>
      </c>
      <c r="AD466">
        <f>IF(E466+F466&lt;66,0,IF((E466+F466)/2&gt;=80,5,IF((E466+F466)/2&gt;=70,4,IF((E466+F466)/2&gt;=60,3.5,IF((E466+F466)/2&gt;=50,3,IF((E466+F466)/2&gt;=40,2,IF((E466+F466)/2&gt;=33,1,0)))))))</f>
        <v/>
      </c>
      <c r="AE466">
        <f>IF(G466&lt;33,0,IF(G466&gt;=80,5,IF(G466&gt;=70,4,IF(G466&gt;=60,3.5,IF(G466&gt;=50,3,IF(G466&gt;=40,2,IF(G466&gt;=33,1,0)))))))</f>
        <v/>
      </c>
      <c r="AF466">
        <f>IF(H466+I466&lt;66,0,IF((H466+I466)/2&gt;=80,5,IF((H466+I466)/2&gt;=70,4,IF((H466+I466)/2&gt;=60,3.5,IF((H466+I466)/2&gt;=50,3,IF((H466+I466)/2&gt;=40,2,IF((H466+I466)/2&gt;=33,1,0)))))))</f>
        <v/>
      </c>
      <c r="AG466">
        <f>IF(Y466,0,IF((J466+K466+L466+M466)/2&gt;=80,5,IF((J466+K466+L466+M466)/2&gt;=70,4,IF((J466+K466+L466+M466)/2&gt;=60,3.5,IF((J466+K466+L466+M466)/2&gt;=50,3,IF((J466+K466+L466+M466)/2&gt;=40,2,IF((J466+K466+L466+M466)/2&gt;=33,1,0)))))))</f>
        <v/>
      </c>
      <c r="AH466">
        <f>IF(Z466,0,IF(N466+O466&gt;=80,5,IF(N466+O466&gt;=70,4,IF(N466+O466&gt;=60,3.5,IF(N466+O466&gt;=50,3,IF(N466+O466&gt;=40,2,IF(N466+O466&gt;=33,1,0)))))))</f>
        <v/>
      </c>
      <c r="AI466">
        <f>IF(AA466,0,IF(P466+Q466&gt;=80,5,IF(P466+Q466&gt;=70,4,IF(P466+Q466&gt;=60,3.5,IF(P466+Q466&gt;=50,3,IF(P466+Q466&gt;=40,2,IF(P466+Q466&gt;=33,1,0)))))))</f>
        <v/>
      </c>
      <c r="AJ466">
        <f>IF(R466&lt;8.25,0,IF(R466*2&gt;=80,5,IF(R466*2&gt;=70,4,IF(R466*2&gt;=60,3.5,IF(R466*2&gt;=50,3,IF(R466*2&gt;=40,2,IF(R466*2&gt;=33,1,0)))))))</f>
        <v/>
      </c>
      <c r="AK466">
        <f>IF(S466&lt;33,0,IF(S466&gt;=80,5,IF(S466&gt;=70,4,IF(S466&gt;=60,3.5,IF(S466&gt;=50,3,IF(S466&gt;=40,2,IF(S466&gt;=33,1,0)))))))</f>
        <v/>
      </c>
      <c r="AL466">
        <f>(AC466+AD466+AE466+AF466+AG466+AH466+AI466+AJ466)/8</f>
        <v/>
      </c>
      <c r="AM466">
        <f>IF(AK466&gt;=2,(AK466-2)/8,0)</f>
        <v/>
      </c>
    </row>
    <row r="467">
      <c r="T467">
        <f>SUM(C467:R467)</f>
        <v/>
      </c>
      <c r="U467" s="6">
        <f>ROUND(T467/11.5,2)</f>
        <v/>
      </c>
      <c r="V467" s="7">
        <f>IF(B467="","",IF(AB467,0,ROUND(AL467,2)))</f>
        <v/>
      </c>
      <c r="W467" s="7">
        <f>IF(B467="","",IF(AB467,0,MIN(5,ROUND(AL467+AM467,2))))</f>
        <v/>
      </c>
      <c r="X467" s="8">
        <f>IF(B467="","",IF(W467&gt;=5,"A+",IF(W467&gt;=4,"A",IF(W467&gt;=3.5,"A-",IF(W467&gt;=3,"B",IF(W467&gt;=2,"C",IF(W467&gt;=1,"D","F")))))))</f>
        <v/>
      </c>
      <c r="Y467">
        <f>NOT(OR(AND(J467&gt;=10,K467&gt;=23,L467&gt;=10,M467&gt;=23),AND(J467+L467&gt;=20,K467+M467&gt;=46)))</f>
        <v/>
      </c>
      <c r="Z467">
        <f>OR(N467&lt;10,O467&lt;23)</f>
        <v/>
      </c>
      <c r="AA467">
        <f>OR(P467&lt;10,Q467&lt;23)</f>
        <v/>
      </c>
      <c r="AB467">
        <f>OR((C467+D467)&lt;66,(E467+F467)&lt;66,G467&lt;33,(H467+I467)&lt;66,Y467,Z467,AA467,R467&lt;8.25)</f>
        <v/>
      </c>
      <c r="AC467">
        <f>IF(C467+D467&lt;66,0,IF((C467+D467)/2&gt;=80,5,IF((C467+D467)/2&gt;=70,4,IF((C467+D467)/2&gt;=60,3.5,IF((C467+D467)/2&gt;=50,3,IF((C467+D467)/2&gt;=40,2,IF((C467+D467)/2&gt;=33,1,0)))))))</f>
        <v/>
      </c>
      <c r="AD467">
        <f>IF(E467+F467&lt;66,0,IF((E467+F467)/2&gt;=80,5,IF((E467+F467)/2&gt;=70,4,IF((E467+F467)/2&gt;=60,3.5,IF((E467+F467)/2&gt;=50,3,IF((E467+F467)/2&gt;=40,2,IF((E467+F467)/2&gt;=33,1,0)))))))</f>
        <v/>
      </c>
      <c r="AE467">
        <f>IF(G467&lt;33,0,IF(G467&gt;=80,5,IF(G467&gt;=70,4,IF(G467&gt;=60,3.5,IF(G467&gt;=50,3,IF(G467&gt;=40,2,IF(G467&gt;=33,1,0)))))))</f>
        <v/>
      </c>
      <c r="AF467">
        <f>IF(H467+I467&lt;66,0,IF((H467+I467)/2&gt;=80,5,IF((H467+I467)/2&gt;=70,4,IF((H467+I467)/2&gt;=60,3.5,IF((H467+I467)/2&gt;=50,3,IF((H467+I467)/2&gt;=40,2,IF((H467+I467)/2&gt;=33,1,0)))))))</f>
        <v/>
      </c>
      <c r="AG467">
        <f>IF(Y467,0,IF((J467+K467+L467+M467)/2&gt;=80,5,IF((J467+K467+L467+M467)/2&gt;=70,4,IF((J467+K467+L467+M467)/2&gt;=60,3.5,IF((J467+K467+L467+M467)/2&gt;=50,3,IF((J467+K467+L467+M467)/2&gt;=40,2,IF((J467+K467+L467+M467)/2&gt;=33,1,0)))))))</f>
        <v/>
      </c>
      <c r="AH467">
        <f>IF(Z467,0,IF(N467+O467&gt;=80,5,IF(N467+O467&gt;=70,4,IF(N467+O467&gt;=60,3.5,IF(N467+O467&gt;=50,3,IF(N467+O467&gt;=40,2,IF(N467+O467&gt;=33,1,0)))))))</f>
        <v/>
      </c>
      <c r="AI467">
        <f>IF(AA467,0,IF(P467+Q467&gt;=80,5,IF(P467+Q467&gt;=70,4,IF(P467+Q467&gt;=60,3.5,IF(P467+Q467&gt;=50,3,IF(P467+Q467&gt;=40,2,IF(P467+Q467&gt;=33,1,0)))))))</f>
        <v/>
      </c>
      <c r="AJ467">
        <f>IF(R467&lt;8.25,0,IF(R467*2&gt;=80,5,IF(R467*2&gt;=70,4,IF(R467*2&gt;=60,3.5,IF(R467*2&gt;=50,3,IF(R467*2&gt;=40,2,IF(R467*2&gt;=33,1,0)))))))</f>
        <v/>
      </c>
      <c r="AK467">
        <f>IF(S467&lt;33,0,IF(S467&gt;=80,5,IF(S467&gt;=70,4,IF(S467&gt;=60,3.5,IF(S467&gt;=50,3,IF(S467&gt;=40,2,IF(S467&gt;=33,1,0)))))))</f>
        <v/>
      </c>
      <c r="AL467">
        <f>(AC467+AD467+AE467+AF467+AG467+AH467+AI467+AJ467)/8</f>
        <v/>
      </c>
      <c r="AM467">
        <f>IF(AK467&gt;=2,(AK467-2)/8,0)</f>
        <v/>
      </c>
    </row>
    <row r="468">
      <c r="T468">
        <f>SUM(C468:R468)</f>
        <v/>
      </c>
      <c r="U468" s="6">
        <f>ROUND(T468/11.5,2)</f>
        <v/>
      </c>
      <c r="V468" s="7">
        <f>IF(B468="","",IF(AB468,0,ROUND(AL468,2)))</f>
        <v/>
      </c>
      <c r="W468" s="7">
        <f>IF(B468="","",IF(AB468,0,MIN(5,ROUND(AL468+AM468,2))))</f>
        <v/>
      </c>
      <c r="X468" s="8">
        <f>IF(B468="","",IF(W468&gt;=5,"A+",IF(W468&gt;=4,"A",IF(W468&gt;=3.5,"A-",IF(W468&gt;=3,"B",IF(W468&gt;=2,"C",IF(W468&gt;=1,"D","F")))))))</f>
        <v/>
      </c>
      <c r="Y468">
        <f>NOT(OR(AND(J468&gt;=10,K468&gt;=23,L468&gt;=10,M468&gt;=23),AND(J468+L468&gt;=20,K468+M468&gt;=46)))</f>
        <v/>
      </c>
      <c r="Z468">
        <f>OR(N468&lt;10,O468&lt;23)</f>
        <v/>
      </c>
      <c r="AA468">
        <f>OR(P468&lt;10,Q468&lt;23)</f>
        <v/>
      </c>
      <c r="AB468">
        <f>OR((C468+D468)&lt;66,(E468+F468)&lt;66,G468&lt;33,(H468+I468)&lt;66,Y468,Z468,AA468,R468&lt;8.25)</f>
        <v/>
      </c>
      <c r="AC468">
        <f>IF(C468+D468&lt;66,0,IF((C468+D468)/2&gt;=80,5,IF((C468+D468)/2&gt;=70,4,IF((C468+D468)/2&gt;=60,3.5,IF((C468+D468)/2&gt;=50,3,IF((C468+D468)/2&gt;=40,2,IF((C468+D468)/2&gt;=33,1,0)))))))</f>
        <v/>
      </c>
      <c r="AD468">
        <f>IF(E468+F468&lt;66,0,IF((E468+F468)/2&gt;=80,5,IF((E468+F468)/2&gt;=70,4,IF((E468+F468)/2&gt;=60,3.5,IF((E468+F468)/2&gt;=50,3,IF((E468+F468)/2&gt;=40,2,IF((E468+F468)/2&gt;=33,1,0)))))))</f>
        <v/>
      </c>
      <c r="AE468">
        <f>IF(G468&lt;33,0,IF(G468&gt;=80,5,IF(G468&gt;=70,4,IF(G468&gt;=60,3.5,IF(G468&gt;=50,3,IF(G468&gt;=40,2,IF(G468&gt;=33,1,0)))))))</f>
        <v/>
      </c>
      <c r="AF468">
        <f>IF(H468+I468&lt;66,0,IF((H468+I468)/2&gt;=80,5,IF((H468+I468)/2&gt;=70,4,IF((H468+I468)/2&gt;=60,3.5,IF((H468+I468)/2&gt;=50,3,IF((H468+I468)/2&gt;=40,2,IF((H468+I468)/2&gt;=33,1,0)))))))</f>
        <v/>
      </c>
      <c r="AG468">
        <f>IF(Y468,0,IF((J468+K468+L468+M468)/2&gt;=80,5,IF((J468+K468+L468+M468)/2&gt;=70,4,IF((J468+K468+L468+M468)/2&gt;=60,3.5,IF((J468+K468+L468+M468)/2&gt;=50,3,IF((J468+K468+L468+M468)/2&gt;=40,2,IF((J468+K468+L468+M468)/2&gt;=33,1,0)))))))</f>
        <v/>
      </c>
      <c r="AH468">
        <f>IF(Z468,0,IF(N468+O468&gt;=80,5,IF(N468+O468&gt;=70,4,IF(N468+O468&gt;=60,3.5,IF(N468+O468&gt;=50,3,IF(N468+O468&gt;=40,2,IF(N468+O468&gt;=33,1,0)))))))</f>
        <v/>
      </c>
      <c r="AI468">
        <f>IF(AA468,0,IF(P468+Q468&gt;=80,5,IF(P468+Q468&gt;=70,4,IF(P468+Q468&gt;=60,3.5,IF(P468+Q468&gt;=50,3,IF(P468+Q468&gt;=40,2,IF(P468+Q468&gt;=33,1,0)))))))</f>
        <v/>
      </c>
      <c r="AJ468">
        <f>IF(R468&lt;8.25,0,IF(R468*2&gt;=80,5,IF(R468*2&gt;=70,4,IF(R468*2&gt;=60,3.5,IF(R468*2&gt;=50,3,IF(R468*2&gt;=40,2,IF(R468*2&gt;=33,1,0)))))))</f>
        <v/>
      </c>
      <c r="AK468">
        <f>IF(S468&lt;33,0,IF(S468&gt;=80,5,IF(S468&gt;=70,4,IF(S468&gt;=60,3.5,IF(S468&gt;=50,3,IF(S468&gt;=40,2,IF(S468&gt;=33,1,0)))))))</f>
        <v/>
      </c>
      <c r="AL468">
        <f>(AC468+AD468+AE468+AF468+AG468+AH468+AI468+AJ468)/8</f>
        <v/>
      </c>
      <c r="AM468">
        <f>IF(AK468&gt;=2,(AK468-2)/8,0)</f>
        <v/>
      </c>
    </row>
    <row r="469">
      <c r="T469">
        <f>SUM(C469:R469)</f>
        <v/>
      </c>
      <c r="U469" s="6">
        <f>ROUND(T469/11.5,2)</f>
        <v/>
      </c>
      <c r="V469" s="7">
        <f>IF(B469="","",IF(AB469,0,ROUND(AL469,2)))</f>
        <v/>
      </c>
      <c r="W469" s="7">
        <f>IF(B469="","",IF(AB469,0,MIN(5,ROUND(AL469+AM469,2))))</f>
        <v/>
      </c>
      <c r="X469" s="8">
        <f>IF(B469="","",IF(W469&gt;=5,"A+",IF(W469&gt;=4,"A",IF(W469&gt;=3.5,"A-",IF(W469&gt;=3,"B",IF(W469&gt;=2,"C",IF(W469&gt;=1,"D","F")))))))</f>
        <v/>
      </c>
      <c r="Y469">
        <f>NOT(OR(AND(J469&gt;=10,K469&gt;=23,L469&gt;=10,M469&gt;=23),AND(J469+L469&gt;=20,K469+M469&gt;=46)))</f>
        <v/>
      </c>
      <c r="Z469">
        <f>OR(N469&lt;10,O469&lt;23)</f>
        <v/>
      </c>
      <c r="AA469">
        <f>OR(P469&lt;10,Q469&lt;23)</f>
        <v/>
      </c>
      <c r="AB469">
        <f>OR((C469+D469)&lt;66,(E469+F469)&lt;66,G469&lt;33,(H469+I469)&lt;66,Y469,Z469,AA469,R469&lt;8.25)</f>
        <v/>
      </c>
      <c r="AC469">
        <f>IF(C469+D469&lt;66,0,IF((C469+D469)/2&gt;=80,5,IF((C469+D469)/2&gt;=70,4,IF((C469+D469)/2&gt;=60,3.5,IF((C469+D469)/2&gt;=50,3,IF((C469+D469)/2&gt;=40,2,IF((C469+D469)/2&gt;=33,1,0)))))))</f>
        <v/>
      </c>
      <c r="AD469">
        <f>IF(E469+F469&lt;66,0,IF((E469+F469)/2&gt;=80,5,IF((E469+F469)/2&gt;=70,4,IF((E469+F469)/2&gt;=60,3.5,IF((E469+F469)/2&gt;=50,3,IF((E469+F469)/2&gt;=40,2,IF((E469+F469)/2&gt;=33,1,0)))))))</f>
        <v/>
      </c>
      <c r="AE469">
        <f>IF(G469&lt;33,0,IF(G469&gt;=80,5,IF(G469&gt;=70,4,IF(G469&gt;=60,3.5,IF(G469&gt;=50,3,IF(G469&gt;=40,2,IF(G469&gt;=33,1,0)))))))</f>
        <v/>
      </c>
      <c r="AF469">
        <f>IF(H469+I469&lt;66,0,IF((H469+I469)/2&gt;=80,5,IF((H469+I469)/2&gt;=70,4,IF((H469+I469)/2&gt;=60,3.5,IF((H469+I469)/2&gt;=50,3,IF((H469+I469)/2&gt;=40,2,IF((H469+I469)/2&gt;=33,1,0)))))))</f>
        <v/>
      </c>
      <c r="AG469">
        <f>IF(Y469,0,IF((J469+K469+L469+M469)/2&gt;=80,5,IF((J469+K469+L469+M469)/2&gt;=70,4,IF((J469+K469+L469+M469)/2&gt;=60,3.5,IF((J469+K469+L469+M469)/2&gt;=50,3,IF((J469+K469+L469+M469)/2&gt;=40,2,IF((J469+K469+L469+M469)/2&gt;=33,1,0)))))))</f>
        <v/>
      </c>
      <c r="AH469">
        <f>IF(Z469,0,IF(N469+O469&gt;=80,5,IF(N469+O469&gt;=70,4,IF(N469+O469&gt;=60,3.5,IF(N469+O469&gt;=50,3,IF(N469+O469&gt;=40,2,IF(N469+O469&gt;=33,1,0)))))))</f>
        <v/>
      </c>
      <c r="AI469">
        <f>IF(AA469,0,IF(P469+Q469&gt;=80,5,IF(P469+Q469&gt;=70,4,IF(P469+Q469&gt;=60,3.5,IF(P469+Q469&gt;=50,3,IF(P469+Q469&gt;=40,2,IF(P469+Q469&gt;=33,1,0)))))))</f>
        <v/>
      </c>
      <c r="AJ469">
        <f>IF(R469&lt;8.25,0,IF(R469*2&gt;=80,5,IF(R469*2&gt;=70,4,IF(R469*2&gt;=60,3.5,IF(R469*2&gt;=50,3,IF(R469*2&gt;=40,2,IF(R469*2&gt;=33,1,0)))))))</f>
        <v/>
      </c>
      <c r="AK469">
        <f>IF(S469&lt;33,0,IF(S469&gt;=80,5,IF(S469&gt;=70,4,IF(S469&gt;=60,3.5,IF(S469&gt;=50,3,IF(S469&gt;=40,2,IF(S469&gt;=33,1,0)))))))</f>
        <v/>
      </c>
      <c r="AL469">
        <f>(AC469+AD469+AE469+AF469+AG469+AH469+AI469+AJ469)/8</f>
        <v/>
      </c>
      <c r="AM469">
        <f>IF(AK469&gt;=2,(AK469-2)/8,0)</f>
        <v/>
      </c>
    </row>
    <row r="470">
      <c r="T470">
        <f>SUM(C470:R470)</f>
        <v/>
      </c>
      <c r="U470" s="6">
        <f>ROUND(T470/11.5,2)</f>
        <v/>
      </c>
      <c r="V470" s="7">
        <f>IF(B470="","",IF(AB470,0,ROUND(AL470,2)))</f>
        <v/>
      </c>
      <c r="W470" s="7">
        <f>IF(B470="","",IF(AB470,0,MIN(5,ROUND(AL470+AM470,2))))</f>
        <v/>
      </c>
      <c r="X470" s="8">
        <f>IF(B470="","",IF(W470&gt;=5,"A+",IF(W470&gt;=4,"A",IF(W470&gt;=3.5,"A-",IF(W470&gt;=3,"B",IF(W470&gt;=2,"C",IF(W470&gt;=1,"D","F")))))))</f>
        <v/>
      </c>
      <c r="Y470">
        <f>NOT(OR(AND(J470&gt;=10,K470&gt;=23,L470&gt;=10,M470&gt;=23),AND(J470+L470&gt;=20,K470+M470&gt;=46)))</f>
        <v/>
      </c>
      <c r="Z470">
        <f>OR(N470&lt;10,O470&lt;23)</f>
        <v/>
      </c>
      <c r="AA470">
        <f>OR(P470&lt;10,Q470&lt;23)</f>
        <v/>
      </c>
      <c r="AB470">
        <f>OR((C470+D470)&lt;66,(E470+F470)&lt;66,G470&lt;33,(H470+I470)&lt;66,Y470,Z470,AA470,R470&lt;8.25)</f>
        <v/>
      </c>
      <c r="AC470">
        <f>IF(C470+D470&lt;66,0,IF((C470+D470)/2&gt;=80,5,IF((C470+D470)/2&gt;=70,4,IF((C470+D470)/2&gt;=60,3.5,IF((C470+D470)/2&gt;=50,3,IF((C470+D470)/2&gt;=40,2,IF((C470+D470)/2&gt;=33,1,0)))))))</f>
        <v/>
      </c>
      <c r="AD470">
        <f>IF(E470+F470&lt;66,0,IF((E470+F470)/2&gt;=80,5,IF((E470+F470)/2&gt;=70,4,IF((E470+F470)/2&gt;=60,3.5,IF((E470+F470)/2&gt;=50,3,IF((E470+F470)/2&gt;=40,2,IF((E470+F470)/2&gt;=33,1,0)))))))</f>
        <v/>
      </c>
      <c r="AE470">
        <f>IF(G470&lt;33,0,IF(G470&gt;=80,5,IF(G470&gt;=70,4,IF(G470&gt;=60,3.5,IF(G470&gt;=50,3,IF(G470&gt;=40,2,IF(G470&gt;=33,1,0)))))))</f>
        <v/>
      </c>
      <c r="AF470">
        <f>IF(H470+I470&lt;66,0,IF((H470+I470)/2&gt;=80,5,IF((H470+I470)/2&gt;=70,4,IF((H470+I470)/2&gt;=60,3.5,IF((H470+I470)/2&gt;=50,3,IF((H470+I470)/2&gt;=40,2,IF((H470+I470)/2&gt;=33,1,0)))))))</f>
        <v/>
      </c>
      <c r="AG470">
        <f>IF(Y470,0,IF((J470+K470+L470+M470)/2&gt;=80,5,IF((J470+K470+L470+M470)/2&gt;=70,4,IF((J470+K470+L470+M470)/2&gt;=60,3.5,IF((J470+K470+L470+M470)/2&gt;=50,3,IF((J470+K470+L470+M470)/2&gt;=40,2,IF((J470+K470+L470+M470)/2&gt;=33,1,0)))))))</f>
        <v/>
      </c>
      <c r="AH470">
        <f>IF(Z470,0,IF(N470+O470&gt;=80,5,IF(N470+O470&gt;=70,4,IF(N470+O470&gt;=60,3.5,IF(N470+O470&gt;=50,3,IF(N470+O470&gt;=40,2,IF(N470+O470&gt;=33,1,0)))))))</f>
        <v/>
      </c>
      <c r="AI470">
        <f>IF(AA470,0,IF(P470+Q470&gt;=80,5,IF(P470+Q470&gt;=70,4,IF(P470+Q470&gt;=60,3.5,IF(P470+Q470&gt;=50,3,IF(P470+Q470&gt;=40,2,IF(P470+Q470&gt;=33,1,0)))))))</f>
        <v/>
      </c>
      <c r="AJ470">
        <f>IF(R470&lt;8.25,0,IF(R470*2&gt;=80,5,IF(R470*2&gt;=70,4,IF(R470*2&gt;=60,3.5,IF(R470*2&gt;=50,3,IF(R470*2&gt;=40,2,IF(R470*2&gt;=33,1,0)))))))</f>
        <v/>
      </c>
      <c r="AK470">
        <f>IF(S470&lt;33,0,IF(S470&gt;=80,5,IF(S470&gt;=70,4,IF(S470&gt;=60,3.5,IF(S470&gt;=50,3,IF(S470&gt;=40,2,IF(S470&gt;=33,1,0)))))))</f>
        <v/>
      </c>
      <c r="AL470">
        <f>(AC470+AD470+AE470+AF470+AG470+AH470+AI470+AJ470)/8</f>
        <v/>
      </c>
      <c r="AM470">
        <f>IF(AK470&gt;=2,(AK470-2)/8,0)</f>
        <v/>
      </c>
    </row>
    <row r="471">
      <c r="T471">
        <f>SUM(C471:R471)</f>
        <v/>
      </c>
      <c r="U471" s="6">
        <f>ROUND(T471/11.5,2)</f>
        <v/>
      </c>
      <c r="V471" s="7">
        <f>IF(B471="","",IF(AB471,0,ROUND(AL471,2)))</f>
        <v/>
      </c>
      <c r="W471" s="7">
        <f>IF(B471="","",IF(AB471,0,MIN(5,ROUND(AL471+AM471,2))))</f>
        <v/>
      </c>
      <c r="X471" s="8">
        <f>IF(B471="","",IF(W471&gt;=5,"A+",IF(W471&gt;=4,"A",IF(W471&gt;=3.5,"A-",IF(W471&gt;=3,"B",IF(W471&gt;=2,"C",IF(W471&gt;=1,"D","F")))))))</f>
        <v/>
      </c>
      <c r="Y471">
        <f>NOT(OR(AND(J471&gt;=10,K471&gt;=23,L471&gt;=10,M471&gt;=23),AND(J471+L471&gt;=20,K471+M471&gt;=46)))</f>
        <v/>
      </c>
      <c r="Z471">
        <f>OR(N471&lt;10,O471&lt;23)</f>
        <v/>
      </c>
      <c r="AA471">
        <f>OR(P471&lt;10,Q471&lt;23)</f>
        <v/>
      </c>
      <c r="AB471">
        <f>OR((C471+D471)&lt;66,(E471+F471)&lt;66,G471&lt;33,(H471+I471)&lt;66,Y471,Z471,AA471,R471&lt;8.25)</f>
        <v/>
      </c>
      <c r="AC471">
        <f>IF(C471+D471&lt;66,0,IF((C471+D471)/2&gt;=80,5,IF((C471+D471)/2&gt;=70,4,IF((C471+D471)/2&gt;=60,3.5,IF((C471+D471)/2&gt;=50,3,IF((C471+D471)/2&gt;=40,2,IF((C471+D471)/2&gt;=33,1,0)))))))</f>
        <v/>
      </c>
      <c r="AD471">
        <f>IF(E471+F471&lt;66,0,IF((E471+F471)/2&gt;=80,5,IF((E471+F471)/2&gt;=70,4,IF((E471+F471)/2&gt;=60,3.5,IF((E471+F471)/2&gt;=50,3,IF((E471+F471)/2&gt;=40,2,IF((E471+F471)/2&gt;=33,1,0)))))))</f>
        <v/>
      </c>
      <c r="AE471">
        <f>IF(G471&lt;33,0,IF(G471&gt;=80,5,IF(G471&gt;=70,4,IF(G471&gt;=60,3.5,IF(G471&gt;=50,3,IF(G471&gt;=40,2,IF(G471&gt;=33,1,0)))))))</f>
        <v/>
      </c>
      <c r="AF471">
        <f>IF(H471+I471&lt;66,0,IF((H471+I471)/2&gt;=80,5,IF((H471+I471)/2&gt;=70,4,IF((H471+I471)/2&gt;=60,3.5,IF((H471+I471)/2&gt;=50,3,IF((H471+I471)/2&gt;=40,2,IF((H471+I471)/2&gt;=33,1,0)))))))</f>
        <v/>
      </c>
      <c r="AG471">
        <f>IF(Y471,0,IF((J471+K471+L471+M471)/2&gt;=80,5,IF((J471+K471+L471+M471)/2&gt;=70,4,IF((J471+K471+L471+M471)/2&gt;=60,3.5,IF((J471+K471+L471+M471)/2&gt;=50,3,IF((J471+K471+L471+M471)/2&gt;=40,2,IF((J471+K471+L471+M471)/2&gt;=33,1,0)))))))</f>
        <v/>
      </c>
      <c r="AH471">
        <f>IF(Z471,0,IF(N471+O471&gt;=80,5,IF(N471+O471&gt;=70,4,IF(N471+O471&gt;=60,3.5,IF(N471+O471&gt;=50,3,IF(N471+O471&gt;=40,2,IF(N471+O471&gt;=33,1,0)))))))</f>
        <v/>
      </c>
      <c r="AI471">
        <f>IF(AA471,0,IF(P471+Q471&gt;=80,5,IF(P471+Q471&gt;=70,4,IF(P471+Q471&gt;=60,3.5,IF(P471+Q471&gt;=50,3,IF(P471+Q471&gt;=40,2,IF(P471+Q471&gt;=33,1,0)))))))</f>
        <v/>
      </c>
      <c r="AJ471">
        <f>IF(R471&lt;8.25,0,IF(R471*2&gt;=80,5,IF(R471*2&gt;=70,4,IF(R471*2&gt;=60,3.5,IF(R471*2&gt;=50,3,IF(R471*2&gt;=40,2,IF(R471*2&gt;=33,1,0)))))))</f>
        <v/>
      </c>
      <c r="AK471">
        <f>IF(S471&lt;33,0,IF(S471&gt;=80,5,IF(S471&gt;=70,4,IF(S471&gt;=60,3.5,IF(S471&gt;=50,3,IF(S471&gt;=40,2,IF(S471&gt;=33,1,0)))))))</f>
        <v/>
      </c>
      <c r="AL471">
        <f>(AC471+AD471+AE471+AF471+AG471+AH471+AI471+AJ471)/8</f>
        <v/>
      </c>
      <c r="AM471">
        <f>IF(AK471&gt;=2,(AK471-2)/8,0)</f>
        <v/>
      </c>
    </row>
    <row r="472">
      <c r="T472">
        <f>SUM(C472:R472)</f>
        <v/>
      </c>
      <c r="U472" s="6">
        <f>ROUND(T472/11.5,2)</f>
        <v/>
      </c>
      <c r="V472" s="7">
        <f>IF(B472="","",IF(AB472,0,ROUND(AL472,2)))</f>
        <v/>
      </c>
      <c r="W472" s="7">
        <f>IF(B472="","",IF(AB472,0,MIN(5,ROUND(AL472+AM472,2))))</f>
        <v/>
      </c>
      <c r="X472" s="8">
        <f>IF(B472="","",IF(W472&gt;=5,"A+",IF(W472&gt;=4,"A",IF(W472&gt;=3.5,"A-",IF(W472&gt;=3,"B",IF(W472&gt;=2,"C",IF(W472&gt;=1,"D","F")))))))</f>
        <v/>
      </c>
      <c r="Y472">
        <f>NOT(OR(AND(J472&gt;=10,K472&gt;=23,L472&gt;=10,M472&gt;=23),AND(J472+L472&gt;=20,K472+M472&gt;=46)))</f>
        <v/>
      </c>
      <c r="Z472">
        <f>OR(N472&lt;10,O472&lt;23)</f>
        <v/>
      </c>
      <c r="AA472">
        <f>OR(P472&lt;10,Q472&lt;23)</f>
        <v/>
      </c>
      <c r="AB472">
        <f>OR((C472+D472)&lt;66,(E472+F472)&lt;66,G472&lt;33,(H472+I472)&lt;66,Y472,Z472,AA472,R472&lt;8.25)</f>
        <v/>
      </c>
      <c r="AC472">
        <f>IF(C472+D472&lt;66,0,IF((C472+D472)/2&gt;=80,5,IF((C472+D472)/2&gt;=70,4,IF((C472+D472)/2&gt;=60,3.5,IF((C472+D472)/2&gt;=50,3,IF((C472+D472)/2&gt;=40,2,IF((C472+D472)/2&gt;=33,1,0)))))))</f>
        <v/>
      </c>
      <c r="AD472">
        <f>IF(E472+F472&lt;66,0,IF((E472+F472)/2&gt;=80,5,IF((E472+F472)/2&gt;=70,4,IF((E472+F472)/2&gt;=60,3.5,IF((E472+F472)/2&gt;=50,3,IF((E472+F472)/2&gt;=40,2,IF((E472+F472)/2&gt;=33,1,0)))))))</f>
        <v/>
      </c>
      <c r="AE472">
        <f>IF(G472&lt;33,0,IF(G472&gt;=80,5,IF(G472&gt;=70,4,IF(G472&gt;=60,3.5,IF(G472&gt;=50,3,IF(G472&gt;=40,2,IF(G472&gt;=33,1,0)))))))</f>
        <v/>
      </c>
      <c r="AF472">
        <f>IF(H472+I472&lt;66,0,IF((H472+I472)/2&gt;=80,5,IF((H472+I472)/2&gt;=70,4,IF((H472+I472)/2&gt;=60,3.5,IF((H472+I472)/2&gt;=50,3,IF((H472+I472)/2&gt;=40,2,IF((H472+I472)/2&gt;=33,1,0)))))))</f>
        <v/>
      </c>
      <c r="AG472">
        <f>IF(Y472,0,IF((J472+K472+L472+M472)/2&gt;=80,5,IF((J472+K472+L472+M472)/2&gt;=70,4,IF((J472+K472+L472+M472)/2&gt;=60,3.5,IF((J472+K472+L472+M472)/2&gt;=50,3,IF((J472+K472+L472+M472)/2&gt;=40,2,IF((J472+K472+L472+M472)/2&gt;=33,1,0)))))))</f>
        <v/>
      </c>
      <c r="AH472">
        <f>IF(Z472,0,IF(N472+O472&gt;=80,5,IF(N472+O472&gt;=70,4,IF(N472+O472&gt;=60,3.5,IF(N472+O472&gt;=50,3,IF(N472+O472&gt;=40,2,IF(N472+O472&gt;=33,1,0)))))))</f>
        <v/>
      </c>
      <c r="AI472">
        <f>IF(AA472,0,IF(P472+Q472&gt;=80,5,IF(P472+Q472&gt;=70,4,IF(P472+Q472&gt;=60,3.5,IF(P472+Q472&gt;=50,3,IF(P472+Q472&gt;=40,2,IF(P472+Q472&gt;=33,1,0)))))))</f>
        <v/>
      </c>
      <c r="AJ472">
        <f>IF(R472&lt;8.25,0,IF(R472*2&gt;=80,5,IF(R472*2&gt;=70,4,IF(R472*2&gt;=60,3.5,IF(R472*2&gt;=50,3,IF(R472*2&gt;=40,2,IF(R472*2&gt;=33,1,0)))))))</f>
        <v/>
      </c>
      <c r="AK472">
        <f>IF(S472&lt;33,0,IF(S472&gt;=80,5,IF(S472&gt;=70,4,IF(S472&gt;=60,3.5,IF(S472&gt;=50,3,IF(S472&gt;=40,2,IF(S472&gt;=33,1,0)))))))</f>
        <v/>
      </c>
      <c r="AL472">
        <f>(AC472+AD472+AE472+AF472+AG472+AH472+AI472+AJ472)/8</f>
        <v/>
      </c>
      <c r="AM472">
        <f>IF(AK472&gt;=2,(AK472-2)/8,0)</f>
        <v/>
      </c>
    </row>
    <row r="473">
      <c r="T473">
        <f>SUM(C473:R473)</f>
        <v/>
      </c>
      <c r="U473" s="6">
        <f>ROUND(T473/11.5,2)</f>
        <v/>
      </c>
      <c r="V473" s="7">
        <f>IF(B473="","",IF(AB473,0,ROUND(AL473,2)))</f>
        <v/>
      </c>
      <c r="W473" s="7">
        <f>IF(B473="","",IF(AB473,0,MIN(5,ROUND(AL473+AM473,2))))</f>
        <v/>
      </c>
      <c r="X473" s="8">
        <f>IF(B473="","",IF(W473&gt;=5,"A+",IF(W473&gt;=4,"A",IF(W473&gt;=3.5,"A-",IF(W473&gt;=3,"B",IF(W473&gt;=2,"C",IF(W473&gt;=1,"D","F")))))))</f>
        <v/>
      </c>
      <c r="Y473">
        <f>NOT(OR(AND(J473&gt;=10,K473&gt;=23,L473&gt;=10,M473&gt;=23),AND(J473+L473&gt;=20,K473+M473&gt;=46)))</f>
        <v/>
      </c>
      <c r="Z473">
        <f>OR(N473&lt;10,O473&lt;23)</f>
        <v/>
      </c>
      <c r="AA473">
        <f>OR(P473&lt;10,Q473&lt;23)</f>
        <v/>
      </c>
      <c r="AB473">
        <f>OR((C473+D473)&lt;66,(E473+F473)&lt;66,G473&lt;33,(H473+I473)&lt;66,Y473,Z473,AA473,R473&lt;8.25)</f>
        <v/>
      </c>
      <c r="AC473">
        <f>IF(C473+D473&lt;66,0,IF((C473+D473)/2&gt;=80,5,IF((C473+D473)/2&gt;=70,4,IF((C473+D473)/2&gt;=60,3.5,IF((C473+D473)/2&gt;=50,3,IF((C473+D473)/2&gt;=40,2,IF((C473+D473)/2&gt;=33,1,0)))))))</f>
        <v/>
      </c>
      <c r="AD473">
        <f>IF(E473+F473&lt;66,0,IF((E473+F473)/2&gt;=80,5,IF((E473+F473)/2&gt;=70,4,IF((E473+F473)/2&gt;=60,3.5,IF((E473+F473)/2&gt;=50,3,IF((E473+F473)/2&gt;=40,2,IF((E473+F473)/2&gt;=33,1,0)))))))</f>
        <v/>
      </c>
      <c r="AE473">
        <f>IF(G473&lt;33,0,IF(G473&gt;=80,5,IF(G473&gt;=70,4,IF(G473&gt;=60,3.5,IF(G473&gt;=50,3,IF(G473&gt;=40,2,IF(G473&gt;=33,1,0)))))))</f>
        <v/>
      </c>
      <c r="AF473">
        <f>IF(H473+I473&lt;66,0,IF((H473+I473)/2&gt;=80,5,IF((H473+I473)/2&gt;=70,4,IF((H473+I473)/2&gt;=60,3.5,IF((H473+I473)/2&gt;=50,3,IF((H473+I473)/2&gt;=40,2,IF((H473+I473)/2&gt;=33,1,0)))))))</f>
        <v/>
      </c>
      <c r="AG473">
        <f>IF(Y473,0,IF((J473+K473+L473+M473)/2&gt;=80,5,IF((J473+K473+L473+M473)/2&gt;=70,4,IF((J473+K473+L473+M473)/2&gt;=60,3.5,IF((J473+K473+L473+M473)/2&gt;=50,3,IF((J473+K473+L473+M473)/2&gt;=40,2,IF((J473+K473+L473+M473)/2&gt;=33,1,0)))))))</f>
        <v/>
      </c>
      <c r="AH473">
        <f>IF(Z473,0,IF(N473+O473&gt;=80,5,IF(N473+O473&gt;=70,4,IF(N473+O473&gt;=60,3.5,IF(N473+O473&gt;=50,3,IF(N473+O473&gt;=40,2,IF(N473+O473&gt;=33,1,0)))))))</f>
        <v/>
      </c>
      <c r="AI473">
        <f>IF(AA473,0,IF(P473+Q473&gt;=80,5,IF(P473+Q473&gt;=70,4,IF(P473+Q473&gt;=60,3.5,IF(P473+Q473&gt;=50,3,IF(P473+Q473&gt;=40,2,IF(P473+Q473&gt;=33,1,0)))))))</f>
        <v/>
      </c>
      <c r="AJ473">
        <f>IF(R473&lt;8.25,0,IF(R473*2&gt;=80,5,IF(R473*2&gt;=70,4,IF(R473*2&gt;=60,3.5,IF(R473*2&gt;=50,3,IF(R473*2&gt;=40,2,IF(R473*2&gt;=33,1,0)))))))</f>
        <v/>
      </c>
      <c r="AK473">
        <f>IF(S473&lt;33,0,IF(S473&gt;=80,5,IF(S473&gt;=70,4,IF(S473&gt;=60,3.5,IF(S473&gt;=50,3,IF(S473&gt;=40,2,IF(S473&gt;=33,1,0)))))))</f>
        <v/>
      </c>
      <c r="AL473">
        <f>(AC473+AD473+AE473+AF473+AG473+AH473+AI473+AJ473)/8</f>
        <v/>
      </c>
      <c r="AM473">
        <f>IF(AK473&gt;=2,(AK473-2)/8,0)</f>
        <v/>
      </c>
    </row>
    <row r="474">
      <c r="T474">
        <f>SUM(C474:R474)</f>
        <v/>
      </c>
      <c r="U474" s="6">
        <f>ROUND(T474/11.5,2)</f>
        <v/>
      </c>
      <c r="V474" s="7">
        <f>IF(B474="","",IF(AB474,0,ROUND(AL474,2)))</f>
        <v/>
      </c>
      <c r="W474" s="7">
        <f>IF(B474="","",IF(AB474,0,MIN(5,ROUND(AL474+AM474,2))))</f>
        <v/>
      </c>
      <c r="X474" s="8">
        <f>IF(B474="","",IF(W474&gt;=5,"A+",IF(W474&gt;=4,"A",IF(W474&gt;=3.5,"A-",IF(W474&gt;=3,"B",IF(W474&gt;=2,"C",IF(W474&gt;=1,"D","F")))))))</f>
        <v/>
      </c>
      <c r="Y474">
        <f>NOT(OR(AND(J474&gt;=10,K474&gt;=23,L474&gt;=10,M474&gt;=23),AND(J474+L474&gt;=20,K474+M474&gt;=46)))</f>
        <v/>
      </c>
      <c r="Z474">
        <f>OR(N474&lt;10,O474&lt;23)</f>
        <v/>
      </c>
      <c r="AA474">
        <f>OR(P474&lt;10,Q474&lt;23)</f>
        <v/>
      </c>
      <c r="AB474">
        <f>OR((C474+D474)&lt;66,(E474+F474)&lt;66,G474&lt;33,(H474+I474)&lt;66,Y474,Z474,AA474,R474&lt;8.25)</f>
        <v/>
      </c>
      <c r="AC474">
        <f>IF(C474+D474&lt;66,0,IF((C474+D474)/2&gt;=80,5,IF((C474+D474)/2&gt;=70,4,IF((C474+D474)/2&gt;=60,3.5,IF((C474+D474)/2&gt;=50,3,IF((C474+D474)/2&gt;=40,2,IF((C474+D474)/2&gt;=33,1,0)))))))</f>
        <v/>
      </c>
      <c r="AD474">
        <f>IF(E474+F474&lt;66,0,IF((E474+F474)/2&gt;=80,5,IF((E474+F474)/2&gt;=70,4,IF((E474+F474)/2&gt;=60,3.5,IF((E474+F474)/2&gt;=50,3,IF((E474+F474)/2&gt;=40,2,IF((E474+F474)/2&gt;=33,1,0)))))))</f>
        <v/>
      </c>
      <c r="AE474">
        <f>IF(G474&lt;33,0,IF(G474&gt;=80,5,IF(G474&gt;=70,4,IF(G474&gt;=60,3.5,IF(G474&gt;=50,3,IF(G474&gt;=40,2,IF(G474&gt;=33,1,0)))))))</f>
        <v/>
      </c>
      <c r="AF474">
        <f>IF(H474+I474&lt;66,0,IF((H474+I474)/2&gt;=80,5,IF((H474+I474)/2&gt;=70,4,IF((H474+I474)/2&gt;=60,3.5,IF((H474+I474)/2&gt;=50,3,IF((H474+I474)/2&gt;=40,2,IF((H474+I474)/2&gt;=33,1,0)))))))</f>
        <v/>
      </c>
      <c r="AG474">
        <f>IF(Y474,0,IF((J474+K474+L474+M474)/2&gt;=80,5,IF((J474+K474+L474+M474)/2&gt;=70,4,IF((J474+K474+L474+M474)/2&gt;=60,3.5,IF((J474+K474+L474+M474)/2&gt;=50,3,IF((J474+K474+L474+M474)/2&gt;=40,2,IF((J474+K474+L474+M474)/2&gt;=33,1,0)))))))</f>
        <v/>
      </c>
      <c r="AH474">
        <f>IF(Z474,0,IF(N474+O474&gt;=80,5,IF(N474+O474&gt;=70,4,IF(N474+O474&gt;=60,3.5,IF(N474+O474&gt;=50,3,IF(N474+O474&gt;=40,2,IF(N474+O474&gt;=33,1,0)))))))</f>
        <v/>
      </c>
      <c r="AI474">
        <f>IF(AA474,0,IF(P474+Q474&gt;=80,5,IF(P474+Q474&gt;=70,4,IF(P474+Q474&gt;=60,3.5,IF(P474+Q474&gt;=50,3,IF(P474+Q474&gt;=40,2,IF(P474+Q474&gt;=33,1,0)))))))</f>
        <v/>
      </c>
      <c r="AJ474">
        <f>IF(R474&lt;8.25,0,IF(R474*2&gt;=80,5,IF(R474*2&gt;=70,4,IF(R474*2&gt;=60,3.5,IF(R474*2&gt;=50,3,IF(R474*2&gt;=40,2,IF(R474*2&gt;=33,1,0)))))))</f>
        <v/>
      </c>
      <c r="AK474">
        <f>IF(S474&lt;33,0,IF(S474&gt;=80,5,IF(S474&gt;=70,4,IF(S474&gt;=60,3.5,IF(S474&gt;=50,3,IF(S474&gt;=40,2,IF(S474&gt;=33,1,0)))))))</f>
        <v/>
      </c>
      <c r="AL474">
        <f>(AC474+AD474+AE474+AF474+AG474+AH474+AI474+AJ474)/8</f>
        <v/>
      </c>
      <c r="AM474">
        <f>IF(AK474&gt;=2,(AK474-2)/8,0)</f>
        <v/>
      </c>
    </row>
    <row r="475">
      <c r="T475">
        <f>SUM(C475:R475)</f>
        <v/>
      </c>
      <c r="U475" s="6">
        <f>ROUND(T475/11.5,2)</f>
        <v/>
      </c>
      <c r="V475" s="7">
        <f>IF(B475="","",IF(AB475,0,ROUND(AL475,2)))</f>
        <v/>
      </c>
      <c r="W475" s="7">
        <f>IF(B475="","",IF(AB475,0,MIN(5,ROUND(AL475+AM475,2))))</f>
        <v/>
      </c>
      <c r="X475" s="8">
        <f>IF(B475="","",IF(W475&gt;=5,"A+",IF(W475&gt;=4,"A",IF(W475&gt;=3.5,"A-",IF(W475&gt;=3,"B",IF(W475&gt;=2,"C",IF(W475&gt;=1,"D","F")))))))</f>
        <v/>
      </c>
      <c r="Y475">
        <f>NOT(OR(AND(J475&gt;=10,K475&gt;=23,L475&gt;=10,M475&gt;=23),AND(J475+L475&gt;=20,K475+M475&gt;=46)))</f>
        <v/>
      </c>
      <c r="Z475">
        <f>OR(N475&lt;10,O475&lt;23)</f>
        <v/>
      </c>
      <c r="AA475">
        <f>OR(P475&lt;10,Q475&lt;23)</f>
        <v/>
      </c>
      <c r="AB475">
        <f>OR((C475+D475)&lt;66,(E475+F475)&lt;66,G475&lt;33,(H475+I475)&lt;66,Y475,Z475,AA475,R475&lt;8.25)</f>
        <v/>
      </c>
      <c r="AC475">
        <f>IF(C475+D475&lt;66,0,IF((C475+D475)/2&gt;=80,5,IF((C475+D475)/2&gt;=70,4,IF((C475+D475)/2&gt;=60,3.5,IF((C475+D475)/2&gt;=50,3,IF((C475+D475)/2&gt;=40,2,IF((C475+D475)/2&gt;=33,1,0)))))))</f>
        <v/>
      </c>
      <c r="AD475">
        <f>IF(E475+F475&lt;66,0,IF((E475+F475)/2&gt;=80,5,IF((E475+F475)/2&gt;=70,4,IF((E475+F475)/2&gt;=60,3.5,IF((E475+F475)/2&gt;=50,3,IF((E475+F475)/2&gt;=40,2,IF((E475+F475)/2&gt;=33,1,0)))))))</f>
        <v/>
      </c>
      <c r="AE475">
        <f>IF(G475&lt;33,0,IF(G475&gt;=80,5,IF(G475&gt;=70,4,IF(G475&gt;=60,3.5,IF(G475&gt;=50,3,IF(G475&gt;=40,2,IF(G475&gt;=33,1,0)))))))</f>
        <v/>
      </c>
      <c r="AF475">
        <f>IF(H475+I475&lt;66,0,IF((H475+I475)/2&gt;=80,5,IF((H475+I475)/2&gt;=70,4,IF((H475+I475)/2&gt;=60,3.5,IF((H475+I475)/2&gt;=50,3,IF((H475+I475)/2&gt;=40,2,IF((H475+I475)/2&gt;=33,1,0)))))))</f>
        <v/>
      </c>
      <c r="AG475">
        <f>IF(Y475,0,IF((J475+K475+L475+M475)/2&gt;=80,5,IF((J475+K475+L475+M475)/2&gt;=70,4,IF((J475+K475+L475+M475)/2&gt;=60,3.5,IF((J475+K475+L475+M475)/2&gt;=50,3,IF((J475+K475+L475+M475)/2&gt;=40,2,IF((J475+K475+L475+M475)/2&gt;=33,1,0)))))))</f>
        <v/>
      </c>
      <c r="AH475">
        <f>IF(Z475,0,IF(N475+O475&gt;=80,5,IF(N475+O475&gt;=70,4,IF(N475+O475&gt;=60,3.5,IF(N475+O475&gt;=50,3,IF(N475+O475&gt;=40,2,IF(N475+O475&gt;=33,1,0)))))))</f>
        <v/>
      </c>
      <c r="AI475">
        <f>IF(AA475,0,IF(P475+Q475&gt;=80,5,IF(P475+Q475&gt;=70,4,IF(P475+Q475&gt;=60,3.5,IF(P475+Q475&gt;=50,3,IF(P475+Q475&gt;=40,2,IF(P475+Q475&gt;=33,1,0)))))))</f>
        <v/>
      </c>
      <c r="AJ475">
        <f>IF(R475&lt;8.25,0,IF(R475*2&gt;=80,5,IF(R475*2&gt;=70,4,IF(R475*2&gt;=60,3.5,IF(R475*2&gt;=50,3,IF(R475*2&gt;=40,2,IF(R475*2&gt;=33,1,0)))))))</f>
        <v/>
      </c>
      <c r="AK475">
        <f>IF(S475&lt;33,0,IF(S475&gt;=80,5,IF(S475&gt;=70,4,IF(S475&gt;=60,3.5,IF(S475&gt;=50,3,IF(S475&gt;=40,2,IF(S475&gt;=33,1,0)))))))</f>
        <v/>
      </c>
      <c r="AL475">
        <f>(AC475+AD475+AE475+AF475+AG475+AH475+AI475+AJ475)/8</f>
        <v/>
      </c>
      <c r="AM475">
        <f>IF(AK475&gt;=2,(AK475-2)/8,0)</f>
        <v/>
      </c>
    </row>
    <row r="476">
      <c r="T476">
        <f>SUM(C476:R476)</f>
        <v/>
      </c>
      <c r="U476" s="6">
        <f>ROUND(T476/11.5,2)</f>
        <v/>
      </c>
      <c r="V476" s="7">
        <f>IF(B476="","",IF(AB476,0,ROUND(AL476,2)))</f>
        <v/>
      </c>
      <c r="W476" s="7">
        <f>IF(B476="","",IF(AB476,0,MIN(5,ROUND(AL476+AM476,2))))</f>
        <v/>
      </c>
      <c r="X476" s="8">
        <f>IF(B476="","",IF(W476&gt;=5,"A+",IF(W476&gt;=4,"A",IF(W476&gt;=3.5,"A-",IF(W476&gt;=3,"B",IF(W476&gt;=2,"C",IF(W476&gt;=1,"D","F")))))))</f>
        <v/>
      </c>
      <c r="Y476">
        <f>NOT(OR(AND(J476&gt;=10,K476&gt;=23,L476&gt;=10,M476&gt;=23),AND(J476+L476&gt;=20,K476+M476&gt;=46)))</f>
        <v/>
      </c>
      <c r="Z476">
        <f>OR(N476&lt;10,O476&lt;23)</f>
        <v/>
      </c>
      <c r="AA476">
        <f>OR(P476&lt;10,Q476&lt;23)</f>
        <v/>
      </c>
      <c r="AB476">
        <f>OR((C476+D476)&lt;66,(E476+F476)&lt;66,G476&lt;33,(H476+I476)&lt;66,Y476,Z476,AA476,R476&lt;8.25)</f>
        <v/>
      </c>
      <c r="AC476">
        <f>IF(C476+D476&lt;66,0,IF((C476+D476)/2&gt;=80,5,IF((C476+D476)/2&gt;=70,4,IF((C476+D476)/2&gt;=60,3.5,IF((C476+D476)/2&gt;=50,3,IF((C476+D476)/2&gt;=40,2,IF((C476+D476)/2&gt;=33,1,0)))))))</f>
        <v/>
      </c>
      <c r="AD476">
        <f>IF(E476+F476&lt;66,0,IF((E476+F476)/2&gt;=80,5,IF((E476+F476)/2&gt;=70,4,IF((E476+F476)/2&gt;=60,3.5,IF((E476+F476)/2&gt;=50,3,IF((E476+F476)/2&gt;=40,2,IF((E476+F476)/2&gt;=33,1,0)))))))</f>
        <v/>
      </c>
      <c r="AE476">
        <f>IF(G476&lt;33,0,IF(G476&gt;=80,5,IF(G476&gt;=70,4,IF(G476&gt;=60,3.5,IF(G476&gt;=50,3,IF(G476&gt;=40,2,IF(G476&gt;=33,1,0)))))))</f>
        <v/>
      </c>
      <c r="AF476">
        <f>IF(H476+I476&lt;66,0,IF((H476+I476)/2&gt;=80,5,IF((H476+I476)/2&gt;=70,4,IF((H476+I476)/2&gt;=60,3.5,IF((H476+I476)/2&gt;=50,3,IF((H476+I476)/2&gt;=40,2,IF((H476+I476)/2&gt;=33,1,0)))))))</f>
        <v/>
      </c>
      <c r="AG476">
        <f>IF(Y476,0,IF((J476+K476+L476+M476)/2&gt;=80,5,IF((J476+K476+L476+M476)/2&gt;=70,4,IF((J476+K476+L476+M476)/2&gt;=60,3.5,IF((J476+K476+L476+M476)/2&gt;=50,3,IF((J476+K476+L476+M476)/2&gt;=40,2,IF((J476+K476+L476+M476)/2&gt;=33,1,0)))))))</f>
        <v/>
      </c>
      <c r="AH476">
        <f>IF(Z476,0,IF(N476+O476&gt;=80,5,IF(N476+O476&gt;=70,4,IF(N476+O476&gt;=60,3.5,IF(N476+O476&gt;=50,3,IF(N476+O476&gt;=40,2,IF(N476+O476&gt;=33,1,0)))))))</f>
        <v/>
      </c>
      <c r="AI476">
        <f>IF(AA476,0,IF(P476+Q476&gt;=80,5,IF(P476+Q476&gt;=70,4,IF(P476+Q476&gt;=60,3.5,IF(P476+Q476&gt;=50,3,IF(P476+Q476&gt;=40,2,IF(P476+Q476&gt;=33,1,0)))))))</f>
        <v/>
      </c>
      <c r="AJ476">
        <f>IF(R476&lt;8.25,0,IF(R476*2&gt;=80,5,IF(R476*2&gt;=70,4,IF(R476*2&gt;=60,3.5,IF(R476*2&gt;=50,3,IF(R476*2&gt;=40,2,IF(R476*2&gt;=33,1,0)))))))</f>
        <v/>
      </c>
      <c r="AK476">
        <f>IF(S476&lt;33,0,IF(S476&gt;=80,5,IF(S476&gt;=70,4,IF(S476&gt;=60,3.5,IF(S476&gt;=50,3,IF(S476&gt;=40,2,IF(S476&gt;=33,1,0)))))))</f>
        <v/>
      </c>
      <c r="AL476">
        <f>(AC476+AD476+AE476+AF476+AG476+AH476+AI476+AJ476)/8</f>
        <v/>
      </c>
      <c r="AM476">
        <f>IF(AK476&gt;=2,(AK476-2)/8,0)</f>
        <v/>
      </c>
    </row>
    <row r="477">
      <c r="T477">
        <f>SUM(C477:R477)</f>
        <v/>
      </c>
      <c r="U477" s="6">
        <f>ROUND(T477/11.5,2)</f>
        <v/>
      </c>
      <c r="V477" s="7">
        <f>IF(B477="","",IF(AB477,0,ROUND(AL477,2)))</f>
        <v/>
      </c>
      <c r="W477" s="7">
        <f>IF(B477="","",IF(AB477,0,MIN(5,ROUND(AL477+AM477,2))))</f>
        <v/>
      </c>
      <c r="X477" s="8">
        <f>IF(B477="","",IF(W477&gt;=5,"A+",IF(W477&gt;=4,"A",IF(W477&gt;=3.5,"A-",IF(W477&gt;=3,"B",IF(W477&gt;=2,"C",IF(W477&gt;=1,"D","F")))))))</f>
        <v/>
      </c>
      <c r="Y477">
        <f>NOT(OR(AND(J477&gt;=10,K477&gt;=23,L477&gt;=10,M477&gt;=23),AND(J477+L477&gt;=20,K477+M477&gt;=46)))</f>
        <v/>
      </c>
      <c r="Z477">
        <f>OR(N477&lt;10,O477&lt;23)</f>
        <v/>
      </c>
      <c r="AA477">
        <f>OR(P477&lt;10,Q477&lt;23)</f>
        <v/>
      </c>
      <c r="AB477">
        <f>OR((C477+D477)&lt;66,(E477+F477)&lt;66,G477&lt;33,(H477+I477)&lt;66,Y477,Z477,AA477,R477&lt;8.25)</f>
        <v/>
      </c>
      <c r="AC477">
        <f>IF(C477+D477&lt;66,0,IF((C477+D477)/2&gt;=80,5,IF((C477+D477)/2&gt;=70,4,IF((C477+D477)/2&gt;=60,3.5,IF((C477+D477)/2&gt;=50,3,IF((C477+D477)/2&gt;=40,2,IF((C477+D477)/2&gt;=33,1,0)))))))</f>
        <v/>
      </c>
      <c r="AD477">
        <f>IF(E477+F477&lt;66,0,IF((E477+F477)/2&gt;=80,5,IF((E477+F477)/2&gt;=70,4,IF((E477+F477)/2&gt;=60,3.5,IF((E477+F477)/2&gt;=50,3,IF((E477+F477)/2&gt;=40,2,IF((E477+F477)/2&gt;=33,1,0)))))))</f>
        <v/>
      </c>
      <c r="AE477">
        <f>IF(G477&lt;33,0,IF(G477&gt;=80,5,IF(G477&gt;=70,4,IF(G477&gt;=60,3.5,IF(G477&gt;=50,3,IF(G477&gt;=40,2,IF(G477&gt;=33,1,0)))))))</f>
        <v/>
      </c>
      <c r="AF477">
        <f>IF(H477+I477&lt;66,0,IF((H477+I477)/2&gt;=80,5,IF((H477+I477)/2&gt;=70,4,IF((H477+I477)/2&gt;=60,3.5,IF((H477+I477)/2&gt;=50,3,IF((H477+I477)/2&gt;=40,2,IF((H477+I477)/2&gt;=33,1,0)))))))</f>
        <v/>
      </c>
      <c r="AG477">
        <f>IF(Y477,0,IF((J477+K477+L477+M477)/2&gt;=80,5,IF((J477+K477+L477+M477)/2&gt;=70,4,IF((J477+K477+L477+M477)/2&gt;=60,3.5,IF((J477+K477+L477+M477)/2&gt;=50,3,IF((J477+K477+L477+M477)/2&gt;=40,2,IF((J477+K477+L477+M477)/2&gt;=33,1,0)))))))</f>
        <v/>
      </c>
      <c r="AH477">
        <f>IF(Z477,0,IF(N477+O477&gt;=80,5,IF(N477+O477&gt;=70,4,IF(N477+O477&gt;=60,3.5,IF(N477+O477&gt;=50,3,IF(N477+O477&gt;=40,2,IF(N477+O477&gt;=33,1,0)))))))</f>
        <v/>
      </c>
      <c r="AI477">
        <f>IF(AA477,0,IF(P477+Q477&gt;=80,5,IF(P477+Q477&gt;=70,4,IF(P477+Q477&gt;=60,3.5,IF(P477+Q477&gt;=50,3,IF(P477+Q477&gt;=40,2,IF(P477+Q477&gt;=33,1,0)))))))</f>
        <v/>
      </c>
      <c r="AJ477">
        <f>IF(R477&lt;8.25,0,IF(R477*2&gt;=80,5,IF(R477*2&gt;=70,4,IF(R477*2&gt;=60,3.5,IF(R477*2&gt;=50,3,IF(R477*2&gt;=40,2,IF(R477*2&gt;=33,1,0)))))))</f>
        <v/>
      </c>
      <c r="AK477">
        <f>IF(S477&lt;33,0,IF(S477&gt;=80,5,IF(S477&gt;=70,4,IF(S477&gt;=60,3.5,IF(S477&gt;=50,3,IF(S477&gt;=40,2,IF(S477&gt;=33,1,0)))))))</f>
        <v/>
      </c>
      <c r="AL477">
        <f>(AC477+AD477+AE477+AF477+AG477+AH477+AI477+AJ477)/8</f>
        <v/>
      </c>
      <c r="AM477">
        <f>IF(AK477&gt;=2,(AK477-2)/8,0)</f>
        <v/>
      </c>
    </row>
    <row r="478">
      <c r="T478">
        <f>SUM(C478:R478)</f>
        <v/>
      </c>
      <c r="U478" s="6">
        <f>ROUND(T478/11.5,2)</f>
        <v/>
      </c>
      <c r="V478" s="7">
        <f>IF(B478="","",IF(AB478,0,ROUND(AL478,2)))</f>
        <v/>
      </c>
      <c r="W478" s="7">
        <f>IF(B478="","",IF(AB478,0,MIN(5,ROUND(AL478+AM478,2))))</f>
        <v/>
      </c>
      <c r="X478" s="8">
        <f>IF(B478="","",IF(W478&gt;=5,"A+",IF(W478&gt;=4,"A",IF(W478&gt;=3.5,"A-",IF(W478&gt;=3,"B",IF(W478&gt;=2,"C",IF(W478&gt;=1,"D","F")))))))</f>
        <v/>
      </c>
      <c r="Y478">
        <f>NOT(OR(AND(J478&gt;=10,K478&gt;=23,L478&gt;=10,M478&gt;=23),AND(J478+L478&gt;=20,K478+M478&gt;=46)))</f>
        <v/>
      </c>
      <c r="Z478">
        <f>OR(N478&lt;10,O478&lt;23)</f>
        <v/>
      </c>
      <c r="AA478">
        <f>OR(P478&lt;10,Q478&lt;23)</f>
        <v/>
      </c>
      <c r="AB478">
        <f>OR((C478+D478)&lt;66,(E478+F478)&lt;66,G478&lt;33,(H478+I478)&lt;66,Y478,Z478,AA478,R478&lt;8.25)</f>
        <v/>
      </c>
      <c r="AC478">
        <f>IF(C478+D478&lt;66,0,IF((C478+D478)/2&gt;=80,5,IF((C478+D478)/2&gt;=70,4,IF((C478+D478)/2&gt;=60,3.5,IF((C478+D478)/2&gt;=50,3,IF((C478+D478)/2&gt;=40,2,IF((C478+D478)/2&gt;=33,1,0)))))))</f>
        <v/>
      </c>
      <c r="AD478">
        <f>IF(E478+F478&lt;66,0,IF((E478+F478)/2&gt;=80,5,IF((E478+F478)/2&gt;=70,4,IF((E478+F478)/2&gt;=60,3.5,IF((E478+F478)/2&gt;=50,3,IF((E478+F478)/2&gt;=40,2,IF((E478+F478)/2&gt;=33,1,0)))))))</f>
        <v/>
      </c>
      <c r="AE478">
        <f>IF(G478&lt;33,0,IF(G478&gt;=80,5,IF(G478&gt;=70,4,IF(G478&gt;=60,3.5,IF(G478&gt;=50,3,IF(G478&gt;=40,2,IF(G478&gt;=33,1,0)))))))</f>
        <v/>
      </c>
      <c r="AF478">
        <f>IF(H478+I478&lt;66,0,IF((H478+I478)/2&gt;=80,5,IF((H478+I478)/2&gt;=70,4,IF((H478+I478)/2&gt;=60,3.5,IF((H478+I478)/2&gt;=50,3,IF((H478+I478)/2&gt;=40,2,IF((H478+I478)/2&gt;=33,1,0)))))))</f>
        <v/>
      </c>
      <c r="AG478">
        <f>IF(Y478,0,IF((J478+K478+L478+M478)/2&gt;=80,5,IF((J478+K478+L478+M478)/2&gt;=70,4,IF((J478+K478+L478+M478)/2&gt;=60,3.5,IF((J478+K478+L478+M478)/2&gt;=50,3,IF((J478+K478+L478+M478)/2&gt;=40,2,IF((J478+K478+L478+M478)/2&gt;=33,1,0)))))))</f>
        <v/>
      </c>
      <c r="AH478">
        <f>IF(Z478,0,IF(N478+O478&gt;=80,5,IF(N478+O478&gt;=70,4,IF(N478+O478&gt;=60,3.5,IF(N478+O478&gt;=50,3,IF(N478+O478&gt;=40,2,IF(N478+O478&gt;=33,1,0)))))))</f>
        <v/>
      </c>
      <c r="AI478">
        <f>IF(AA478,0,IF(P478+Q478&gt;=80,5,IF(P478+Q478&gt;=70,4,IF(P478+Q478&gt;=60,3.5,IF(P478+Q478&gt;=50,3,IF(P478+Q478&gt;=40,2,IF(P478+Q478&gt;=33,1,0)))))))</f>
        <v/>
      </c>
      <c r="AJ478">
        <f>IF(R478&lt;8.25,0,IF(R478*2&gt;=80,5,IF(R478*2&gt;=70,4,IF(R478*2&gt;=60,3.5,IF(R478*2&gt;=50,3,IF(R478*2&gt;=40,2,IF(R478*2&gt;=33,1,0)))))))</f>
        <v/>
      </c>
      <c r="AK478">
        <f>IF(S478&lt;33,0,IF(S478&gt;=80,5,IF(S478&gt;=70,4,IF(S478&gt;=60,3.5,IF(S478&gt;=50,3,IF(S478&gt;=40,2,IF(S478&gt;=33,1,0)))))))</f>
        <v/>
      </c>
      <c r="AL478">
        <f>(AC478+AD478+AE478+AF478+AG478+AH478+AI478+AJ478)/8</f>
        <v/>
      </c>
      <c r="AM478">
        <f>IF(AK478&gt;=2,(AK478-2)/8,0)</f>
        <v/>
      </c>
    </row>
    <row r="479">
      <c r="T479">
        <f>SUM(C479:R479)</f>
        <v/>
      </c>
      <c r="U479" s="6">
        <f>ROUND(T479/11.5,2)</f>
        <v/>
      </c>
      <c r="V479" s="7">
        <f>IF(B479="","",IF(AB479,0,ROUND(AL479,2)))</f>
        <v/>
      </c>
      <c r="W479" s="7">
        <f>IF(B479="","",IF(AB479,0,MIN(5,ROUND(AL479+AM479,2))))</f>
        <v/>
      </c>
      <c r="X479" s="8">
        <f>IF(B479="","",IF(W479&gt;=5,"A+",IF(W479&gt;=4,"A",IF(W479&gt;=3.5,"A-",IF(W479&gt;=3,"B",IF(W479&gt;=2,"C",IF(W479&gt;=1,"D","F")))))))</f>
        <v/>
      </c>
      <c r="Y479">
        <f>NOT(OR(AND(J479&gt;=10,K479&gt;=23,L479&gt;=10,M479&gt;=23),AND(J479+L479&gt;=20,K479+M479&gt;=46)))</f>
        <v/>
      </c>
      <c r="Z479">
        <f>OR(N479&lt;10,O479&lt;23)</f>
        <v/>
      </c>
      <c r="AA479">
        <f>OR(P479&lt;10,Q479&lt;23)</f>
        <v/>
      </c>
      <c r="AB479">
        <f>OR((C479+D479)&lt;66,(E479+F479)&lt;66,G479&lt;33,(H479+I479)&lt;66,Y479,Z479,AA479,R479&lt;8.25)</f>
        <v/>
      </c>
      <c r="AC479">
        <f>IF(C479+D479&lt;66,0,IF((C479+D479)/2&gt;=80,5,IF((C479+D479)/2&gt;=70,4,IF((C479+D479)/2&gt;=60,3.5,IF((C479+D479)/2&gt;=50,3,IF((C479+D479)/2&gt;=40,2,IF((C479+D479)/2&gt;=33,1,0)))))))</f>
        <v/>
      </c>
      <c r="AD479">
        <f>IF(E479+F479&lt;66,0,IF((E479+F479)/2&gt;=80,5,IF((E479+F479)/2&gt;=70,4,IF((E479+F479)/2&gt;=60,3.5,IF((E479+F479)/2&gt;=50,3,IF((E479+F479)/2&gt;=40,2,IF((E479+F479)/2&gt;=33,1,0)))))))</f>
        <v/>
      </c>
      <c r="AE479">
        <f>IF(G479&lt;33,0,IF(G479&gt;=80,5,IF(G479&gt;=70,4,IF(G479&gt;=60,3.5,IF(G479&gt;=50,3,IF(G479&gt;=40,2,IF(G479&gt;=33,1,0)))))))</f>
        <v/>
      </c>
      <c r="AF479">
        <f>IF(H479+I479&lt;66,0,IF((H479+I479)/2&gt;=80,5,IF((H479+I479)/2&gt;=70,4,IF((H479+I479)/2&gt;=60,3.5,IF((H479+I479)/2&gt;=50,3,IF((H479+I479)/2&gt;=40,2,IF((H479+I479)/2&gt;=33,1,0)))))))</f>
        <v/>
      </c>
      <c r="AG479">
        <f>IF(Y479,0,IF((J479+K479+L479+M479)/2&gt;=80,5,IF((J479+K479+L479+M479)/2&gt;=70,4,IF((J479+K479+L479+M479)/2&gt;=60,3.5,IF((J479+K479+L479+M479)/2&gt;=50,3,IF((J479+K479+L479+M479)/2&gt;=40,2,IF((J479+K479+L479+M479)/2&gt;=33,1,0)))))))</f>
        <v/>
      </c>
      <c r="AH479">
        <f>IF(Z479,0,IF(N479+O479&gt;=80,5,IF(N479+O479&gt;=70,4,IF(N479+O479&gt;=60,3.5,IF(N479+O479&gt;=50,3,IF(N479+O479&gt;=40,2,IF(N479+O479&gt;=33,1,0)))))))</f>
        <v/>
      </c>
      <c r="AI479">
        <f>IF(AA479,0,IF(P479+Q479&gt;=80,5,IF(P479+Q479&gt;=70,4,IF(P479+Q479&gt;=60,3.5,IF(P479+Q479&gt;=50,3,IF(P479+Q479&gt;=40,2,IF(P479+Q479&gt;=33,1,0)))))))</f>
        <v/>
      </c>
      <c r="AJ479">
        <f>IF(R479&lt;8.25,0,IF(R479*2&gt;=80,5,IF(R479*2&gt;=70,4,IF(R479*2&gt;=60,3.5,IF(R479*2&gt;=50,3,IF(R479*2&gt;=40,2,IF(R479*2&gt;=33,1,0)))))))</f>
        <v/>
      </c>
      <c r="AK479">
        <f>IF(S479&lt;33,0,IF(S479&gt;=80,5,IF(S479&gt;=70,4,IF(S479&gt;=60,3.5,IF(S479&gt;=50,3,IF(S479&gt;=40,2,IF(S479&gt;=33,1,0)))))))</f>
        <v/>
      </c>
      <c r="AL479">
        <f>(AC479+AD479+AE479+AF479+AG479+AH479+AI479+AJ479)/8</f>
        <v/>
      </c>
      <c r="AM479">
        <f>IF(AK479&gt;=2,(AK479-2)/8,0)</f>
        <v/>
      </c>
    </row>
    <row r="480">
      <c r="T480">
        <f>SUM(C480:R480)</f>
        <v/>
      </c>
      <c r="U480" s="6">
        <f>ROUND(T480/11.5,2)</f>
        <v/>
      </c>
      <c r="V480" s="7">
        <f>IF(B480="","",IF(AB480,0,ROUND(AL480,2)))</f>
        <v/>
      </c>
      <c r="W480" s="7">
        <f>IF(B480="","",IF(AB480,0,MIN(5,ROUND(AL480+AM480,2))))</f>
        <v/>
      </c>
      <c r="X480" s="8">
        <f>IF(B480="","",IF(W480&gt;=5,"A+",IF(W480&gt;=4,"A",IF(W480&gt;=3.5,"A-",IF(W480&gt;=3,"B",IF(W480&gt;=2,"C",IF(W480&gt;=1,"D","F")))))))</f>
        <v/>
      </c>
      <c r="Y480">
        <f>NOT(OR(AND(J480&gt;=10,K480&gt;=23,L480&gt;=10,M480&gt;=23),AND(J480+L480&gt;=20,K480+M480&gt;=46)))</f>
        <v/>
      </c>
      <c r="Z480">
        <f>OR(N480&lt;10,O480&lt;23)</f>
        <v/>
      </c>
      <c r="AA480">
        <f>OR(P480&lt;10,Q480&lt;23)</f>
        <v/>
      </c>
      <c r="AB480">
        <f>OR((C480+D480)&lt;66,(E480+F480)&lt;66,G480&lt;33,(H480+I480)&lt;66,Y480,Z480,AA480,R480&lt;8.25)</f>
        <v/>
      </c>
      <c r="AC480">
        <f>IF(C480+D480&lt;66,0,IF((C480+D480)/2&gt;=80,5,IF((C480+D480)/2&gt;=70,4,IF((C480+D480)/2&gt;=60,3.5,IF((C480+D480)/2&gt;=50,3,IF((C480+D480)/2&gt;=40,2,IF((C480+D480)/2&gt;=33,1,0)))))))</f>
        <v/>
      </c>
      <c r="AD480">
        <f>IF(E480+F480&lt;66,0,IF((E480+F480)/2&gt;=80,5,IF((E480+F480)/2&gt;=70,4,IF((E480+F480)/2&gt;=60,3.5,IF((E480+F480)/2&gt;=50,3,IF((E480+F480)/2&gt;=40,2,IF((E480+F480)/2&gt;=33,1,0)))))))</f>
        <v/>
      </c>
      <c r="AE480">
        <f>IF(G480&lt;33,0,IF(G480&gt;=80,5,IF(G480&gt;=70,4,IF(G480&gt;=60,3.5,IF(G480&gt;=50,3,IF(G480&gt;=40,2,IF(G480&gt;=33,1,0)))))))</f>
        <v/>
      </c>
      <c r="AF480">
        <f>IF(H480+I480&lt;66,0,IF((H480+I480)/2&gt;=80,5,IF((H480+I480)/2&gt;=70,4,IF((H480+I480)/2&gt;=60,3.5,IF((H480+I480)/2&gt;=50,3,IF((H480+I480)/2&gt;=40,2,IF((H480+I480)/2&gt;=33,1,0)))))))</f>
        <v/>
      </c>
      <c r="AG480">
        <f>IF(Y480,0,IF((J480+K480+L480+M480)/2&gt;=80,5,IF((J480+K480+L480+M480)/2&gt;=70,4,IF((J480+K480+L480+M480)/2&gt;=60,3.5,IF((J480+K480+L480+M480)/2&gt;=50,3,IF((J480+K480+L480+M480)/2&gt;=40,2,IF((J480+K480+L480+M480)/2&gt;=33,1,0)))))))</f>
        <v/>
      </c>
      <c r="AH480">
        <f>IF(Z480,0,IF(N480+O480&gt;=80,5,IF(N480+O480&gt;=70,4,IF(N480+O480&gt;=60,3.5,IF(N480+O480&gt;=50,3,IF(N480+O480&gt;=40,2,IF(N480+O480&gt;=33,1,0)))))))</f>
        <v/>
      </c>
      <c r="AI480">
        <f>IF(AA480,0,IF(P480+Q480&gt;=80,5,IF(P480+Q480&gt;=70,4,IF(P480+Q480&gt;=60,3.5,IF(P480+Q480&gt;=50,3,IF(P480+Q480&gt;=40,2,IF(P480+Q480&gt;=33,1,0)))))))</f>
        <v/>
      </c>
      <c r="AJ480">
        <f>IF(R480&lt;8.25,0,IF(R480*2&gt;=80,5,IF(R480*2&gt;=70,4,IF(R480*2&gt;=60,3.5,IF(R480*2&gt;=50,3,IF(R480*2&gt;=40,2,IF(R480*2&gt;=33,1,0)))))))</f>
        <v/>
      </c>
      <c r="AK480">
        <f>IF(S480&lt;33,0,IF(S480&gt;=80,5,IF(S480&gt;=70,4,IF(S480&gt;=60,3.5,IF(S480&gt;=50,3,IF(S480&gt;=40,2,IF(S480&gt;=33,1,0)))))))</f>
        <v/>
      </c>
      <c r="AL480">
        <f>(AC480+AD480+AE480+AF480+AG480+AH480+AI480+AJ480)/8</f>
        <v/>
      </c>
      <c r="AM480">
        <f>IF(AK480&gt;=2,(AK480-2)/8,0)</f>
        <v/>
      </c>
    </row>
    <row r="481">
      <c r="T481">
        <f>SUM(C481:R481)</f>
        <v/>
      </c>
      <c r="U481" s="6">
        <f>ROUND(T481/11.5,2)</f>
        <v/>
      </c>
      <c r="V481" s="7">
        <f>IF(B481="","",IF(AB481,0,ROUND(AL481,2)))</f>
        <v/>
      </c>
      <c r="W481" s="7">
        <f>IF(B481="","",IF(AB481,0,MIN(5,ROUND(AL481+AM481,2))))</f>
        <v/>
      </c>
      <c r="X481" s="8">
        <f>IF(B481="","",IF(W481&gt;=5,"A+",IF(W481&gt;=4,"A",IF(W481&gt;=3.5,"A-",IF(W481&gt;=3,"B",IF(W481&gt;=2,"C",IF(W481&gt;=1,"D","F")))))))</f>
        <v/>
      </c>
      <c r="Y481">
        <f>NOT(OR(AND(J481&gt;=10,K481&gt;=23,L481&gt;=10,M481&gt;=23),AND(J481+L481&gt;=20,K481+M481&gt;=46)))</f>
        <v/>
      </c>
      <c r="Z481">
        <f>OR(N481&lt;10,O481&lt;23)</f>
        <v/>
      </c>
      <c r="AA481">
        <f>OR(P481&lt;10,Q481&lt;23)</f>
        <v/>
      </c>
      <c r="AB481">
        <f>OR((C481+D481)&lt;66,(E481+F481)&lt;66,G481&lt;33,(H481+I481)&lt;66,Y481,Z481,AA481,R481&lt;8.25)</f>
        <v/>
      </c>
      <c r="AC481">
        <f>IF(C481+D481&lt;66,0,IF((C481+D481)/2&gt;=80,5,IF((C481+D481)/2&gt;=70,4,IF((C481+D481)/2&gt;=60,3.5,IF((C481+D481)/2&gt;=50,3,IF((C481+D481)/2&gt;=40,2,IF((C481+D481)/2&gt;=33,1,0)))))))</f>
        <v/>
      </c>
      <c r="AD481">
        <f>IF(E481+F481&lt;66,0,IF((E481+F481)/2&gt;=80,5,IF((E481+F481)/2&gt;=70,4,IF((E481+F481)/2&gt;=60,3.5,IF((E481+F481)/2&gt;=50,3,IF((E481+F481)/2&gt;=40,2,IF((E481+F481)/2&gt;=33,1,0)))))))</f>
        <v/>
      </c>
      <c r="AE481">
        <f>IF(G481&lt;33,0,IF(G481&gt;=80,5,IF(G481&gt;=70,4,IF(G481&gt;=60,3.5,IF(G481&gt;=50,3,IF(G481&gt;=40,2,IF(G481&gt;=33,1,0)))))))</f>
        <v/>
      </c>
      <c r="AF481">
        <f>IF(H481+I481&lt;66,0,IF((H481+I481)/2&gt;=80,5,IF((H481+I481)/2&gt;=70,4,IF((H481+I481)/2&gt;=60,3.5,IF((H481+I481)/2&gt;=50,3,IF((H481+I481)/2&gt;=40,2,IF((H481+I481)/2&gt;=33,1,0)))))))</f>
        <v/>
      </c>
      <c r="AG481">
        <f>IF(Y481,0,IF((J481+K481+L481+M481)/2&gt;=80,5,IF((J481+K481+L481+M481)/2&gt;=70,4,IF((J481+K481+L481+M481)/2&gt;=60,3.5,IF((J481+K481+L481+M481)/2&gt;=50,3,IF((J481+K481+L481+M481)/2&gt;=40,2,IF((J481+K481+L481+M481)/2&gt;=33,1,0)))))))</f>
        <v/>
      </c>
      <c r="AH481">
        <f>IF(Z481,0,IF(N481+O481&gt;=80,5,IF(N481+O481&gt;=70,4,IF(N481+O481&gt;=60,3.5,IF(N481+O481&gt;=50,3,IF(N481+O481&gt;=40,2,IF(N481+O481&gt;=33,1,0)))))))</f>
        <v/>
      </c>
      <c r="AI481">
        <f>IF(AA481,0,IF(P481+Q481&gt;=80,5,IF(P481+Q481&gt;=70,4,IF(P481+Q481&gt;=60,3.5,IF(P481+Q481&gt;=50,3,IF(P481+Q481&gt;=40,2,IF(P481+Q481&gt;=33,1,0)))))))</f>
        <v/>
      </c>
      <c r="AJ481">
        <f>IF(R481&lt;8.25,0,IF(R481*2&gt;=80,5,IF(R481*2&gt;=70,4,IF(R481*2&gt;=60,3.5,IF(R481*2&gt;=50,3,IF(R481*2&gt;=40,2,IF(R481*2&gt;=33,1,0)))))))</f>
        <v/>
      </c>
      <c r="AK481">
        <f>IF(S481&lt;33,0,IF(S481&gt;=80,5,IF(S481&gt;=70,4,IF(S481&gt;=60,3.5,IF(S481&gt;=50,3,IF(S481&gt;=40,2,IF(S481&gt;=33,1,0)))))))</f>
        <v/>
      </c>
      <c r="AL481">
        <f>(AC481+AD481+AE481+AF481+AG481+AH481+AI481+AJ481)/8</f>
        <v/>
      </c>
      <c r="AM481">
        <f>IF(AK481&gt;=2,(AK481-2)/8,0)</f>
        <v/>
      </c>
    </row>
    <row r="482">
      <c r="T482">
        <f>SUM(C482:R482)</f>
        <v/>
      </c>
      <c r="U482" s="6">
        <f>ROUND(T482/11.5,2)</f>
        <v/>
      </c>
      <c r="V482" s="7">
        <f>IF(B482="","",IF(AB482,0,ROUND(AL482,2)))</f>
        <v/>
      </c>
      <c r="W482" s="7">
        <f>IF(B482="","",IF(AB482,0,MIN(5,ROUND(AL482+AM482,2))))</f>
        <v/>
      </c>
      <c r="X482" s="8">
        <f>IF(B482="","",IF(W482&gt;=5,"A+",IF(W482&gt;=4,"A",IF(W482&gt;=3.5,"A-",IF(W482&gt;=3,"B",IF(W482&gt;=2,"C",IF(W482&gt;=1,"D","F")))))))</f>
        <v/>
      </c>
      <c r="Y482">
        <f>NOT(OR(AND(J482&gt;=10,K482&gt;=23,L482&gt;=10,M482&gt;=23),AND(J482+L482&gt;=20,K482+M482&gt;=46)))</f>
        <v/>
      </c>
      <c r="Z482">
        <f>OR(N482&lt;10,O482&lt;23)</f>
        <v/>
      </c>
      <c r="AA482">
        <f>OR(P482&lt;10,Q482&lt;23)</f>
        <v/>
      </c>
      <c r="AB482">
        <f>OR((C482+D482)&lt;66,(E482+F482)&lt;66,G482&lt;33,(H482+I482)&lt;66,Y482,Z482,AA482,R482&lt;8.25)</f>
        <v/>
      </c>
      <c r="AC482">
        <f>IF(C482+D482&lt;66,0,IF((C482+D482)/2&gt;=80,5,IF((C482+D482)/2&gt;=70,4,IF((C482+D482)/2&gt;=60,3.5,IF((C482+D482)/2&gt;=50,3,IF((C482+D482)/2&gt;=40,2,IF((C482+D482)/2&gt;=33,1,0)))))))</f>
        <v/>
      </c>
      <c r="AD482">
        <f>IF(E482+F482&lt;66,0,IF((E482+F482)/2&gt;=80,5,IF((E482+F482)/2&gt;=70,4,IF((E482+F482)/2&gt;=60,3.5,IF((E482+F482)/2&gt;=50,3,IF((E482+F482)/2&gt;=40,2,IF((E482+F482)/2&gt;=33,1,0)))))))</f>
        <v/>
      </c>
      <c r="AE482">
        <f>IF(G482&lt;33,0,IF(G482&gt;=80,5,IF(G482&gt;=70,4,IF(G482&gt;=60,3.5,IF(G482&gt;=50,3,IF(G482&gt;=40,2,IF(G482&gt;=33,1,0)))))))</f>
        <v/>
      </c>
      <c r="AF482">
        <f>IF(H482+I482&lt;66,0,IF((H482+I482)/2&gt;=80,5,IF((H482+I482)/2&gt;=70,4,IF((H482+I482)/2&gt;=60,3.5,IF((H482+I482)/2&gt;=50,3,IF((H482+I482)/2&gt;=40,2,IF((H482+I482)/2&gt;=33,1,0)))))))</f>
        <v/>
      </c>
      <c r="AG482">
        <f>IF(Y482,0,IF((J482+K482+L482+M482)/2&gt;=80,5,IF((J482+K482+L482+M482)/2&gt;=70,4,IF((J482+K482+L482+M482)/2&gt;=60,3.5,IF((J482+K482+L482+M482)/2&gt;=50,3,IF((J482+K482+L482+M482)/2&gt;=40,2,IF((J482+K482+L482+M482)/2&gt;=33,1,0)))))))</f>
        <v/>
      </c>
      <c r="AH482">
        <f>IF(Z482,0,IF(N482+O482&gt;=80,5,IF(N482+O482&gt;=70,4,IF(N482+O482&gt;=60,3.5,IF(N482+O482&gt;=50,3,IF(N482+O482&gt;=40,2,IF(N482+O482&gt;=33,1,0)))))))</f>
        <v/>
      </c>
      <c r="AI482">
        <f>IF(AA482,0,IF(P482+Q482&gt;=80,5,IF(P482+Q482&gt;=70,4,IF(P482+Q482&gt;=60,3.5,IF(P482+Q482&gt;=50,3,IF(P482+Q482&gt;=40,2,IF(P482+Q482&gt;=33,1,0)))))))</f>
        <v/>
      </c>
      <c r="AJ482">
        <f>IF(R482&lt;8.25,0,IF(R482*2&gt;=80,5,IF(R482*2&gt;=70,4,IF(R482*2&gt;=60,3.5,IF(R482*2&gt;=50,3,IF(R482*2&gt;=40,2,IF(R482*2&gt;=33,1,0)))))))</f>
        <v/>
      </c>
      <c r="AK482">
        <f>IF(S482&lt;33,0,IF(S482&gt;=80,5,IF(S482&gt;=70,4,IF(S482&gt;=60,3.5,IF(S482&gt;=50,3,IF(S482&gt;=40,2,IF(S482&gt;=33,1,0)))))))</f>
        <v/>
      </c>
      <c r="AL482">
        <f>(AC482+AD482+AE482+AF482+AG482+AH482+AI482+AJ482)/8</f>
        <v/>
      </c>
      <c r="AM482">
        <f>IF(AK482&gt;=2,(AK482-2)/8,0)</f>
        <v/>
      </c>
    </row>
    <row r="483">
      <c r="T483">
        <f>SUM(C483:R483)</f>
        <v/>
      </c>
      <c r="U483" s="6">
        <f>ROUND(T483/11.5,2)</f>
        <v/>
      </c>
      <c r="V483" s="7">
        <f>IF(B483="","",IF(AB483,0,ROUND(AL483,2)))</f>
        <v/>
      </c>
      <c r="W483" s="7">
        <f>IF(B483="","",IF(AB483,0,MIN(5,ROUND(AL483+AM483,2))))</f>
        <v/>
      </c>
      <c r="X483" s="8">
        <f>IF(B483="","",IF(W483&gt;=5,"A+",IF(W483&gt;=4,"A",IF(W483&gt;=3.5,"A-",IF(W483&gt;=3,"B",IF(W483&gt;=2,"C",IF(W483&gt;=1,"D","F")))))))</f>
        <v/>
      </c>
      <c r="Y483">
        <f>NOT(OR(AND(J483&gt;=10,K483&gt;=23,L483&gt;=10,M483&gt;=23),AND(J483+L483&gt;=20,K483+M483&gt;=46)))</f>
        <v/>
      </c>
      <c r="Z483">
        <f>OR(N483&lt;10,O483&lt;23)</f>
        <v/>
      </c>
      <c r="AA483">
        <f>OR(P483&lt;10,Q483&lt;23)</f>
        <v/>
      </c>
      <c r="AB483">
        <f>OR((C483+D483)&lt;66,(E483+F483)&lt;66,G483&lt;33,(H483+I483)&lt;66,Y483,Z483,AA483,R483&lt;8.25)</f>
        <v/>
      </c>
      <c r="AC483">
        <f>IF(C483+D483&lt;66,0,IF((C483+D483)/2&gt;=80,5,IF((C483+D483)/2&gt;=70,4,IF((C483+D483)/2&gt;=60,3.5,IF((C483+D483)/2&gt;=50,3,IF((C483+D483)/2&gt;=40,2,IF((C483+D483)/2&gt;=33,1,0)))))))</f>
        <v/>
      </c>
      <c r="AD483">
        <f>IF(E483+F483&lt;66,0,IF((E483+F483)/2&gt;=80,5,IF((E483+F483)/2&gt;=70,4,IF((E483+F483)/2&gt;=60,3.5,IF((E483+F483)/2&gt;=50,3,IF((E483+F483)/2&gt;=40,2,IF((E483+F483)/2&gt;=33,1,0)))))))</f>
        <v/>
      </c>
      <c r="AE483">
        <f>IF(G483&lt;33,0,IF(G483&gt;=80,5,IF(G483&gt;=70,4,IF(G483&gt;=60,3.5,IF(G483&gt;=50,3,IF(G483&gt;=40,2,IF(G483&gt;=33,1,0)))))))</f>
        <v/>
      </c>
      <c r="AF483">
        <f>IF(H483+I483&lt;66,0,IF((H483+I483)/2&gt;=80,5,IF((H483+I483)/2&gt;=70,4,IF((H483+I483)/2&gt;=60,3.5,IF((H483+I483)/2&gt;=50,3,IF((H483+I483)/2&gt;=40,2,IF((H483+I483)/2&gt;=33,1,0)))))))</f>
        <v/>
      </c>
      <c r="AG483">
        <f>IF(Y483,0,IF((J483+K483+L483+M483)/2&gt;=80,5,IF((J483+K483+L483+M483)/2&gt;=70,4,IF((J483+K483+L483+M483)/2&gt;=60,3.5,IF((J483+K483+L483+M483)/2&gt;=50,3,IF((J483+K483+L483+M483)/2&gt;=40,2,IF((J483+K483+L483+M483)/2&gt;=33,1,0)))))))</f>
        <v/>
      </c>
      <c r="AH483">
        <f>IF(Z483,0,IF(N483+O483&gt;=80,5,IF(N483+O483&gt;=70,4,IF(N483+O483&gt;=60,3.5,IF(N483+O483&gt;=50,3,IF(N483+O483&gt;=40,2,IF(N483+O483&gt;=33,1,0)))))))</f>
        <v/>
      </c>
      <c r="AI483">
        <f>IF(AA483,0,IF(P483+Q483&gt;=80,5,IF(P483+Q483&gt;=70,4,IF(P483+Q483&gt;=60,3.5,IF(P483+Q483&gt;=50,3,IF(P483+Q483&gt;=40,2,IF(P483+Q483&gt;=33,1,0)))))))</f>
        <v/>
      </c>
      <c r="AJ483">
        <f>IF(R483&lt;8.25,0,IF(R483*2&gt;=80,5,IF(R483*2&gt;=70,4,IF(R483*2&gt;=60,3.5,IF(R483*2&gt;=50,3,IF(R483*2&gt;=40,2,IF(R483*2&gt;=33,1,0)))))))</f>
        <v/>
      </c>
      <c r="AK483">
        <f>IF(S483&lt;33,0,IF(S483&gt;=80,5,IF(S483&gt;=70,4,IF(S483&gt;=60,3.5,IF(S483&gt;=50,3,IF(S483&gt;=40,2,IF(S483&gt;=33,1,0)))))))</f>
        <v/>
      </c>
      <c r="AL483">
        <f>(AC483+AD483+AE483+AF483+AG483+AH483+AI483+AJ483)/8</f>
        <v/>
      </c>
      <c r="AM483">
        <f>IF(AK483&gt;=2,(AK483-2)/8,0)</f>
        <v/>
      </c>
    </row>
    <row r="484">
      <c r="T484">
        <f>SUM(C484:R484)</f>
        <v/>
      </c>
      <c r="U484" s="6">
        <f>ROUND(T484/11.5,2)</f>
        <v/>
      </c>
      <c r="V484" s="7">
        <f>IF(B484="","",IF(AB484,0,ROUND(AL484,2)))</f>
        <v/>
      </c>
      <c r="W484" s="7">
        <f>IF(B484="","",IF(AB484,0,MIN(5,ROUND(AL484+AM484,2))))</f>
        <v/>
      </c>
      <c r="X484" s="8">
        <f>IF(B484="","",IF(W484&gt;=5,"A+",IF(W484&gt;=4,"A",IF(W484&gt;=3.5,"A-",IF(W484&gt;=3,"B",IF(W484&gt;=2,"C",IF(W484&gt;=1,"D","F")))))))</f>
        <v/>
      </c>
      <c r="Y484">
        <f>NOT(OR(AND(J484&gt;=10,K484&gt;=23,L484&gt;=10,M484&gt;=23),AND(J484+L484&gt;=20,K484+M484&gt;=46)))</f>
        <v/>
      </c>
      <c r="Z484">
        <f>OR(N484&lt;10,O484&lt;23)</f>
        <v/>
      </c>
      <c r="AA484">
        <f>OR(P484&lt;10,Q484&lt;23)</f>
        <v/>
      </c>
      <c r="AB484">
        <f>OR((C484+D484)&lt;66,(E484+F484)&lt;66,G484&lt;33,(H484+I484)&lt;66,Y484,Z484,AA484,R484&lt;8.25)</f>
        <v/>
      </c>
      <c r="AC484">
        <f>IF(C484+D484&lt;66,0,IF((C484+D484)/2&gt;=80,5,IF((C484+D484)/2&gt;=70,4,IF((C484+D484)/2&gt;=60,3.5,IF((C484+D484)/2&gt;=50,3,IF((C484+D484)/2&gt;=40,2,IF((C484+D484)/2&gt;=33,1,0)))))))</f>
        <v/>
      </c>
      <c r="AD484">
        <f>IF(E484+F484&lt;66,0,IF((E484+F484)/2&gt;=80,5,IF((E484+F484)/2&gt;=70,4,IF((E484+F484)/2&gt;=60,3.5,IF((E484+F484)/2&gt;=50,3,IF((E484+F484)/2&gt;=40,2,IF((E484+F484)/2&gt;=33,1,0)))))))</f>
        <v/>
      </c>
      <c r="AE484">
        <f>IF(G484&lt;33,0,IF(G484&gt;=80,5,IF(G484&gt;=70,4,IF(G484&gt;=60,3.5,IF(G484&gt;=50,3,IF(G484&gt;=40,2,IF(G484&gt;=33,1,0)))))))</f>
        <v/>
      </c>
      <c r="AF484">
        <f>IF(H484+I484&lt;66,0,IF((H484+I484)/2&gt;=80,5,IF((H484+I484)/2&gt;=70,4,IF((H484+I484)/2&gt;=60,3.5,IF((H484+I484)/2&gt;=50,3,IF((H484+I484)/2&gt;=40,2,IF((H484+I484)/2&gt;=33,1,0)))))))</f>
        <v/>
      </c>
      <c r="AG484">
        <f>IF(Y484,0,IF((J484+K484+L484+M484)/2&gt;=80,5,IF((J484+K484+L484+M484)/2&gt;=70,4,IF((J484+K484+L484+M484)/2&gt;=60,3.5,IF((J484+K484+L484+M484)/2&gt;=50,3,IF((J484+K484+L484+M484)/2&gt;=40,2,IF((J484+K484+L484+M484)/2&gt;=33,1,0)))))))</f>
        <v/>
      </c>
      <c r="AH484">
        <f>IF(Z484,0,IF(N484+O484&gt;=80,5,IF(N484+O484&gt;=70,4,IF(N484+O484&gt;=60,3.5,IF(N484+O484&gt;=50,3,IF(N484+O484&gt;=40,2,IF(N484+O484&gt;=33,1,0)))))))</f>
        <v/>
      </c>
      <c r="AI484">
        <f>IF(AA484,0,IF(P484+Q484&gt;=80,5,IF(P484+Q484&gt;=70,4,IF(P484+Q484&gt;=60,3.5,IF(P484+Q484&gt;=50,3,IF(P484+Q484&gt;=40,2,IF(P484+Q484&gt;=33,1,0)))))))</f>
        <v/>
      </c>
      <c r="AJ484">
        <f>IF(R484&lt;8.25,0,IF(R484*2&gt;=80,5,IF(R484*2&gt;=70,4,IF(R484*2&gt;=60,3.5,IF(R484*2&gt;=50,3,IF(R484*2&gt;=40,2,IF(R484*2&gt;=33,1,0)))))))</f>
        <v/>
      </c>
      <c r="AK484">
        <f>IF(S484&lt;33,0,IF(S484&gt;=80,5,IF(S484&gt;=70,4,IF(S484&gt;=60,3.5,IF(S484&gt;=50,3,IF(S484&gt;=40,2,IF(S484&gt;=33,1,0)))))))</f>
        <v/>
      </c>
      <c r="AL484">
        <f>(AC484+AD484+AE484+AF484+AG484+AH484+AI484+AJ484)/8</f>
        <v/>
      </c>
      <c r="AM484">
        <f>IF(AK484&gt;=2,(AK484-2)/8,0)</f>
        <v/>
      </c>
    </row>
    <row r="485">
      <c r="T485">
        <f>SUM(C485:R485)</f>
        <v/>
      </c>
      <c r="U485" s="6">
        <f>ROUND(T485/11.5,2)</f>
        <v/>
      </c>
      <c r="V485" s="7">
        <f>IF(B485="","",IF(AB485,0,ROUND(AL485,2)))</f>
        <v/>
      </c>
      <c r="W485" s="7">
        <f>IF(B485="","",IF(AB485,0,MIN(5,ROUND(AL485+AM485,2))))</f>
        <v/>
      </c>
      <c r="X485" s="8">
        <f>IF(B485="","",IF(W485&gt;=5,"A+",IF(W485&gt;=4,"A",IF(W485&gt;=3.5,"A-",IF(W485&gt;=3,"B",IF(W485&gt;=2,"C",IF(W485&gt;=1,"D","F")))))))</f>
        <v/>
      </c>
      <c r="Y485">
        <f>NOT(OR(AND(J485&gt;=10,K485&gt;=23,L485&gt;=10,M485&gt;=23),AND(J485+L485&gt;=20,K485+M485&gt;=46)))</f>
        <v/>
      </c>
      <c r="Z485">
        <f>OR(N485&lt;10,O485&lt;23)</f>
        <v/>
      </c>
      <c r="AA485">
        <f>OR(P485&lt;10,Q485&lt;23)</f>
        <v/>
      </c>
      <c r="AB485">
        <f>OR((C485+D485)&lt;66,(E485+F485)&lt;66,G485&lt;33,(H485+I485)&lt;66,Y485,Z485,AA485,R485&lt;8.25)</f>
        <v/>
      </c>
      <c r="AC485">
        <f>IF(C485+D485&lt;66,0,IF((C485+D485)/2&gt;=80,5,IF((C485+D485)/2&gt;=70,4,IF((C485+D485)/2&gt;=60,3.5,IF((C485+D485)/2&gt;=50,3,IF((C485+D485)/2&gt;=40,2,IF((C485+D485)/2&gt;=33,1,0)))))))</f>
        <v/>
      </c>
      <c r="AD485">
        <f>IF(E485+F485&lt;66,0,IF((E485+F485)/2&gt;=80,5,IF((E485+F485)/2&gt;=70,4,IF((E485+F485)/2&gt;=60,3.5,IF((E485+F485)/2&gt;=50,3,IF((E485+F485)/2&gt;=40,2,IF((E485+F485)/2&gt;=33,1,0)))))))</f>
        <v/>
      </c>
      <c r="AE485">
        <f>IF(G485&lt;33,0,IF(G485&gt;=80,5,IF(G485&gt;=70,4,IF(G485&gt;=60,3.5,IF(G485&gt;=50,3,IF(G485&gt;=40,2,IF(G485&gt;=33,1,0)))))))</f>
        <v/>
      </c>
      <c r="AF485">
        <f>IF(H485+I485&lt;66,0,IF((H485+I485)/2&gt;=80,5,IF((H485+I485)/2&gt;=70,4,IF((H485+I485)/2&gt;=60,3.5,IF((H485+I485)/2&gt;=50,3,IF((H485+I485)/2&gt;=40,2,IF((H485+I485)/2&gt;=33,1,0)))))))</f>
        <v/>
      </c>
      <c r="AG485">
        <f>IF(Y485,0,IF((J485+K485+L485+M485)/2&gt;=80,5,IF((J485+K485+L485+M485)/2&gt;=70,4,IF((J485+K485+L485+M485)/2&gt;=60,3.5,IF((J485+K485+L485+M485)/2&gt;=50,3,IF((J485+K485+L485+M485)/2&gt;=40,2,IF((J485+K485+L485+M485)/2&gt;=33,1,0)))))))</f>
        <v/>
      </c>
      <c r="AH485">
        <f>IF(Z485,0,IF(N485+O485&gt;=80,5,IF(N485+O485&gt;=70,4,IF(N485+O485&gt;=60,3.5,IF(N485+O485&gt;=50,3,IF(N485+O485&gt;=40,2,IF(N485+O485&gt;=33,1,0)))))))</f>
        <v/>
      </c>
      <c r="AI485">
        <f>IF(AA485,0,IF(P485+Q485&gt;=80,5,IF(P485+Q485&gt;=70,4,IF(P485+Q485&gt;=60,3.5,IF(P485+Q485&gt;=50,3,IF(P485+Q485&gt;=40,2,IF(P485+Q485&gt;=33,1,0)))))))</f>
        <v/>
      </c>
      <c r="AJ485">
        <f>IF(R485&lt;8.25,0,IF(R485*2&gt;=80,5,IF(R485*2&gt;=70,4,IF(R485*2&gt;=60,3.5,IF(R485*2&gt;=50,3,IF(R485*2&gt;=40,2,IF(R485*2&gt;=33,1,0)))))))</f>
        <v/>
      </c>
      <c r="AK485">
        <f>IF(S485&lt;33,0,IF(S485&gt;=80,5,IF(S485&gt;=70,4,IF(S485&gt;=60,3.5,IF(S485&gt;=50,3,IF(S485&gt;=40,2,IF(S485&gt;=33,1,0)))))))</f>
        <v/>
      </c>
      <c r="AL485">
        <f>(AC485+AD485+AE485+AF485+AG485+AH485+AI485+AJ485)/8</f>
        <v/>
      </c>
      <c r="AM485">
        <f>IF(AK485&gt;=2,(AK485-2)/8,0)</f>
        <v/>
      </c>
    </row>
    <row r="486">
      <c r="T486">
        <f>SUM(C486:R486)</f>
        <v/>
      </c>
      <c r="U486" s="6">
        <f>ROUND(T486/11.5,2)</f>
        <v/>
      </c>
      <c r="V486" s="7">
        <f>IF(B486="","",IF(AB486,0,ROUND(AL486,2)))</f>
        <v/>
      </c>
      <c r="W486" s="7">
        <f>IF(B486="","",IF(AB486,0,MIN(5,ROUND(AL486+AM486,2))))</f>
        <v/>
      </c>
      <c r="X486" s="8">
        <f>IF(B486="","",IF(W486&gt;=5,"A+",IF(W486&gt;=4,"A",IF(W486&gt;=3.5,"A-",IF(W486&gt;=3,"B",IF(W486&gt;=2,"C",IF(W486&gt;=1,"D","F")))))))</f>
        <v/>
      </c>
      <c r="Y486">
        <f>NOT(OR(AND(J486&gt;=10,K486&gt;=23,L486&gt;=10,M486&gt;=23),AND(J486+L486&gt;=20,K486+M486&gt;=46)))</f>
        <v/>
      </c>
      <c r="Z486">
        <f>OR(N486&lt;10,O486&lt;23)</f>
        <v/>
      </c>
      <c r="AA486">
        <f>OR(P486&lt;10,Q486&lt;23)</f>
        <v/>
      </c>
      <c r="AB486">
        <f>OR((C486+D486)&lt;66,(E486+F486)&lt;66,G486&lt;33,(H486+I486)&lt;66,Y486,Z486,AA486,R486&lt;8.25)</f>
        <v/>
      </c>
      <c r="AC486">
        <f>IF(C486+D486&lt;66,0,IF((C486+D486)/2&gt;=80,5,IF((C486+D486)/2&gt;=70,4,IF((C486+D486)/2&gt;=60,3.5,IF((C486+D486)/2&gt;=50,3,IF((C486+D486)/2&gt;=40,2,IF((C486+D486)/2&gt;=33,1,0)))))))</f>
        <v/>
      </c>
      <c r="AD486">
        <f>IF(E486+F486&lt;66,0,IF((E486+F486)/2&gt;=80,5,IF((E486+F486)/2&gt;=70,4,IF((E486+F486)/2&gt;=60,3.5,IF((E486+F486)/2&gt;=50,3,IF((E486+F486)/2&gt;=40,2,IF((E486+F486)/2&gt;=33,1,0)))))))</f>
        <v/>
      </c>
      <c r="AE486">
        <f>IF(G486&lt;33,0,IF(G486&gt;=80,5,IF(G486&gt;=70,4,IF(G486&gt;=60,3.5,IF(G486&gt;=50,3,IF(G486&gt;=40,2,IF(G486&gt;=33,1,0)))))))</f>
        <v/>
      </c>
      <c r="AF486">
        <f>IF(H486+I486&lt;66,0,IF((H486+I486)/2&gt;=80,5,IF((H486+I486)/2&gt;=70,4,IF((H486+I486)/2&gt;=60,3.5,IF((H486+I486)/2&gt;=50,3,IF((H486+I486)/2&gt;=40,2,IF((H486+I486)/2&gt;=33,1,0)))))))</f>
        <v/>
      </c>
      <c r="AG486">
        <f>IF(Y486,0,IF((J486+K486+L486+M486)/2&gt;=80,5,IF((J486+K486+L486+M486)/2&gt;=70,4,IF((J486+K486+L486+M486)/2&gt;=60,3.5,IF((J486+K486+L486+M486)/2&gt;=50,3,IF((J486+K486+L486+M486)/2&gt;=40,2,IF((J486+K486+L486+M486)/2&gt;=33,1,0)))))))</f>
        <v/>
      </c>
      <c r="AH486">
        <f>IF(Z486,0,IF(N486+O486&gt;=80,5,IF(N486+O486&gt;=70,4,IF(N486+O486&gt;=60,3.5,IF(N486+O486&gt;=50,3,IF(N486+O486&gt;=40,2,IF(N486+O486&gt;=33,1,0)))))))</f>
        <v/>
      </c>
      <c r="AI486">
        <f>IF(AA486,0,IF(P486+Q486&gt;=80,5,IF(P486+Q486&gt;=70,4,IF(P486+Q486&gt;=60,3.5,IF(P486+Q486&gt;=50,3,IF(P486+Q486&gt;=40,2,IF(P486+Q486&gt;=33,1,0)))))))</f>
        <v/>
      </c>
      <c r="AJ486">
        <f>IF(R486&lt;8.25,0,IF(R486*2&gt;=80,5,IF(R486*2&gt;=70,4,IF(R486*2&gt;=60,3.5,IF(R486*2&gt;=50,3,IF(R486*2&gt;=40,2,IF(R486*2&gt;=33,1,0)))))))</f>
        <v/>
      </c>
      <c r="AK486">
        <f>IF(S486&lt;33,0,IF(S486&gt;=80,5,IF(S486&gt;=70,4,IF(S486&gt;=60,3.5,IF(S486&gt;=50,3,IF(S486&gt;=40,2,IF(S486&gt;=33,1,0)))))))</f>
        <v/>
      </c>
      <c r="AL486">
        <f>(AC486+AD486+AE486+AF486+AG486+AH486+AI486+AJ486)/8</f>
        <v/>
      </c>
      <c r="AM486">
        <f>IF(AK486&gt;=2,(AK486-2)/8,0)</f>
        <v/>
      </c>
    </row>
    <row r="487">
      <c r="T487">
        <f>SUM(C487:R487)</f>
        <v/>
      </c>
      <c r="U487" s="6">
        <f>ROUND(T487/11.5,2)</f>
        <v/>
      </c>
      <c r="V487" s="7">
        <f>IF(B487="","",IF(AB487,0,ROUND(AL487,2)))</f>
        <v/>
      </c>
      <c r="W487" s="7">
        <f>IF(B487="","",IF(AB487,0,MIN(5,ROUND(AL487+AM487,2))))</f>
        <v/>
      </c>
      <c r="X487" s="8">
        <f>IF(B487="","",IF(W487&gt;=5,"A+",IF(W487&gt;=4,"A",IF(W487&gt;=3.5,"A-",IF(W487&gt;=3,"B",IF(W487&gt;=2,"C",IF(W487&gt;=1,"D","F")))))))</f>
        <v/>
      </c>
      <c r="Y487">
        <f>NOT(OR(AND(J487&gt;=10,K487&gt;=23,L487&gt;=10,M487&gt;=23),AND(J487+L487&gt;=20,K487+M487&gt;=46)))</f>
        <v/>
      </c>
      <c r="Z487">
        <f>OR(N487&lt;10,O487&lt;23)</f>
        <v/>
      </c>
      <c r="AA487">
        <f>OR(P487&lt;10,Q487&lt;23)</f>
        <v/>
      </c>
      <c r="AB487">
        <f>OR((C487+D487)&lt;66,(E487+F487)&lt;66,G487&lt;33,(H487+I487)&lt;66,Y487,Z487,AA487,R487&lt;8.25)</f>
        <v/>
      </c>
      <c r="AC487">
        <f>IF(C487+D487&lt;66,0,IF((C487+D487)/2&gt;=80,5,IF((C487+D487)/2&gt;=70,4,IF((C487+D487)/2&gt;=60,3.5,IF((C487+D487)/2&gt;=50,3,IF((C487+D487)/2&gt;=40,2,IF((C487+D487)/2&gt;=33,1,0)))))))</f>
        <v/>
      </c>
      <c r="AD487">
        <f>IF(E487+F487&lt;66,0,IF((E487+F487)/2&gt;=80,5,IF((E487+F487)/2&gt;=70,4,IF((E487+F487)/2&gt;=60,3.5,IF((E487+F487)/2&gt;=50,3,IF((E487+F487)/2&gt;=40,2,IF((E487+F487)/2&gt;=33,1,0)))))))</f>
        <v/>
      </c>
      <c r="AE487">
        <f>IF(G487&lt;33,0,IF(G487&gt;=80,5,IF(G487&gt;=70,4,IF(G487&gt;=60,3.5,IF(G487&gt;=50,3,IF(G487&gt;=40,2,IF(G487&gt;=33,1,0)))))))</f>
        <v/>
      </c>
      <c r="AF487">
        <f>IF(H487+I487&lt;66,0,IF((H487+I487)/2&gt;=80,5,IF((H487+I487)/2&gt;=70,4,IF((H487+I487)/2&gt;=60,3.5,IF((H487+I487)/2&gt;=50,3,IF((H487+I487)/2&gt;=40,2,IF((H487+I487)/2&gt;=33,1,0)))))))</f>
        <v/>
      </c>
      <c r="AG487">
        <f>IF(Y487,0,IF((J487+K487+L487+M487)/2&gt;=80,5,IF((J487+K487+L487+M487)/2&gt;=70,4,IF((J487+K487+L487+M487)/2&gt;=60,3.5,IF((J487+K487+L487+M487)/2&gt;=50,3,IF((J487+K487+L487+M487)/2&gt;=40,2,IF((J487+K487+L487+M487)/2&gt;=33,1,0)))))))</f>
        <v/>
      </c>
      <c r="AH487">
        <f>IF(Z487,0,IF(N487+O487&gt;=80,5,IF(N487+O487&gt;=70,4,IF(N487+O487&gt;=60,3.5,IF(N487+O487&gt;=50,3,IF(N487+O487&gt;=40,2,IF(N487+O487&gt;=33,1,0)))))))</f>
        <v/>
      </c>
      <c r="AI487">
        <f>IF(AA487,0,IF(P487+Q487&gt;=80,5,IF(P487+Q487&gt;=70,4,IF(P487+Q487&gt;=60,3.5,IF(P487+Q487&gt;=50,3,IF(P487+Q487&gt;=40,2,IF(P487+Q487&gt;=33,1,0)))))))</f>
        <v/>
      </c>
      <c r="AJ487">
        <f>IF(R487&lt;8.25,0,IF(R487*2&gt;=80,5,IF(R487*2&gt;=70,4,IF(R487*2&gt;=60,3.5,IF(R487*2&gt;=50,3,IF(R487*2&gt;=40,2,IF(R487*2&gt;=33,1,0)))))))</f>
        <v/>
      </c>
      <c r="AK487">
        <f>IF(S487&lt;33,0,IF(S487&gt;=80,5,IF(S487&gt;=70,4,IF(S487&gt;=60,3.5,IF(S487&gt;=50,3,IF(S487&gt;=40,2,IF(S487&gt;=33,1,0)))))))</f>
        <v/>
      </c>
      <c r="AL487">
        <f>(AC487+AD487+AE487+AF487+AG487+AH487+AI487+AJ487)/8</f>
        <v/>
      </c>
      <c r="AM487">
        <f>IF(AK487&gt;=2,(AK487-2)/8,0)</f>
        <v/>
      </c>
    </row>
    <row r="488">
      <c r="T488">
        <f>SUM(C488:R488)</f>
        <v/>
      </c>
      <c r="U488" s="6">
        <f>ROUND(T488/11.5,2)</f>
        <v/>
      </c>
      <c r="V488" s="7">
        <f>IF(B488="","",IF(AB488,0,ROUND(AL488,2)))</f>
        <v/>
      </c>
      <c r="W488" s="7">
        <f>IF(B488="","",IF(AB488,0,MIN(5,ROUND(AL488+AM488,2))))</f>
        <v/>
      </c>
      <c r="X488" s="8">
        <f>IF(B488="","",IF(W488&gt;=5,"A+",IF(W488&gt;=4,"A",IF(W488&gt;=3.5,"A-",IF(W488&gt;=3,"B",IF(W488&gt;=2,"C",IF(W488&gt;=1,"D","F")))))))</f>
        <v/>
      </c>
      <c r="Y488">
        <f>NOT(OR(AND(J488&gt;=10,K488&gt;=23,L488&gt;=10,M488&gt;=23),AND(J488+L488&gt;=20,K488+M488&gt;=46)))</f>
        <v/>
      </c>
      <c r="Z488">
        <f>OR(N488&lt;10,O488&lt;23)</f>
        <v/>
      </c>
      <c r="AA488">
        <f>OR(P488&lt;10,Q488&lt;23)</f>
        <v/>
      </c>
      <c r="AB488">
        <f>OR((C488+D488)&lt;66,(E488+F488)&lt;66,G488&lt;33,(H488+I488)&lt;66,Y488,Z488,AA488,R488&lt;8.25)</f>
        <v/>
      </c>
      <c r="AC488">
        <f>IF(C488+D488&lt;66,0,IF((C488+D488)/2&gt;=80,5,IF((C488+D488)/2&gt;=70,4,IF((C488+D488)/2&gt;=60,3.5,IF((C488+D488)/2&gt;=50,3,IF((C488+D488)/2&gt;=40,2,IF((C488+D488)/2&gt;=33,1,0)))))))</f>
        <v/>
      </c>
      <c r="AD488">
        <f>IF(E488+F488&lt;66,0,IF((E488+F488)/2&gt;=80,5,IF((E488+F488)/2&gt;=70,4,IF((E488+F488)/2&gt;=60,3.5,IF((E488+F488)/2&gt;=50,3,IF((E488+F488)/2&gt;=40,2,IF((E488+F488)/2&gt;=33,1,0)))))))</f>
        <v/>
      </c>
      <c r="AE488">
        <f>IF(G488&lt;33,0,IF(G488&gt;=80,5,IF(G488&gt;=70,4,IF(G488&gt;=60,3.5,IF(G488&gt;=50,3,IF(G488&gt;=40,2,IF(G488&gt;=33,1,0)))))))</f>
        <v/>
      </c>
      <c r="AF488">
        <f>IF(H488+I488&lt;66,0,IF((H488+I488)/2&gt;=80,5,IF((H488+I488)/2&gt;=70,4,IF((H488+I488)/2&gt;=60,3.5,IF((H488+I488)/2&gt;=50,3,IF((H488+I488)/2&gt;=40,2,IF((H488+I488)/2&gt;=33,1,0)))))))</f>
        <v/>
      </c>
      <c r="AG488">
        <f>IF(Y488,0,IF((J488+K488+L488+M488)/2&gt;=80,5,IF((J488+K488+L488+M488)/2&gt;=70,4,IF((J488+K488+L488+M488)/2&gt;=60,3.5,IF((J488+K488+L488+M488)/2&gt;=50,3,IF((J488+K488+L488+M488)/2&gt;=40,2,IF((J488+K488+L488+M488)/2&gt;=33,1,0)))))))</f>
        <v/>
      </c>
      <c r="AH488">
        <f>IF(Z488,0,IF(N488+O488&gt;=80,5,IF(N488+O488&gt;=70,4,IF(N488+O488&gt;=60,3.5,IF(N488+O488&gt;=50,3,IF(N488+O488&gt;=40,2,IF(N488+O488&gt;=33,1,0)))))))</f>
        <v/>
      </c>
      <c r="AI488">
        <f>IF(AA488,0,IF(P488+Q488&gt;=80,5,IF(P488+Q488&gt;=70,4,IF(P488+Q488&gt;=60,3.5,IF(P488+Q488&gt;=50,3,IF(P488+Q488&gt;=40,2,IF(P488+Q488&gt;=33,1,0)))))))</f>
        <v/>
      </c>
      <c r="AJ488">
        <f>IF(R488&lt;8.25,0,IF(R488*2&gt;=80,5,IF(R488*2&gt;=70,4,IF(R488*2&gt;=60,3.5,IF(R488*2&gt;=50,3,IF(R488*2&gt;=40,2,IF(R488*2&gt;=33,1,0)))))))</f>
        <v/>
      </c>
      <c r="AK488">
        <f>IF(S488&lt;33,0,IF(S488&gt;=80,5,IF(S488&gt;=70,4,IF(S488&gt;=60,3.5,IF(S488&gt;=50,3,IF(S488&gt;=40,2,IF(S488&gt;=33,1,0)))))))</f>
        <v/>
      </c>
      <c r="AL488">
        <f>(AC488+AD488+AE488+AF488+AG488+AH488+AI488+AJ488)/8</f>
        <v/>
      </c>
      <c r="AM488">
        <f>IF(AK488&gt;=2,(AK488-2)/8,0)</f>
        <v/>
      </c>
    </row>
    <row r="489">
      <c r="T489">
        <f>SUM(C489:R489)</f>
        <v/>
      </c>
      <c r="U489" s="6">
        <f>ROUND(T489/11.5,2)</f>
        <v/>
      </c>
      <c r="V489" s="7">
        <f>IF(B489="","",IF(AB489,0,ROUND(AL489,2)))</f>
        <v/>
      </c>
      <c r="W489" s="7">
        <f>IF(B489="","",IF(AB489,0,MIN(5,ROUND(AL489+AM489,2))))</f>
        <v/>
      </c>
      <c r="X489" s="8">
        <f>IF(B489="","",IF(W489&gt;=5,"A+",IF(W489&gt;=4,"A",IF(W489&gt;=3.5,"A-",IF(W489&gt;=3,"B",IF(W489&gt;=2,"C",IF(W489&gt;=1,"D","F")))))))</f>
        <v/>
      </c>
      <c r="Y489">
        <f>NOT(OR(AND(J489&gt;=10,K489&gt;=23,L489&gt;=10,M489&gt;=23),AND(J489+L489&gt;=20,K489+M489&gt;=46)))</f>
        <v/>
      </c>
      <c r="Z489">
        <f>OR(N489&lt;10,O489&lt;23)</f>
        <v/>
      </c>
      <c r="AA489">
        <f>OR(P489&lt;10,Q489&lt;23)</f>
        <v/>
      </c>
      <c r="AB489">
        <f>OR((C489+D489)&lt;66,(E489+F489)&lt;66,G489&lt;33,(H489+I489)&lt;66,Y489,Z489,AA489,R489&lt;8.25)</f>
        <v/>
      </c>
      <c r="AC489">
        <f>IF(C489+D489&lt;66,0,IF((C489+D489)/2&gt;=80,5,IF((C489+D489)/2&gt;=70,4,IF((C489+D489)/2&gt;=60,3.5,IF((C489+D489)/2&gt;=50,3,IF((C489+D489)/2&gt;=40,2,IF((C489+D489)/2&gt;=33,1,0)))))))</f>
        <v/>
      </c>
      <c r="AD489">
        <f>IF(E489+F489&lt;66,0,IF((E489+F489)/2&gt;=80,5,IF((E489+F489)/2&gt;=70,4,IF((E489+F489)/2&gt;=60,3.5,IF((E489+F489)/2&gt;=50,3,IF((E489+F489)/2&gt;=40,2,IF((E489+F489)/2&gt;=33,1,0)))))))</f>
        <v/>
      </c>
      <c r="AE489">
        <f>IF(G489&lt;33,0,IF(G489&gt;=80,5,IF(G489&gt;=70,4,IF(G489&gt;=60,3.5,IF(G489&gt;=50,3,IF(G489&gt;=40,2,IF(G489&gt;=33,1,0)))))))</f>
        <v/>
      </c>
      <c r="AF489">
        <f>IF(H489+I489&lt;66,0,IF((H489+I489)/2&gt;=80,5,IF((H489+I489)/2&gt;=70,4,IF((H489+I489)/2&gt;=60,3.5,IF((H489+I489)/2&gt;=50,3,IF((H489+I489)/2&gt;=40,2,IF((H489+I489)/2&gt;=33,1,0)))))))</f>
        <v/>
      </c>
      <c r="AG489">
        <f>IF(Y489,0,IF((J489+K489+L489+M489)/2&gt;=80,5,IF((J489+K489+L489+M489)/2&gt;=70,4,IF((J489+K489+L489+M489)/2&gt;=60,3.5,IF((J489+K489+L489+M489)/2&gt;=50,3,IF((J489+K489+L489+M489)/2&gt;=40,2,IF((J489+K489+L489+M489)/2&gt;=33,1,0)))))))</f>
        <v/>
      </c>
      <c r="AH489">
        <f>IF(Z489,0,IF(N489+O489&gt;=80,5,IF(N489+O489&gt;=70,4,IF(N489+O489&gt;=60,3.5,IF(N489+O489&gt;=50,3,IF(N489+O489&gt;=40,2,IF(N489+O489&gt;=33,1,0)))))))</f>
        <v/>
      </c>
      <c r="AI489">
        <f>IF(AA489,0,IF(P489+Q489&gt;=80,5,IF(P489+Q489&gt;=70,4,IF(P489+Q489&gt;=60,3.5,IF(P489+Q489&gt;=50,3,IF(P489+Q489&gt;=40,2,IF(P489+Q489&gt;=33,1,0)))))))</f>
        <v/>
      </c>
      <c r="AJ489">
        <f>IF(R489&lt;8.25,0,IF(R489*2&gt;=80,5,IF(R489*2&gt;=70,4,IF(R489*2&gt;=60,3.5,IF(R489*2&gt;=50,3,IF(R489*2&gt;=40,2,IF(R489*2&gt;=33,1,0)))))))</f>
        <v/>
      </c>
      <c r="AK489">
        <f>IF(S489&lt;33,0,IF(S489&gt;=80,5,IF(S489&gt;=70,4,IF(S489&gt;=60,3.5,IF(S489&gt;=50,3,IF(S489&gt;=40,2,IF(S489&gt;=33,1,0)))))))</f>
        <v/>
      </c>
      <c r="AL489">
        <f>(AC489+AD489+AE489+AF489+AG489+AH489+AI489+AJ489)/8</f>
        <v/>
      </c>
      <c r="AM489">
        <f>IF(AK489&gt;=2,(AK489-2)/8,0)</f>
        <v/>
      </c>
    </row>
    <row r="490">
      <c r="T490">
        <f>SUM(C490:R490)</f>
        <v/>
      </c>
      <c r="U490" s="6">
        <f>ROUND(T490/11.5,2)</f>
        <v/>
      </c>
      <c r="V490" s="7">
        <f>IF(B490="","",IF(AB490,0,ROUND(AL490,2)))</f>
        <v/>
      </c>
      <c r="W490" s="7">
        <f>IF(B490="","",IF(AB490,0,MIN(5,ROUND(AL490+AM490,2))))</f>
        <v/>
      </c>
      <c r="X490" s="8">
        <f>IF(B490="","",IF(W490&gt;=5,"A+",IF(W490&gt;=4,"A",IF(W490&gt;=3.5,"A-",IF(W490&gt;=3,"B",IF(W490&gt;=2,"C",IF(W490&gt;=1,"D","F")))))))</f>
        <v/>
      </c>
      <c r="Y490">
        <f>NOT(OR(AND(J490&gt;=10,K490&gt;=23,L490&gt;=10,M490&gt;=23),AND(J490+L490&gt;=20,K490+M490&gt;=46)))</f>
        <v/>
      </c>
      <c r="Z490">
        <f>OR(N490&lt;10,O490&lt;23)</f>
        <v/>
      </c>
      <c r="AA490">
        <f>OR(P490&lt;10,Q490&lt;23)</f>
        <v/>
      </c>
      <c r="AB490">
        <f>OR((C490+D490)&lt;66,(E490+F490)&lt;66,G490&lt;33,(H490+I490)&lt;66,Y490,Z490,AA490,R490&lt;8.25)</f>
        <v/>
      </c>
      <c r="AC490">
        <f>IF(C490+D490&lt;66,0,IF((C490+D490)/2&gt;=80,5,IF((C490+D490)/2&gt;=70,4,IF((C490+D490)/2&gt;=60,3.5,IF((C490+D490)/2&gt;=50,3,IF((C490+D490)/2&gt;=40,2,IF((C490+D490)/2&gt;=33,1,0)))))))</f>
        <v/>
      </c>
      <c r="AD490">
        <f>IF(E490+F490&lt;66,0,IF((E490+F490)/2&gt;=80,5,IF((E490+F490)/2&gt;=70,4,IF((E490+F490)/2&gt;=60,3.5,IF((E490+F490)/2&gt;=50,3,IF((E490+F490)/2&gt;=40,2,IF((E490+F490)/2&gt;=33,1,0)))))))</f>
        <v/>
      </c>
      <c r="AE490">
        <f>IF(G490&lt;33,0,IF(G490&gt;=80,5,IF(G490&gt;=70,4,IF(G490&gt;=60,3.5,IF(G490&gt;=50,3,IF(G490&gt;=40,2,IF(G490&gt;=33,1,0)))))))</f>
        <v/>
      </c>
      <c r="AF490">
        <f>IF(H490+I490&lt;66,0,IF((H490+I490)/2&gt;=80,5,IF((H490+I490)/2&gt;=70,4,IF((H490+I490)/2&gt;=60,3.5,IF((H490+I490)/2&gt;=50,3,IF((H490+I490)/2&gt;=40,2,IF((H490+I490)/2&gt;=33,1,0)))))))</f>
        <v/>
      </c>
      <c r="AG490">
        <f>IF(Y490,0,IF((J490+K490+L490+M490)/2&gt;=80,5,IF((J490+K490+L490+M490)/2&gt;=70,4,IF((J490+K490+L490+M490)/2&gt;=60,3.5,IF((J490+K490+L490+M490)/2&gt;=50,3,IF((J490+K490+L490+M490)/2&gt;=40,2,IF((J490+K490+L490+M490)/2&gt;=33,1,0)))))))</f>
        <v/>
      </c>
      <c r="AH490">
        <f>IF(Z490,0,IF(N490+O490&gt;=80,5,IF(N490+O490&gt;=70,4,IF(N490+O490&gt;=60,3.5,IF(N490+O490&gt;=50,3,IF(N490+O490&gt;=40,2,IF(N490+O490&gt;=33,1,0)))))))</f>
        <v/>
      </c>
      <c r="AI490">
        <f>IF(AA490,0,IF(P490+Q490&gt;=80,5,IF(P490+Q490&gt;=70,4,IF(P490+Q490&gt;=60,3.5,IF(P490+Q490&gt;=50,3,IF(P490+Q490&gt;=40,2,IF(P490+Q490&gt;=33,1,0)))))))</f>
        <v/>
      </c>
      <c r="AJ490">
        <f>IF(R490&lt;8.25,0,IF(R490*2&gt;=80,5,IF(R490*2&gt;=70,4,IF(R490*2&gt;=60,3.5,IF(R490*2&gt;=50,3,IF(R490*2&gt;=40,2,IF(R490*2&gt;=33,1,0)))))))</f>
        <v/>
      </c>
      <c r="AK490">
        <f>IF(S490&lt;33,0,IF(S490&gt;=80,5,IF(S490&gt;=70,4,IF(S490&gt;=60,3.5,IF(S490&gt;=50,3,IF(S490&gt;=40,2,IF(S490&gt;=33,1,0)))))))</f>
        <v/>
      </c>
      <c r="AL490">
        <f>(AC490+AD490+AE490+AF490+AG490+AH490+AI490+AJ490)/8</f>
        <v/>
      </c>
      <c r="AM490">
        <f>IF(AK490&gt;=2,(AK490-2)/8,0)</f>
        <v/>
      </c>
    </row>
    <row r="491">
      <c r="T491">
        <f>SUM(C491:R491)</f>
        <v/>
      </c>
      <c r="U491" s="6">
        <f>ROUND(T491/11.5,2)</f>
        <v/>
      </c>
      <c r="V491" s="7">
        <f>IF(B491="","",IF(AB491,0,ROUND(AL491,2)))</f>
        <v/>
      </c>
      <c r="W491" s="7">
        <f>IF(B491="","",IF(AB491,0,MIN(5,ROUND(AL491+AM491,2))))</f>
        <v/>
      </c>
      <c r="X491" s="8">
        <f>IF(B491="","",IF(W491&gt;=5,"A+",IF(W491&gt;=4,"A",IF(W491&gt;=3.5,"A-",IF(W491&gt;=3,"B",IF(W491&gt;=2,"C",IF(W491&gt;=1,"D","F")))))))</f>
        <v/>
      </c>
      <c r="Y491">
        <f>NOT(OR(AND(J491&gt;=10,K491&gt;=23,L491&gt;=10,M491&gt;=23),AND(J491+L491&gt;=20,K491+M491&gt;=46)))</f>
        <v/>
      </c>
      <c r="Z491">
        <f>OR(N491&lt;10,O491&lt;23)</f>
        <v/>
      </c>
      <c r="AA491">
        <f>OR(P491&lt;10,Q491&lt;23)</f>
        <v/>
      </c>
      <c r="AB491">
        <f>OR((C491+D491)&lt;66,(E491+F491)&lt;66,G491&lt;33,(H491+I491)&lt;66,Y491,Z491,AA491,R491&lt;8.25)</f>
        <v/>
      </c>
      <c r="AC491">
        <f>IF(C491+D491&lt;66,0,IF((C491+D491)/2&gt;=80,5,IF((C491+D491)/2&gt;=70,4,IF((C491+D491)/2&gt;=60,3.5,IF((C491+D491)/2&gt;=50,3,IF((C491+D491)/2&gt;=40,2,IF((C491+D491)/2&gt;=33,1,0)))))))</f>
        <v/>
      </c>
      <c r="AD491">
        <f>IF(E491+F491&lt;66,0,IF((E491+F491)/2&gt;=80,5,IF((E491+F491)/2&gt;=70,4,IF((E491+F491)/2&gt;=60,3.5,IF((E491+F491)/2&gt;=50,3,IF((E491+F491)/2&gt;=40,2,IF((E491+F491)/2&gt;=33,1,0)))))))</f>
        <v/>
      </c>
      <c r="AE491">
        <f>IF(G491&lt;33,0,IF(G491&gt;=80,5,IF(G491&gt;=70,4,IF(G491&gt;=60,3.5,IF(G491&gt;=50,3,IF(G491&gt;=40,2,IF(G491&gt;=33,1,0)))))))</f>
        <v/>
      </c>
      <c r="AF491">
        <f>IF(H491+I491&lt;66,0,IF((H491+I491)/2&gt;=80,5,IF((H491+I491)/2&gt;=70,4,IF((H491+I491)/2&gt;=60,3.5,IF((H491+I491)/2&gt;=50,3,IF((H491+I491)/2&gt;=40,2,IF((H491+I491)/2&gt;=33,1,0)))))))</f>
        <v/>
      </c>
      <c r="AG491">
        <f>IF(Y491,0,IF((J491+K491+L491+M491)/2&gt;=80,5,IF((J491+K491+L491+M491)/2&gt;=70,4,IF((J491+K491+L491+M491)/2&gt;=60,3.5,IF((J491+K491+L491+M491)/2&gt;=50,3,IF((J491+K491+L491+M491)/2&gt;=40,2,IF((J491+K491+L491+M491)/2&gt;=33,1,0)))))))</f>
        <v/>
      </c>
      <c r="AH491">
        <f>IF(Z491,0,IF(N491+O491&gt;=80,5,IF(N491+O491&gt;=70,4,IF(N491+O491&gt;=60,3.5,IF(N491+O491&gt;=50,3,IF(N491+O491&gt;=40,2,IF(N491+O491&gt;=33,1,0)))))))</f>
        <v/>
      </c>
      <c r="AI491">
        <f>IF(AA491,0,IF(P491+Q491&gt;=80,5,IF(P491+Q491&gt;=70,4,IF(P491+Q491&gt;=60,3.5,IF(P491+Q491&gt;=50,3,IF(P491+Q491&gt;=40,2,IF(P491+Q491&gt;=33,1,0)))))))</f>
        <v/>
      </c>
      <c r="AJ491">
        <f>IF(R491&lt;8.25,0,IF(R491*2&gt;=80,5,IF(R491*2&gt;=70,4,IF(R491*2&gt;=60,3.5,IF(R491*2&gt;=50,3,IF(R491*2&gt;=40,2,IF(R491*2&gt;=33,1,0)))))))</f>
        <v/>
      </c>
      <c r="AK491">
        <f>IF(S491&lt;33,0,IF(S491&gt;=80,5,IF(S491&gt;=70,4,IF(S491&gt;=60,3.5,IF(S491&gt;=50,3,IF(S491&gt;=40,2,IF(S491&gt;=33,1,0)))))))</f>
        <v/>
      </c>
      <c r="AL491">
        <f>(AC491+AD491+AE491+AF491+AG491+AH491+AI491+AJ491)/8</f>
        <v/>
      </c>
      <c r="AM491">
        <f>IF(AK491&gt;=2,(AK491-2)/8,0)</f>
        <v/>
      </c>
    </row>
    <row r="492">
      <c r="T492">
        <f>SUM(C492:R492)</f>
        <v/>
      </c>
      <c r="U492" s="6">
        <f>ROUND(T492/11.5,2)</f>
        <v/>
      </c>
      <c r="V492" s="7">
        <f>IF(B492="","",IF(AB492,0,ROUND(AL492,2)))</f>
        <v/>
      </c>
      <c r="W492" s="7">
        <f>IF(B492="","",IF(AB492,0,MIN(5,ROUND(AL492+AM492,2))))</f>
        <v/>
      </c>
      <c r="X492" s="8">
        <f>IF(B492="","",IF(W492&gt;=5,"A+",IF(W492&gt;=4,"A",IF(W492&gt;=3.5,"A-",IF(W492&gt;=3,"B",IF(W492&gt;=2,"C",IF(W492&gt;=1,"D","F")))))))</f>
        <v/>
      </c>
      <c r="Y492">
        <f>NOT(OR(AND(J492&gt;=10,K492&gt;=23,L492&gt;=10,M492&gt;=23),AND(J492+L492&gt;=20,K492+M492&gt;=46)))</f>
        <v/>
      </c>
      <c r="Z492">
        <f>OR(N492&lt;10,O492&lt;23)</f>
        <v/>
      </c>
      <c r="AA492">
        <f>OR(P492&lt;10,Q492&lt;23)</f>
        <v/>
      </c>
      <c r="AB492">
        <f>OR((C492+D492)&lt;66,(E492+F492)&lt;66,G492&lt;33,(H492+I492)&lt;66,Y492,Z492,AA492,R492&lt;8.25)</f>
        <v/>
      </c>
      <c r="AC492">
        <f>IF(C492+D492&lt;66,0,IF((C492+D492)/2&gt;=80,5,IF((C492+D492)/2&gt;=70,4,IF((C492+D492)/2&gt;=60,3.5,IF((C492+D492)/2&gt;=50,3,IF((C492+D492)/2&gt;=40,2,IF((C492+D492)/2&gt;=33,1,0)))))))</f>
        <v/>
      </c>
      <c r="AD492">
        <f>IF(E492+F492&lt;66,0,IF((E492+F492)/2&gt;=80,5,IF((E492+F492)/2&gt;=70,4,IF((E492+F492)/2&gt;=60,3.5,IF((E492+F492)/2&gt;=50,3,IF((E492+F492)/2&gt;=40,2,IF((E492+F492)/2&gt;=33,1,0)))))))</f>
        <v/>
      </c>
      <c r="AE492">
        <f>IF(G492&lt;33,0,IF(G492&gt;=80,5,IF(G492&gt;=70,4,IF(G492&gt;=60,3.5,IF(G492&gt;=50,3,IF(G492&gt;=40,2,IF(G492&gt;=33,1,0)))))))</f>
        <v/>
      </c>
      <c r="AF492">
        <f>IF(H492+I492&lt;66,0,IF((H492+I492)/2&gt;=80,5,IF((H492+I492)/2&gt;=70,4,IF((H492+I492)/2&gt;=60,3.5,IF((H492+I492)/2&gt;=50,3,IF((H492+I492)/2&gt;=40,2,IF((H492+I492)/2&gt;=33,1,0)))))))</f>
        <v/>
      </c>
      <c r="AG492">
        <f>IF(Y492,0,IF((J492+K492+L492+M492)/2&gt;=80,5,IF((J492+K492+L492+M492)/2&gt;=70,4,IF((J492+K492+L492+M492)/2&gt;=60,3.5,IF((J492+K492+L492+M492)/2&gt;=50,3,IF((J492+K492+L492+M492)/2&gt;=40,2,IF((J492+K492+L492+M492)/2&gt;=33,1,0)))))))</f>
        <v/>
      </c>
      <c r="AH492">
        <f>IF(Z492,0,IF(N492+O492&gt;=80,5,IF(N492+O492&gt;=70,4,IF(N492+O492&gt;=60,3.5,IF(N492+O492&gt;=50,3,IF(N492+O492&gt;=40,2,IF(N492+O492&gt;=33,1,0)))))))</f>
        <v/>
      </c>
      <c r="AI492">
        <f>IF(AA492,0,IF(P492+Q492&gt;=80,5,IF(P492+Q492&gt;=70,4,IF(P492+Q492&gt;=60,3.5,IF(P492+Q492&gt;=50,3,IF(P492+Q492&gt;=40,2,IF(P492+Q492&gt;=33,1,0)))))))</f>
        <v/>
      </c>
      <c r="AJ492">
        <f>IF(R492&lt;8.25,0,IF(R492*2&gt;=80,5,IF(R492*2&gt;=70,4,IF(R492*2&gt;=60,3.5,IF(R492*2&gt;=50,3,IF(R492*2&gt;=40,2,IF(R492*2&gt;=33,1,0)))))))</f>
        <v/>
      </c>
      <c r="AK492">
        <f>IF(S492&lt;33,0,IF(S492&gt;=80,5,IF(S492&gt;=70,4,IF(S492&gt;=60,3.5,IF(S492&gt;=50,3,IF(S492&gt;=40,2,IF(S492&gt;=33,1,0)))))))</f>
        <v/>
      </c>
      <c r="AL492">
        <f>(AC492+AD492+AE492+AF492+AG492+AH492+AI492+AJ492)/8</f>
        <v/>
      </c>
      <c r="AM492">
        <f>IF(AK492&gt;=2,(AK492-2)/8,0)</f>
        <v/>
      </c>
    </row>
    <row r="493">
      <c r="T493">
        <f>SUM(C493:R493)</f>
        <v/>
      </c>
      <c r="U493" s="6">
        <f>ROUND(T493/11.5,2)</f>
        <v/>
      </c>
      <c r="V493" s="7">
        <f>IF(B493="","",IF(AB493,0,ROUND(AL493,2)))</f>
        <v/>
      </c>
      <c r="W493" s="7">
        <f>IF(B493="","",IF(AB493,0,MIN(5,ROUND(AL493+AM493,2))))</f>
        <v/>
      </c>
      <c r="X493" s="8">
        <f>IF(B493="","",IF(W493&gt;=5,"A+",IF(W493&gt;=4,"A",IF(W493&gt;=3.5,"A-",IF(W493&gt;=3,"B",IF(W493&gt;=2,"C",IF(W493&gt;=1,"D","F")))))))</f>
        <v/>
      </c>
      <c r="Y493">
        <f>NOT(OR(AND(J493&gt;=10,K493&gt;=23,L493&gt;=10,M493&gt;=23),AND(J493+L493&gt;=20,K493+M493&gt;=46)))</f>
        <v/>
      </c>
      <c r="Z493">
        <f>OR(N493&lt;10,O493&lt;23)</f>
        <v/>
      </c>
      <c r="AA493">
        <f>OR(P493&lt;10,Q493&lt;23)</f>
        <v/>
      </c>
      <c r="AB493">
        <f>OR((C493+D493)&lt;66,(E493+F493)&lt;66,G493&lt;33,(H493+I493)&lt;66,Y493,Z493,AA493,R493&lt;8.25)</f>
        <v/>
      </c>
      <c r="AC493">
        <f>IF(C493+D493&lt;66,0,IF((C493+D493)/2&gt;=80,5,IF((C493+D493)/2&gt;=70,4,IF((C493+D493)/2&gt;=60,3.5,IF((C493+D493)/2&gt;=50,3,IF((C493+D493)/2&gt;=40,2,IF((C493+D493)/2&gt;=33,1,0)))))))</f>
        <v/>
      </c>
      <c r="AD493">
        <f>IF(E493+F493&lt;66,0,IF((E493+F493)/2&gt;=80,5,IF((E493+F493)/2&gt;=70,4,IF((E493+F493)/2&gt;=60,3.5,IF((E493+F493)/2&gt;=50,3,IF((E493+F493)/2&gt;=40,2,IF((E493+F493)/2&gt;=33,1,0)))))))</f>
        <v/>
      </c>
      <c r="AE493">
        <f>IF(G493&lt;33,0,IF(G493&gt;=80,5,IF(G493&gt;=70,4,IF(G493&gt;=60,3.5,IF(G493&gt;=50,3,IF(G493&gt;=40,2,IF(G493&gt;=33,1,0)))))))</f>
        <v/>
      </c>
      <c r="AF493">
        <f>IF(H493+I493&lt;66,0,IF((H493+I493)/2&gt;=80,5,IF((H493+I493)/2&gt;=70,4,IF((H493+I493)/2&gt;=60,3.5,IF((H493+I493)/2&gt;=50,3,IF((H493+I493)/2&gt;=40,2,IF((H493+I493)/2&gt;=33,1,0)))))))</f>
        <v/>
      </c>
      <c r="AG493">
        <f>IF(Y493,0,IF((J493+K493+L493+M493)/2&gt;=80,5,IF((J493+K493+L493+M493)/2&gt;=70,4,IF((J493+K493+L493+M493)/2&gt;=60,3.5,IF((J493+K493+L493+M493)/2&gt;=50,3,IF((J493+K493+L493+M493)/2&gt;=40,2,IF((J493+K493+L493+M493)/2&gt;=33,1,0)))))))</f>
        <v/>
      </c>
      <c r="AH493">
        <f>IF(Z493,0,IF(N493+O493&gt;=80,5,IF(N493+O493&gt;=70,4,IF(N493+O493&gt;=60,3.5,IF(N493+O493&gt;=50,3,IF(N493+O493&gt;=40,2,IF(N493+O493&gt;=33,1,0)))))))</f>
        <v/>
      </c>
      <c r="AI493">
        <f>IF(AA493,0,IF(P493+Q493&gt;=80,5,IF(P493+Q493&gt;=70,4,IF(P493+Q493&gt;=60,3.5,IF(P493+Q493&gt;=50,3,IF(P493+Q493&gt;=40,2,IF(P493+Q493&gt;=33,1,0)))))))</f>
        <v/>
      </c>
      <c r="AJ493">
        <f>IF(R493&lt;8.25,0,IF(R493*2&gt;=80,5,IF(R493*2&gt;=70,4,IF(R493*2&gt;=60,3.5,IF(R493*2&gt;=50,3,IF(R493*2&gt;=40,2,IF(R493*2&gt;=33,1,0)))))))</f>
        <v/>
      </c>
      <c r="AK493">
        <f>IF(S493&lt;33,0,IF(S493&gt;=80,5,IF(S493&gt;=70,4,IF(S493&gt;=60,3.5,IF(S493&gt;=50,3,IF(S493&gt;=40,2,IF(S493&gt;=33,1,0)))))))</f>
        <v/>
      </c>
      <c r="AL493">
        <f>(AC493+AD493+AE493+AF493+AG493+AH493+AI493+AJ493)/8</f>
        <v/>
      </c>
      <c r="AM493">
        <f>IF(AK493&gt;=2,(AK493-2)/8,0)</f>
        <v/>
      </c>
    </row>
    <row r="494">
      <c r="T494">
        <f>SUM(C494:R494)</f>
        <v/>
      </c>
      <c r="U494" s="6">
        <f>ROUND(T494/11.5,2)</f>
        <v/>
      </c>
      <c r="V494" s="7">
        <f>IF(B494="","",IF(AB494,0,ROUND(AL494,2)))</f>
        <v/>
      </c>
      <c r="W494" s="7">
        <f>IF(B494="","",IF(AB494,0,MIN(5,ROUND(AL494+AM494,2))))</f>
        <v/>
      </c>
      <c r="X494" s="8">
        <f>IF(B494="","",IF(W494&gt;=5,"A+",IF(W494&gt;=4,"A",IF(W494&gt;=3.5,"A-",IF(W494&gt;=3,"B",IF(W494&gt;=2,"C",IF(W494&gt;=1,"D","F")))))))</f>
        <v/>
      </c>
      <c r="Y494">
        <f>NOT(OR(AND(J494&gt;=10,K494&gt;=23,L494&gt;=10,M494&gt;=23),AND(J494+L494&gt;=20,K494+M494&gt;=46)))</f>
        <v/>
      </c>
      <c r="Z494">
        <f>OR(N494&lt;10,O494&lt;23)</f>
        <v/>
      </c>
      <c r="AA494">
        <f>OR(P494&lt;10,Q494&lt;23)</f>
        <v/>
      </c>
      <c r="AB494">
        <f>OR((C494+D494)&lt;66,(E494+F494)&lt;66,G494&lt;33,(H494+I494)&lt;66,Y494,Z494,AA494,R494&lt;8.25)</f>
        <v/>
      </c>
      <c r="AC494">
        <f>IF(C494+D494&lt;66,0,IF((C494+D494)/2&gt;=80,5,IF((C494+D494)/2&gt;=70,4,IF((C494+D494)/2&gt;=60,3.5,IF((C494+D494)/2&gt;=50,3,IF((C494+D494)/2&gt;=40,2,IF((C494+D494)/2&gt;=33,1,0)))))))</f>
        <v/>
      </c>
      <c r="AD494">
        <f>IF(E494+F494&lt;66,0,IF((E494+F494)/2&gt;=80,5,IF((E494+F494)/2&gt;=70,4,IF((E494+F494)/2&gt;=60,3.5,IF((E494+F494)/2&gt;=50,3,IF((E494+F494)/2&gt;=40,2,IF((E494+F494)/2&gt;=33,1,0)))))))</f>
        <v/>
      </c>
      <c r="AE494">
        <f>IF(G494&lt;33,0,IF(G494&gt;=80,5,IF(G494&gt;=70,4,IF(G494&gt;=60,3.5,IF(G494&gt;=50,3,IF(G494&gt;=40,2,IF(G494&gt;=33,1,0)))))))</f>
        <v/>
      </c>
      <c r="AF494">
        <f>IF(H494+I494&lt;66,0,IF((H494+I494)/2&gt;=80,5,IF((H494+I494)/2&gt;=70,4,IF((H494+I494)/2&gt;=60,3.5,IF((H494+I494)/2&gt;=50,3,IF((H494+I494)/2&gt;=40,2,IF((H494+I494)/2&gt;=33,1,0)))))))</f>
        <v/>
      </c>
      <c r="AG494">
        <f>IF(Y494,0,IF((J494+K494+L494+M494)/2&gt;=80,5,IF((J494+K494+L494+M494)/2&gt;=70,4,IF((J494+K494+L494+M494)/2&gt;=60,3.5,IF((J494+K494+L494+M494)/2&gt;=50,3,IF((J494+K494+L494+M494)/2&gt;=40,2,IF((J494+K494+L494+M494)/2&gt;=33,1,0)))))))</f>
        <v/>
      </c>
      <c r="AH494">
        <f>IF(Z494,0,IF(N494+O494&gt;=80,5,IF(N494+O494&gt;=70,4,IF(N494+O494&gt;=60,3.5,IF(N494+O494&gt;=50,3,IF(N494+O494&gt;=40,2,IF(N494+O494&gt;=33,1,0)))))))</f>
        <v/>
      </c>
      <c r="AI494">
        <f>IF(AA494,0,IF(P494+Q494&gt;=80,5,IF(P494+Q494&gt;=70,4,IF(P494+Q494&gt;=60,3.5,IF(P494+Q494&gt;=50,3,IF(P494+Q494&gt;=40,2,IF(P494+Q494&gt;=33,1,0)))))))</f>
        <v/>
      </c>
      <c r="AJ494">
        <f>IF(R494&lt;8.25,0,IF(R494*2&gt;=80,5,IF(R494*2&gt;=70,4,IF(R494*2&gt;=60,3.5,IF(R494*2&gt;=50,3,IF(R494*2&gt;=40,2,IF(R494*2&gt;=33,1,0)))))))</f>
        <v/>
      </c>
      <c r="AK494">
        <f>IF(S494&lt;33,0,IF(S494&gt;=80,5,IF(S494&gt;=70,4,IF(S494&gt;=60,3.5,IF(S494&gt;=50,3,IF(S494&gt;=40,2,IF(S494&gt;=33,1,0)))))))</f>
        <v/>
      </c>
      <c r="AL494">
        <f>(AC494+AD494+AE494+AF494+AG494+AH494+AI494+AJ494)/8</f>
        <v/>
      </c>
      <c r="AM494">
        <f>IF(AK494&gt;=2,(AK494-2)/8,0)</f>
        <v/>
      </c>
    </row>
    <row r="495">
      <c r="T495">
        <f>SUM(C495:R495)</f>
        <v/>
      </c>
      <c r="U495" s="6">
        <f>ROUND(T495/11.5,2)</f>
        <v/>
      </c>
      <c r="V495" s="7">
        <f>IF(B495="","",IF(AB495,0,ROUND(AL495,2)))</f>
        <v/>
      </c>
      <c r="W495" s="7">
        <f>IF(B495="","",IF(AB495,0,MIN(5,ROUND(AL495+AM495,2))))</f>
        <v/>
      </c>
      <c r="X495" s="8">
        <f>IF(B495="","",IF(W495&gt;=5,"A+",IF(W495&gt;=4,"A",IF(W495&gt;=3.5,"A-",IF(W495&gt;=3,"B",IF(W495&gt;=2,"C",IF(W495&gt;=1,"D","F")))))))</f>
        <v/>
      </c>
      <c r="Y495">
        <f>NOT(OR(AND(J495&gt;=10,K495&gt;=23,L495&gt;=10,M495&gt;=23),AND(J495+L495&gt;=20,K495+M495&gt;=46)))</f>
        <v/>
      </c>
      <c r="Z495">
        <f>OR(N495&lt;10,O495&lt;23)</f>
        <v/>
      </c>
      <c r="AA495">
        <f>OR(P495&lt;10,Q495&lt;23)</f>
        <v/>
      </c>
      <c r="AB495">
        <f>OR((C495+D495)&lt;66,(E495+F495)&lt;66,G495&lt;33,(H495+I495)&lt;66,Y495,Z495,AA495,R495&lt;8.25)</f>
        <v/>
      </c>
      <c r="AC495">
        <f>IF(C495+D495&lt;66,0,IF((C495+D495)/2&gt;=80,5,IF((C495+D495)/2&gt;=70,4,IF((C495+D495)/2&gt;=60,3.5,IF((C495+D495)/2&gt;=50,3,IF((C495+D495)/2&gt;=40,2,IF((C495+D495)/2&gt;=33,1,0)))))))</f>
        <v/>
      </c>
      <c r="AD495">
        <f>IF(E495+F495&lt;66,0,IF((E495+F495)/2&gt;=80,5,IF((E495+F495)/2&gt;=70,4,IF((E495+F495)/2&gt;=60,3.5,IF((E495+F495)/2&gt;=50,3,IF((E495+F495)/2&gt;=40,2,IF((E495+F495)/2&gt;=33,1,0)))))))</f>
        <v/>
      </c>
      <c r="AE495">
        <f>IF(G495&lt;33,0,IF(G495&gt;=80,5,IF(G495&gt;=70,4,IF(G495&gt;=60,3.5,IF(G495&gt;=50,3,IF(G495&gt;=40,2,IF(G495&gt;=33,1,0)))))))</f>
        <v/>
      </c>
      <c r="AF495">
        <f>IF(H495+I495&lt;66,0,IF((H495+I495)/2&gt;=80,5,IF((H495+I495)/2&gt;=70,4,IF((H495+I495)/2&gt;=60,3.5,IF((H495+I495)/2&gt;=50,3,IF((H495+I495)/2&gt;=40,2,IF((H495+I495)/2&gt;=33,1,0)))))))</f>
        <v/>
      </c>
      <c r="AG495">
        <f>IF(Y495,0,IF((J495+K495+L495+M495)/2&gt;=80,5,IF((J495+K495+L495+M495)/2&gt;=70,4,IF((J495+K495+L495+M495)/2&gt;=60,3.5,IF((J495+K495+L495+M495)/2&gt;=50,3,IF((J495+K495+L495+M495)/2&gt;=40,2,IF((J495+K495+L495+M495)/2&gt;=33,1,0)))))))</f>
        <v/>
      </c>
      <c r="AH495">
        <f>IF(Z495,0,IF(N495+O495&gt;=80,5,IF(N495+O495&gt;=70,4,IF(N495+O495&gt;=60,3.5,IF(N495+O495&gt;=50,3,IF(N495+O495&gt;=40,2,IF(N495+O495&gt;=33,1,0)))))))</f>
        <v/>
      </c>
      <c r="AI495">
        <f>IF(AA495,0,IF(P495+Q495&gt;=80,5,IF(P495+Q495&gt;=70,4,IF(P495+Q495&gt;=60,3.5,IF(P495+Q495&gt;=50,3,IF(P495+Q495&gt;=40,2,IF(P495+Q495&gt;=33,1,0)))))))</f>
        <v/>
      </c>
      <c r="AJ495">
        <f>IF(R495&lt;8.25,0,IF(R495*2&gt;=80,5,IF(R495*2&gt;=70,4,IF(R495*2&gt;=60,3.5,IF(R495*2&gt;=50,3,IF(R495*2&gt;=40,2,IF(R495*2&gt;=33,1,0)))))))</f>
        <v/>
      </c>
      <c r="AK495">
        <f>IF(S495&lt;33,0,IF(S495&gt;=80,5,IF(S495&gt;=70,4,IF(S495&gt;=60,3.5,IF(S495&gt;=50,3,IF(S495&gt;=40,2,IF(S495&gt;=33,1,0)))))))</f>
        <v/>
      </c>
      <c r="AL495">
        <f>(AC495+AD495+AE495+AF495+AG495+AH495+AI495+AJ495)/8</f>
        <v/>
      </c>
      <c r="AM495">
        <f>IF(AK495&gt;=2,(AK495-2)/8,0)</f>
        <v/>
      </c>
    </row>
    <row r="496">
      <c r="T496">
        <f>SUM(C496:R496)</f>
        <v/>
      </c>
      <c r="U496" s="6">
        <f>ROUND(T496/11.5,2)</f>
        <v/>
      </c>
      <c r="V496" s="7">
        <f>IF(B496="","",IF(AB496,0,ROUND(AL496,2)))</f>
        <v/>
      </c>
      <c r="W496" s="7">
        <f>IF(B496="","",IF(AB496,0,MIN(5,ROUND(AL496+AM496,2))))</f>
        <v/>
      </c>
      <c r="X496" s="8">
        <f>IF(B496="","",IF(W496&gt;=5,"A+",IF(W496&gt;=4,"A",IF(W496&gt;=3.5,"A-",IF(W496&gt;=3,"B",IF(W496&gt;=2,"C",IF(W496&gt;=1,"D","F")))))))</f>
        <v/>
      </c>
      <c r="Y496">
        <f>NOT(OR(AND(J496&gt;=10,K496&gt;=23,L496&gt;=10,M496&gt;=23),AND(J496+L496&gt;=20,K496+M496&gt;=46)))</f>
        <v/>
      </c>
      <c r="Z496">
        <f>OR(N496&lt;10,O496&lt;23)</f>
        <v/>
      </c>
      <c r="AA496">
        <f>OR(P496&lt;10,Q496&lt;23)</f>
        <v/>
      </c>
      <c r="AB496">
        <f>OR((C496+D496)&lt;66,(E496+F496)&lt;66,G496&lt;33,(H496+I496)&lt;66,Y496,Z496,AA496,R496&lt;8.25)</f>
        <v/>
      </c>
      <c r="AC496">
        <f>IF(C496+D496&lt;66,0,IF((C496+D496)/2&gt;=80,5,IF((C496+D496)/2&gt;=70,4,IF((C496+D496)/2&gt;=60,3.5,IF((C496+D496)/2&gt;=50,3,IF((C496+D496)/2&gt;=40,2,IF((C496+D496)/2&gt;=33,1,0)))))))</f>
        <v/>
      </c>
      <c r="AD496">
        <f>IF(E496+F496&lt;66,0,IF((E496+F496)/2&gt;=80,5,IF((E496+F496)/2&gt;=70,4,IF((E496+F496)/2&gt;=60,3.5,IF((E496+F496)/2&gt;=50,3,IF((E496+F496)/2&gt;=40,2,IF((E496+F496)/2&gt;=33,1,0)))))))</f>
        <v/>
      </c>
      <c r="AE496">
        <f>IF(G496&lt;33,0,IF(G496&gt;=80,5,IF(G496&gt;=70,4,IF(G496&gt;=60,3.5,IF(G496&gt;=50,3,IF(G496&gt;=40,2,IF(G496&gt;=33,1,0)))))))</f>
        <v/>
      </c>
      <c r="AF496">
        <f>IF(H496+I496&lt;66,0,IF((H496+I496)/2&gt;=80,5,IF((H496+I496)/2&gt;=70,4,IF((H496+I496)/2&gt;=60,3.5,IF((H496+I496)/2&gt;=50,3,IF((H496+I496)/2&gt;=40,2,IF((H496+I496)/2&gt;=33,1,0)))))))</f>
        <v/>
      </c>
      <c r="AG496">
        <f>IF(Y496,0,IF((J496+K496+L496+M496)/2&gt;=80,5,IF((J496+K496+L496+M496)/2&gt;=70,4,IF((J496+K496+L496+M496)/2&gt;=60,3.5,IF((J496+K496+L496+M496)/2&gt;=50,3,IF((J496+K496+L496+M496)/2&gt;=40,2,IF((J496+K496+L496+M496)/2&gt;=33,1,0)))))))</f>
        <v/>
      </c>
      <c r="AH496">
        <f>IF(Z496,0,IF(N496+O496&gt;=80,5,IF(N496+O496&gt;=70,4,IF(N496+O496&gt;=60,3.5,IF(N496+O496&gt;=50,3,IF(N496+O496&gt;=40,2,IF(N496+O496&gt;=33,1,0)))))))</f>
        <v/>
      </c>
      <c r="AI496">
        <f>IF(AA496,0,IF(P496+Q496&gt;=80,5,IF(P496+Q496&gt;=70,4,IF(P496+Q496&gt;=60,3.5,IF(P496+Q496&gt;=50,3,IF(P496+Q496&gt;=40,2,IF(P496+Q496&gt;=33,1,0)))))))</f>
        <v/>
      </c>
      <c r="AJ496">
        <f>IF(R496&lt;8.25,0,IF(R496*2&gt;=80,5,IF(R496*2&gt;=70,4,IF(R496*2&gt;=60,3.5,IF(R496*2&gt;=50,3,IF(R496*2&gt;=40,2,IF(R496*2&gt;=33,1,0)))))))</f>
        <v/>
      </c>
      <c r="AK496">
        <f>IF(S496&lt;33,0,IF(S496&gt;=80,5,IF(S496&gt;=70,4,IF(S496&gt;=60,3.5,IF(S496&gt;=50,3,IF(S496&gt;=40,2,IF(S496&gt;=33,1,0)))))))</f>
        <v/>
      </c>
      <c r="AL496">
        <f>(AC496+AD496+AE496+AF496+AG496+AH496+AI496+AJ496)/8</f>
        <v/>
      </c>
      <c r="AM496">
        <f>IF(AK496&gt;=2,(AK496-2)/8,0)</f>
        <v/>
      </c>
    </row>
    <row r="497">
      <c r="T497">
        <f>SUM(C497:R497)</f>
        <v/>
      </c>
      <c r="U497" s="6">
        <f>ROUND(T497/11.5,2)</f>
        <v/>
      </c>
      <c r="V497" s="7">
        <f>IF(B497="","",IF(AB497,0,ROUND(AL497,2)))</f>
        <v/>
      </c>
      <c r="W497" s="7">
        <f>IF(B497="","",IF(AB497,0,MIN(5,ROUND(AL497+AM497,2))))</f>
        <v/>
      </c>
      <c r="X497" s="8">
        <f>IF(B497="","",IF(W497&gt;=5,"A+",IF(W497&gt;=4,"A",IF(W497&gt;=3.5,"A-",IF(W497&gt;=3,"B",IF(W497&gt;=2,"C",IF(W497&gt;=1,"D","F")))))))</f>
        <v/>
      </c>
      <c r="Y497">
        <f>NOT(OR(AND(J497&gt;=10,K497&gt;=23,L497&gt;=10,M497&gt;=23),AND(J497+L497&gt;=20,K497+M497&gt;=46)))</f>
        <v/>
      </c>
      <c r="Z497">
        <f>OR(N497&lt;10,O497&lt;23)</f>
        <v/>
      </c>
      <c r="AA497">
        <f>OR(P497&lt;10,Q497&lt;23)</f>
        <v/>
      </c>
      <c r="AB497">
        <f>OR((C497+D497)&lt;66,(E497+F497)&lt;66,G497&lt;33,(H497+I497)&lt;66,Y497,Z497,AA497,R497&lt;8.25)</f>
        <v/>
      </c>
      <c r="AC497">
        <f>IF(C497+D497&lt;66,0,IF((C497+D497)/2&gt;=80,5,IF((C497+D497)/2&gt;=70,4,IF((C497+D497)/2&gt;=60,3.5,IF((C497+D497)/2&gt;=50,3,IF((C497+D497)/2&gt;=40,2,IF((C497+D497)/2&gt;=33,1,0)))))))</f>
        <v/>
      </c>
      <c r="AD497">
        <f>IF(E497+F497&lt;66,0,IF((E497+F497)/2&gt;=80,5,IF((E497+F497)/2&gt;=70,4,IF((E497+F497)/2&gt;=60,3.5,IF((E497+F497)/2&gt;=50,3,IF((E497+F497)/2&gt;=40,2,IF((E497+F497)/2&gt;=33,1,0)))))))</f>
        <v/>
      </c>
      <c r="AE497">
        <f>IF(G497&lt;33,0,IF(G497&gt;=80,5,IF(G497&gt;=70,4,IF(G497&gt;=60,3.5,IF(G497&gt;=50,3,IF(G497&gt;=40,2,IF(G497&gt;=33,1,0)))))))</f>
        <v/>
      </c>
      <c r="AF497">
        <f>IF(H497+I497&lt;66,0,IF((H497+I497)/2&gt;=80,5,IF((H497+I497)/2&gt;=70,4,IF((H497+I497)/2&gt;=60,3.5,IF((H497+I497)/2&gt;=50,3,IF((H497+I497)/2&gt;=40,2,IF((H497+I497)/2&gt;=33,1,0)))))))</f>
        <v/>
      </c>
      <c r="AG497">
        <f>IF(Y497,0,IF((J497+K497+L497+M497)/2&gt;=80,5,IF((J497+K497+L497+M497)/2&gt;=70,4,IF((J497+K497+L497+M497)/2&gt;=60,3.5,IF((J497+K497+L497+M497)/2&gt;=50,3,IF((J497+K497+L497+M497)/2&gt;=40,2,IF((J497+K497+L497+M497)/2&gt;=33,1,0)))))))</f>
        <v/>
      </c>
      <c r="AH497">
        <f>IF(Z497,0,IF(N497+O497&gt;=80,5,IF(N497+O497&gt;=70,4,IF(N497+O497&gt;=60,3.5,IF(N497+O497&gt;=50,3,IF(N497+O497&gt;=40,2,IF(N497+O497&gt;=33,1,0)))))))</f>
        <v/>
      </c>
      <c r="AI497">
        <f>IF(AA497,0,IF(P497+Q497&gt;=80,5,IF(P497+Q497&gt;=70,4,IF(P497+Q497&gt;=60,3.5,IF(P497+Q497&gt;=50,3,IF(P497+Q497&gt;=40,2,IF(P497+Q497&gt;=33,1,0)))))))</f>
        <v/>
      </c>
      <c r="AJ497">
        <f>IF(R497&lt;8.25,0,IF(R497*2&gt;=80,5,IF(R497*2&gt;=70,4,IF(R497*2&gt;=60,3.5,IF(R497*2&gt;=50,3,IF(R497*2&gt;=40,2,IF(R497*2&gt;=33,1,0)))))))</f>
        <v/>
      </c>
      <c r="AK497">
        <f>IF(S497&lt;33,0,IF(S497&gt;=80,5,IF(S497&gt;=70,4,IF(S497&gt;=60,3.5,IF(S497&gt;=50,3,IF(S497&gt;=40,2,IF(S497&gt;=33,1,0)))))))</f>
        <v/>
      </c>
      <c r="AL497">
        <f>(AC497+AD497+AE497+AF497+AG497+AH497+AI497+AJ497)/8</f>
        <v/>
      </c>
      <c r="AM497">
        <f>IF(AK497&gt;=2,(AK497-2)/8,0)</f>
        <v/>
      </c>
    </row>
    <row r="498">
      <c r="T498">
        <f>SUM(C498:R498)</f>
        <v/>
      </c>
      <c r="U498" s="6">
        <f>ROUND(T498/11.5,2)</f>
        <v/>
      </c>
      <c r="V498" s="7">
        <f>IF(B498="","",IF(AB498,0,ROUND(AL498,2)))</f>
        <v/>
      </c>
      <c r="W498" s="7">
        <f>IF(B498="","",IF(AB498,0,MIN(5,ROUND(AL498+AM498,2))))</f>
        <v/>
      </c>
      <c r="X498" s="8">
        <f>IF(B498="","",IF(W498&gt;=5,"A+",IF(W498&gt;=4,"A",IF(W498&gt;=3.5,"A-",IF(W498&gt;=3,"B",IF(W498&gt;=2,"C",IF(W498&gt;=1,"D","F")))))))</f>
        <v/>
      </c>
      <c r="Y498">
        <f>NOT(OR(AND(J498&gt;=10,K498&gt;=23,L498&gt;=10,M498&gt;=23),AND(J498+L498&gt;=20,K498+M498&gt;=46)))</f>
        <v/>
      </c>
      <c r="Z498">
        <f>OR(N498&lt;10,O498&lt;23)</f>
        <v/>
      </c>
      <c r="AA498">
        <f>OR(P498&lt;10,Q498&lt;23)</f>
        <v/>
      </c>
      <c r="AB498">
        <f>OR((C498+D498)&lt;66,(E498+F498)&lt;66,G498&lt;33,(H498+I498)&lt;66,Y498,Z498,AA498,R498&lt;8.25)</f>
        <v/>
      </c>
      <c r="AC498">
        <f>IF(C498+D498&lt;66,0,IF((C498+D498)/2&gt;=80,5,IF((C498+D498)/2&gt;=70,4,IF((C498+D498)/2&gt;=60,3.5,IF((C498+D498)/2&gt;=50,3,IF((C498+D498)/2&gt;=40,2,IF((C498+D498)/2&gt;=33,1,0)))))))</f>
        <v/>
      </c>
      <c r="AD498">
        <f>IF(E498+F498&lt;66,0,IF((E498+F498)/2&gt;=80,5,IF((E498+F498)/2&gt;=70,4,IF((E498+F498)/2&gt;=60,3.5,IF((E498+F498)/2&gt;=50,3,IF((E498+F498)/2&gt;=40,2,IF((E498+F498)/2&gt;=33,1,0)))))))</f>
        <v/>
      </c>
      <c r="AE498">
        <f>IF(G498&lt;33,0,IF(G498&gt;=80,5,IF(G498&gt;=70,4,IF(G498&gt;=60,3.5,IF(G498&gt;=50,3,IF(G498&gt;=40,2,IF(G498&gt;=33,1,0)))))))</f>
        <v/>
      </c>
      <c r="AF498">
        <f>IF(H498+I498&lt;66,0,IF((H498+I498)/2&gt;=80,5,IF((H498+I498)/2&gt;=70,4,IF((H498+I498)/2&gt;=60,3.5,IF((H498+I498)/2&gt;=50,3,IF((H498+I498)/2&gt;=40,2,IF((H498+I498)/2&gt;=33,1,0)))))))</f>
        <v/>
      </c>
      <c r="AG498">
        <f>IF(Y498,0,IF((J498+K498+L498+M498)/2&gt;=80,5,IF((J498+K498+L498+M498)/2&gt;=70,4,IF((J498+K498+L498+M498)/2&gt;=60,3.5,IF((J498+K498+L498+M498)/2&gt;=50,3,IF((J498+K498+L498+M498)/2&gt;=40,2,IF((J498+K498+L498+M498)/2&gt;=33,1,0)))))))</f>
        <v/>
      </c>
      <c r="AH498">
        <f>IF(Z498,0,IF(N498+O498&gt;=80,5,IF(N498+O498&gt;=70,4,IF(N498+O498&gt;=60,3.5,IF(N498+O498&gt;=50,3,IF(N498+O498&gt;=40,2,IF(N498+O498&gt;=33,1,0)))))))</f>
        <v/>
      </c>
      <c r="AI498">
        <f>IF(AA498,0,IF(P498+Q498&gt;=80,5,IF(P498+Q498&gt;=70,4,IF(P498+Q498&gt;=60,3.5,IF(P498+Q498&gt;=50,3,IF(P498+Q498&gt;=40,2,IF(P498+Q498&gt;=33,1,0)))))))</f>
        <v/>
      </c>
      <c r="AJ498">
        <f>IF(R498&lt;8.25,0,IF(R498*2&gt;=80,5,IF(R498*2&gt;=70,4,IF(R498*2&gt;=60,3.5,IF(R498*2&gt;=50,3,IF(R498*2&gt;=40,2,IF(R498*2&gt;=33,1,0)))))))</f>
        <v/>
      </c>
      <c r="AK498">
        <f>IF(S498&lt;33,0,IF(S498&gt;=80,5,IF(S498&gt;=70,4,IF(S498&gt;=60,3.5,IF(S498&gt;=50,3,IF(S498&gt;=40,2,IF(S498&gt;=33,1,0)))))))</f>
        <v/>
      </c>
      <c r="AL498">
        <f>(AC498+AD498+AE498+AF498+AG498+AH498+AI498+AJ498)/8</f>
        <v/>
      </c>
      <c r="AM498">
        <f>IF(AK498&gt;=2,(AK498-2)/8,0)</f>
        <v/>
      </c>
    </row>
    <row r="499">
      <c r="T499">
        <f>SUM(C499:R499)</f>
        <v/>
      </c>
      <c r="U499" s="6">
        <f>ROUND(T499/11.5,2)</f>
        <v/>
      </c>
      <c r="V499" s="7">
        <f>IF(B499="","",IF(AB499,0,ROUND(AL499,2)))</f>
        <v/>
      </c>
      <c r="W499" s="7">
        <f>IF(B499="","",IF(AB499,0,MIN(5,ROUND(AL499+AM499,2))))</f>
        <v/>
      </c>
      <c r="X499" s="8">
        <f>IF(B499="","",IF(W499&gt;=5,"A+",IF(W499&gt;=4,"A",IF(W499&gt;=3.5,"A-",IF(W499&gt;=3,"B",IF(W499&gt;=2,"C",IF(W499&gt;=1,"D","F")))))))</f>
        <v/>
      </c>
      <c r="Y499">
        <f>NOT(OR(AND(J499&gt;=10,K499&gt;=23,L499&gt;=10,M499&gt;=23),AND(J499+L499&gt;=20,K499+M499&gt;=46)))</f>
        <v/>
      </c>
      <c r="Z499">
        <f>OR(N499&lt;10,O499&lt;23)</f>
        <v/>
      </c>
      <c r="AA499">
        <f>OR(P499&lt;10,Q499&lt;23)</f>
        <v/>
      </c>
      <c r="AB499">
        <f>OR((C499+D499)&lt;66,(E499+F499)&lt;66,G499&lt;33,(H499+I499)&lt;66,Y499,Z499,AA499,R499&lt;8.25)</f>
        <v/>
      </c>
      <c r="AC499">
        <f>IF(C499+D499&lt;66,0,IF((C499+D499)/2&gt;=80,5,IF((C499+D499)/2&gt;=70,4,IF((C499+D499)/2&gt;=60,3.5,IF((C499+D499)/2&gt;=50,3,IF((C499+D499)/2&gt;=40,2,IF((C499+D499)/2&gt;=33,1,0)))))))</f>
        <v/>
      </c>
      <c r="AD499">
        <f>IF(E499+F499&lt;66,0,IF((E499+F499)/2&gt;=80,5,IF((E499+F499)/2&gt;=70,4,IF((E499+F499)/2&gt;=60,3.5,IF((E499+F499)/2&gt;=50,3,IF((E499+F499)/2&gt;=40,2,IF((E499+F499)/2&gt;=33,1,0)))))))</f>
        <v/>
      </c>
      <c r="AE499">
        <f>IF(G499&lt;33,0,IF(G499&gt;=80,5,IF(G499&gt;=70,4,IF(G499&gt;=60,3.5,IF(G499&gt;=50,3,IF(G499&gt;=40,2,IF(G499&gt;=33,1,0)))))))</f>
        <v/>
      </c>
      <c r="AF499">
        <f>IF(H499+I499&lt;66,0,IF((H499+I499)/2&gt;=80,5,IF((H499+I499)/2&gt;=70,4,IF((H499+I499)/2&gt;=60,3.5,IF((H499+I499)/2&gt;=50,3,IF((H499+I499)/2&gt;=40,2,IF((H499+I499)/2&gt;=33,1,0)))))))</f>
        <v/>
      </c>
      <c r="AG499">
        <f>IF(Y499,0,IF((J499+K499+L499+M499)/2&gt;=80,5,IF((J499+K499+L499+M499)/2&gt;=70,4,IF((J499+K499+L499+M499)/2&gt;=60,3.5,IF((J499+K499+L499+M499)/2&gt;=50,3,IF((J499+K499+L499+M499)/2&gt;=40,2,IF((J499+K499+L499+M499)/2&gt;=33,1,0)))))))</f>
        <v/>
      </c>
      <c r="AH499">
        <f>IF(Z499,0,IF(N499+O499&gt;=80,5,IF(N499+O499&gt;=70,4,IF(N499+O499&gt;=60,3.5,IF(N499+O499&gt;=50,3,IF(N499+O499&gt;=40,2,IF(N499+O499&gt;=33,1,0)))))))</f>
        <v/>
      </c>
      <c r="AI499">
        <f>IF(AA499,0,IF(P499+Q499&gt;=80,5,IF(P499+Q499&gt;=70,4,IF(P499+Q499&gt;=60,3.5,IF(P499+Q499&gt;=50,3,IF(P499+Q499&gt;=40,2,IF(P499+Q499&gt;=33,1,0)))))))</f>
        <v/>
      </c>
      <c r="AJ499">
        <f>IF(R499&lt;8.25,0,IF(R499*2&gt;=80,5,IF(R499*2&gt;=70,4,IF(R499*2&gt;=60,3.5,IF(R499*2&gt;=50,3,IF(R499*2&gt;=40,2,IF(R499*2&gt;=33,1,0)))))))</f>
        <v/>
      </c>
      <c r="AK499">
        <f>IF(S499&lt;33,0,IF(S499&gt;=80,5,IF(S499&gt;=70,4,IF(S499&gt;=60,3.5,IF(S499&gt;=50,3,IF(S499&gt;=40,2,IF(S499&gt;=33,1,0)))))))</f>
        <v/>
      </c>
      <c r="AL499">
        <f>(AC499+AD499+AE499+AF499+AG499+AH499+AI499+AJ499)/8</f>
        <v/>
      </c>
      <c r="AM499">
        <f>IF(AK499&gt;=2,(AK499-2)/8,0)</f>
        <v/>
      </c>
    </row>
    <row r="500">
      <c r="T500">
        <f>SUM(C500:R500)</f>
        <v/>
      </c>
      <c r="U500" s="6">
        <f>ROUND(T500/11.5,2)</f>
        <v/>
      </c>
      <c r="V500" s="7">
        <f>IF(B500="","",IF(AB500,0,ROUND(AL500,2)))</f>
        <v/>
      </c>
      <c r="W500" s="7">
        <f>IF(B500="","",IF(AB500,0,MIN(5,ROUND(AL500+AM500,2))))</f>
        <v/>
      </c>
      <c r="X500" s="8">
        <f>IF(B500="","",IF(W500&gt;=5,"A+",IF(W500&gt;=4,"A",IF(W500&gt;=3.5,"A-",IF(W500&gt;=3,"B",IF(W500&gt;=2,"C",IF(W500&gt;=1,"D","F")))))))</f>
        <v/>
      </c>
      <c r="Y500">
        <f>NOT(OR(AND(J500&gt;=10,K500&gt;=23,L500&gt;=10,M500&gt;=23),AND(J500+L500&gt;=20,K500+M500&gt;=46)))</f>
        <v/>
      </c>
      <c r="Z500">
        <f>OR(N500&lt;10,O500&lt;23)</f>
        <v/>
      </c>
      <c r="AA500">
        <f>OR(P500&lt;10,Q500&lt;23)</f>
        <v/>
      </c>
      <c r="AB500">
        <f>OR((C500+D500)&lt;66,(E500+F500)&lt;66,G500&lt;33,(H500+I500)&lt;66,Y500,Z500,AA500,R500&lt;8.25)</f>
        <v/>
      </c>
      <c r="AC500">
        <f>IF(C500+D500&lt;66,0,IF((C500+D500)/2&gt;=80,5,IF((C500+D500)/2&gt;=70,4,IF((C500+D500)/2&gt;=60,3.5,IF((C500+D500)/2&gt;=50,3,IF((C500+D500)/2&gt;=40,2,IF((C500+D500)/2&gt;=33,1,0)))))))</f>
        <v/>
      </c>
      <c r="AD500">
        <f>IF(E500+F500&lt;66,0,IF((E500+F500)/2&gt;=80,5,IF((E500+F500)/2&gt;=70,4,IF((E500+F500)/2&gt;=60,3.5,IF((E500+F500)/2&gt;=50,3,IF((E500+F500)/2&gt;=40,2,IF((E500+F500)/2&gt;=33,1,0)))))))</f>
        <v/>
      </c>
      <c r="AE500">
        <f>IF(G500&lt;33,0,IF(G500&gt;=80,5,IF(G500&gt;=70,4,IF(G500&gt;=60,3.5,IF(G500&gt;=50,3,IF(G500&gt;=40,2,IF(G500&gt;=33,1,0)))))))</f>
        <v/>
      </c>
      <c r="AF500">
        <f>IF(H500+I500&lt;66,0,IF((H500+I500)/2&gt;=80,5,IF((H500+I500)/2&gt;=70,4,IF((H500+I500)/2&gt;=60,3.5,IF((H500+I500)/2&gt;=50,3,IF((H500+I500)/2&gt;=40,2,IF((H500+I500)/2&gt;=33,1,0)))))))</f>
        <v/>
      </c>
      <c r="AG500">
        <f>IF(Y500,0,IF((J500+K500+L500+M500)/2&gt;=80,5,IF((J500+K500+L500+M500)/2&gt;=70,4,IF((J500+K500+L500+M500)/2&gt;=60,3.5,IF((J500+K500+L500+M500)/2&gt;=50,3,IF((J500+K500+L500+M500)/2&gt;=40,2,IF((J500+K500+L500+M500)/2&gt;=33,1,0)))))))</f>
        <v/>
      </c>
      <c r="AH500">
        <f>IF(Z500,0,IF(N500+O500&gt;=80,5,IF(N500+O500&gt;=70,4,IF(N500+O500&gt;=60,3.5,IF(N500+O500&gt;=50,3,IF(N500+O500&gt;=40,2,IF(N500+O500&gt;=33,1,0)))))))</f>
        <v/>
      </c>
      <c r="AI500">
        <f>IF(AA500,0,IF(P500+Q500&gt;=80,5,IF(P500+Q500&gt;=70,4,IF(P500+Q500&gt;=60,3.5,IF(P500+Q500&gt;=50,3,IF(P500+Q500&gt;=40,2,IF(P500+Q500&gt;=33,1,0)))))))</f>
        <v/>
      </c>
      <c r="AJ500">
        <f>IF(R500&lt;8.25,0,IF(R500*2&gt;=80,5,IF(R500*2&gt;=70,4,IF(R500*2&gt;=60,3.5,IF(R500*2&gt;=50,3,IF(R500*2&gt;=40,2,IF(R500*2&gt;=33,1,0)))))))</f>
        <v/>
      </c>
      <c r="AK500">
        <f>IF(S500&lt;33,0,IF(S500&gt;=80,5,IF(S500&gt;=70,4,IF(S500&gt;=60,3.5,IF(S500&gt;=50,3,IF(S500&gt;=40,2,IF(S500&gt;=33,1,0)))))))</f>
        <v/>
      </c>
      <c r="AL500">
        <f>(AC500+AD500+AE500+AF500+AG500+AH500+AI500+AJ500)/8</f>
        <v/>
      </c>
      <c r="AM500">
        <f>IF(AK500&gt;=2,(AK500-2)/8,0)</f>
        <v/>
      </c>
    </row>
    <row r="501">
      <c r="T501">
        <f>SUM(C501:R501)</f>
        <v/>
      </c>
      <c r="U501" s="6">
        <f>ROUND(T501/11.5,2)</f>
        <v/>
      </c>
      <c r="V501" s="7">
        <f>IF(B501="","",IF(AB501,0,ROUND(AL501,2)))</f>
        <v/>
      </c>
      <c r="W501" s="7">
        <f>IF(B501="","",IF(AB501,0,MIN(5,ROUND(AL501+AM501,2))))</f>
        <v/>
      </c>
      <c r="X501" s="8">
        <f>IF(B501="","",IF(W501&gt;=5,"A+",IF(W501&gt;=4,"A",IF(W501&gt;=3.5,"A-",IF(W501&gt;=3,"B",IF(W501&gt;=2,"C",IF(W501&gt;=1,"D","F")))))))</f>
        <v/>
      </c>
      <c r="Y501">
        <f>NOT(OR(AND(J501&gt;=10,K501&gt;=23,L501&gt;=10,M501&gt;=23),AND(J501+L501&gt;=20,K501+M501&gt;=46)))</f>
        <v/>
      </c>
      <c r="Z501">
        <f>OR(N501&lt;10,O501&lt;23)</f>
        <v/>
      </c>
      <c r="AA501">
        <f>OR(P501&lt;10,Q501&lt;23)</f>
        <v/>
      </c>
      <c r="AB501">
        <f>OR((C501+D501)&lt;66,(E501+F501)&lt;66,G501&lt;33,(H501+I501)&lt;66,Y501,Z501,AA501,R501&lt;8.25)</f>
        <v/>
      </c>
      <c r="AC501">
        <f>IF(C501+D501&lt;66,0,IF((C501+D501)/2&gt;=80,5,IF((C501+D501)/2&gt;=70,4,IF((C501+D501)/2&gt;=60,3.5,IF((C501+D501)/2&gt;=50,3,IF((C501+D501)/2&gt;=40,2,IF((C501+D501)/2&gt;=33,1,0)))))))</f>
        <v/>
      </c>
      <c r="AD501">
        <f>IF(E501+F501&lt;66,0,IF((E501+F501)/2&gt;=80,5,IF((E501+F501)/2&gt;=70,4,IF((E501+F501)/2&gt;=60,3.5,IF((E501+F501)/2&gt;=50,3,IF((E501+F501)/2&gt;=40,2,IF((E501+F501)/2&gt;=33,1,0)))))))</f>
        <v/>
      </c>
      <c r="AE501">
        <f>IF(G501&lt;33,0,IF(G501&gt;=80,5,IF(G501&gt;=70,4,IF(G501&gt;=60,3.5,IF(G501&gt;=50,3,IF(G501&gt;=40,2,IF(G501&gt;=33,1,0)))))))</f>
        <v/>
      </c>
      <c r="AF501">
        <f>IF(H501+I501&lt;66,0,IF((H501+I501)/2&gt;=80,5,IF((H501+I501)/2&gt;=70,4,IF((H501+I501)/2&gt;=60,3.5,IF((H501+I501)/2&gt;=50,3,IF((H501+I501)/2&gt;=40,2,IF((H501+I501)/2&gt;=33,1,0)))))))</f>
        <v/>
      </c>
      <c r="AG501">
        <f>IF(Y501,0,IF((J501+K501+L501+M501)/2&gt;=80,5,IF((J501+K501+L501+M501)/2&gt;=70,4,IF((J501+K501+L501+M501)/2&gt;=60,3.5,IF((J501+K501+L501+M501)/2&gt;=50,3,IF((J501+K501+L501+M501)/2&gt;=40,2,IF((J501+K501+L501+M501)/2&gt;=33,1,0)))))))</f>
        <v/>
      </c>
      <c r="AH501">
        <f>IF(Z501,0,IF(N501+O501&gt;=80,5,IF(N501+O501&gt;=70,4,IF(N501+O501&gt;=60,3.5,IF(N501+O501&gt;=50,3,IF(N501+O501&gt;=40,2,IF(N501+O501&gt;=33,1,0)))))))</f>
        <v/>
      </c>
      <c r="AI501">
        <f>IF(AA501,0,IF(P501+Q501&gt;=80,5,IF(P501+Q501&gt;=70,4,IF(P501+Q501&gt;=60,3.5,IF(P501+Q501&gt;=50,3,IF(P501+Q501&gt;=40,2,IF(P501+Q501&gt;=33,1,0)))))))</f>
        <v/>
      </c>
      <c r="AJ501">
        <f>IF(R501&lt;8.25,0,IF(R501*2&gt;=80,5,IF(R501*2&gt;=70,4,IF(R501*2&gt;=60,3.5,IF(R501*2&gt;=50,3,IF(R501*2&gt;=40,2,IF(R501*2&gt;=33,1,0)))))))</f>
        <v/>
      </c>
      <c r="AK501">
        <f>IF(S501&lt;33,0,IF(S501&gt;=80,5,IF(S501&gt;=70,4,IF(S501&gt;=60,3.5,IF(S501&gt;=50,3,IF(S501&gt;=40,2,IF(S501&gt;=33,1,0)))))))</f>
        <v/>
      </c>
      <c r="AL501">
        <f>(AC501+AD501+AE501+AF501+AG501+AH501+AI501+AJ501)/8</f>
        <v/>
      </c>
      <c r="AM501">
        <f>IF(AK501&gt;=2,(AK501-2)/8,0)</f>
        <v/>
      </c>
    </row>
    <row r="502">
      <c r="T502">
        <f>SUM(C502:R502)</f>
        <v/>
      </c>
      <c r="U502" s="6">
        <f>ROUND(T502/11.5,2)</f>
        <v/>
      </c>
      <c r="V502" s="7">
        <f>IF(B502="","",IF(AB502,0,ROUND(AL502,2)))</f>
        <v/>
      </c>
      <c r="W502" s="7">
        <f>IF(B502="","",IF(AB502,0,MIN(5,ROUND(AL502+AM502,2))))</f>
        <v/>
      </c>
      <c r="X502" s="8">
        <f>IF(B502="","",IF(W502&gt;=5,"A+",IF(W502&gt;=4,"A",IF(W502&gt;=3.5,"A-",IF(W502&gt;=3,"B",IF(W502&gt;=2,"C",IF(W502&gt;=1,"D","F")))))))</f>
        <v/>
      </c>
      <c r="Y502">
        <f>NOT(OR(AND(J502&gt;=10,K502&gt;=23,L502&gt;=10,M502&gt;=23),AND(J502+L502&gt;=20,K502+M502&gt;=46)))</f>
        <v/>
      </c>
      <c r="Z502">
        <f>OR(N502&lt;10,O502&lt;23)</f>
        <v/>
      </c>
      <c r="AA502">
        <f>OR(P502&lt;10,Q502&lt;23)</f>
        <v/>
      </c>
      <c r="AB502">
        <f>OR((C502+D502)&lt;66,(E502+F502)&lt;66,G502&lt;33,(H502+I502)&lt;66,Y502,Z502,AA502,R502&lt;8.25)</f>
        <v/>
      </c>
      <c r="AC502">
        <f>IF(C502+D502&lt;66,0,IF((C502+D502)/2&gt;=80,5,IF((C502+D502)/2&gt;=70,4,IF((C502+D502)/2&gt;=60,3.5,IF((C502+D502)/2&gt;=50,3,IF((C502+D502)/2&gt;=40,2,IF((C502+D502)/2&gt;=33,1,0)))))))</f>
        <v/>
      </c>
      <c r="AD502">
        <f>IF(E502+F502&lt;66,0,IF((E502+F502)/2&gt;=80,5,IF((E502+F502)/2&gt;=70,4,IF((E502+F502)/2&gt;=60,3.5,IF((E502+F502)/2&gt;=50,3,IF((E502+F502)/2&gt;=40,2,IF((E502+F502)/2&gt;=33,1,0)))))))</f>
        <v/>
      </c>
      <c r="AE502">
        <f>IF(G502&lt;33,0,IF(G502&gt;=80,5,IF(G502&gt;=70,4,IF(G502&gt;=60,3.5,IF(G502&gt;=50,3,IF(G502&gt;=40,2,IF(G502&gt;=33,1,0)))))))</f>
        <v/>
      </c>
      <c r="AF502">
        <f>IF(H502+I502&lt;66,0,IF((H502+I502)/2&gt;=80,5,IF((H502+I502)/2&gt;=70,4,IF((H502+I502)/2&gt;=60,3.5,IF((H502+I502)/2&gt;=50,3,IF((H502+I502)/2&gt;=40,2,IF((H502+I502)/2&gt;=33,1,0)))))))</f>
        <v/>
      </c>
      <c r="AG502">
        <f>IF(Y502,0,IF((J502+K502+L502+M502)/2&gt;=80,5,IF((J502+K502+L502+M502)/2&gt;=70,4,IF((J502+K502+L502+M502)/2&gt;=60,3.5,IF((J502+K502+L502+M502)/2&gt;=50,3,IF((J502+K502+L502+M502)/2&gt;=40,2,IF((J502+K502+L502+M502)/2&gt;=33,1,0)))))))</f>
        <v/>
      </c>
      <c r="AH502">
        <f>IF(Z502,0,IF(N502+O502&gt;=80,5,IF(N502+O502&gt;=70,4,IF(N502+O502&gt;=60,3.5,IF(N502+O502&gt;=50,3,IF(N502+O502&gt;=40,2,IF(N502+O502&gt;=33,1,0)))))))</f>
        <v/>
      </c>
      <c r="AI502">
        <f>IF(AA502,0,IF(P502+Q502&gt;=80,5,IF(P502+Q502&gt;=70,4,IF(P502+Q502&gt;=60,3.5,IF(P502+Q502&gt;=50,3,IF(P502+Q502&gt;=40,2,IF(P502+Q502&gt;=33,1,0)))))))</f>
        <v/>
      </c>
      <c r="AJ502">
        <f>IF(R502&lt;8.25,0,IF(R502*2&gt;=80,5,IF(R502*2&gt;=70,4,IF(R502*2&gt;=60,3.5,IF(R502*2&gt;=50,3,IF(R502*2&gt;=40,2,IF(R502*2&gt;=33,1,0)))))))</f>
        <v/>
      </c>
      <c r="AK502">
        <f>IF(S502&lt;33,0,IF(S502&gt;=80,5,IF(S502&gt;=70,4,IF(S502&gt;=60,3.5,IF(S502&gt;=50,3,IF(S502&gt;=40,2,IF(S502&gt;=33,1,0)))))))</f>
        <v/>
      </c>
      <c r="AL502">
        <f>(AC502+AD502+AE502+AF502+AG502+AH502+AI502+AJ502)/8</f>
        <v/>
      </c>
      <c r="AM502">
        <f>IF(AK502&gt;=2,(AK502-2)/8,0)</f>
        <v/>
      </c>
    </row>
    <row r="503">
      <c r="T503">
        <f>SUM(C503:R503)</f>
        <v/>
      </c>
      <c r="U503" s="6">
        <f>ROUND(T503/11.5,2)</f>
        <v/>
      </c>
      <c r="V503" s="7">
        <f>IF(B503="","",IF(AB503,0,ROUND(AL503,2)))</f>
        <v/>
      </c>
      <c r="W503" s="7">
        <f>IF(B503="","",IF(AB503,0,MIN(5,ROUND(AL503+AM503,2))))</f>
        <v/>
      </c>
      <c r="X503" s="8">
        <f>IF(B503="","",IF(W503&gt;=5,"A+",IF(W503&gt;=4,"A",IF(W503&gt;=3.5,"A-",IF(W503&gt;=3,"B",IF(W503&gt;=2,"C",IF(W503&gt;=1,"D","F")))))))</f>
        <v/>
      </c>
      <c r="Y503">
        <f>NOT(OR(AND(J503&gt;=10,K503&gt;=23,L503&gt;=10,M503&gt;=23),AND(J503+L503&gt;=20,K503+M503&gt;=46)))</f>
        <v/>
      </c>
      <c r="Z503">
        <f>OR(N503&lt;10,O503&lt;23)</f>
        <v/>
      </c>
      <c r="AA503">
        <f>OR(P503&lt;10,Q503&lt;23)</f>
        <v/>
      </c>
      <c r="AB503">
        <f>OR((C503+D503)&lt;66,(E503+F503)&lt;66,G503&lt;33,(H503+I503)&lt;66,Y503,Z503,AA503,R503&lt;8.25)</f>
        <v/>
      </c>
      <c r="AC503">
        <f>IF(C503+D503&lt;66,0,IF((C503+D503)/2&gt;=80,5,IF((C503+D503)/2&gt;=70,4,IF((C503+D503)/2&gt;=60,3.5,IF((C503+D503)/2&gt;=50,3,IF((C503+D503)/2&gt;=40,2,IF((C503+D503)/2&gt;=33,1,0)))))))</f>
        <v/>
      </c>
      <c r="AD503">
        <f>IF(E503+F503&lt;66,0,IF((E503+F503)/2&gt;=80,5,IF((E503+F503)/2&gt;=70,4,IF((E503+F503)/2&gt;=60,3.5,IF((E503+F503)/2&gt;=50,3,IF((E503+F503)/2&gt;=40,2,IF((E503+F503)/2&gt;=33,1,0)))))))</f>
        <v/>
      </c>
      <c r="AE503">
        <f>IF(G503&lt;33,0,IF(G503&gt;=80,5,IF(G503&gt;=70,4,IF(G503&gt;=60,3.5,IF(G503&gt;=50,3,IF(G503&gt;=40,2,IF(G503&gt;=33,1,0)))))))</f>
        <v/>
      </c>
      <c r="AF503">
        <f>IF(H503+I503&lt;66,0,IF((H503+I503)/2&gt;=80,5,IF((H503+I503)/2&gt;=70,4,IF((H503+I503)/2&gt;=60,3.5,IF((H503+I503)/2&gt;=50,3,IF((H503+I503)/2&gt;=40,2,IF((H503+I503)/2&gt;=33,1,0)))))))</f>
        <v/>
      </c>
      <c r="AG503">
        <f>IF(Y503,0,IF((J503+K503+L503+M503)/2&gt;=80,5,IF((J503+K503+L503+M503)/2&gt;=70,4,IF((J503+K503+L503+M503)/2&gt;=60,3.5,IF((J503+K503+L503+M503)/2&gt;=50,3,IF((J503+K503+L503+M503)/2&gt;=40,2,IF((J503+K503+L503+M503)/2&gt;=33,1,0)))))))</f>
        <v/>
      </c>
      <c r="AH503">
        <f>IF(Z503,0,IF(N503+O503&gt;=80,5,IF(N503+O503&gt;=70,4,IF(N503+O503&gt;=60,3.5,IF(N503+O503&gt;=50,3,IF(N503+O503&gt;=40,2,IF(N503+O503&gt;=33,1,0)))))))</f>
        <v/>
      </c>
      <c r="AI503">
        <f>IF(AA503,0,IF(P503+Q503&gt;=80,5,IF(P503+Q503&gt;=70,4,IF(P503+Q503&gt;=60,3.5,IF(P503+Q503&gt;=50,3,IF(P503+Q503&gt;=40,2,IF(P503+Q503&gt;=33,1,0)))))))</f>
        <v/>
      </c>
      <c r="AJ503">
        <f>IF(R503&lt;8.25,0,IF(R503*2&gt;=80,5,IF(R503*2&gt;=70,4,IF(R503*2&gt;=60,3.5,IF(R503*2&gt;=50,3,IF(R503*2&gt;=40,2,IF(R503*2&gt;=33,1,0)))))))</f>
        <v/>
      </c>
      <c r="AK503">
        <f>IF(S503&lt;33,0,IF(S503&gt;=80,5,IF(S503&gt;=70,4,IF(S503&gt;=60,3.5,IF(S503&gt;=50,3,IF(S503&gt;=40,2,IF(S503&gt;=33,1,0)))))))</f>
        <v/>
      </c>
      <c r="AL503">
        <f>(AC503+AD503+AE503+AF503+AG503+AH503+AI503+AJ503)/8</f>
        <v/>
      </c>
      <c r="AM503">
        <f>IF(AK503&gt;=2,(AK503-2)/8,0)</f>
        <v/>
      </c>
    </row>
    <row r="504">
      <c r="T504">
        <f>SUM(C504:R504)</f>
        <v/>
      </c>
      <c r="U504" s="6">
        <f>ROUND(T504/11.5,2)</f>
        <v/>
      </c>
      <c r="V504" s="7">
        <f>IF(B504="","",IF(AB504,0,ROUND(AL504,2)))</f>
        <v/>
      </c>
      <c r="W504" s="7">
        <f>IF(B504="","",IF(AB504,0,MIN(5,ROUND(AL504+AM504,2))))</f>
        <v/>
      </c>
      <c r="X504" s="8">
        <f>IF(B504="","",IF(W504&gt;=5,"A+",IF(W504&gt;=4,"A",IF(W504&gt;=3.5,"A-",IF(W504&gt;=3,"B",IF(W504&gt;=2,"C",IF(W504&gt;=1,"D","F")))))))</f>
        <v/>
      </c>
      <c r="Y504">
        <f>NOT(OR(AND(J504&gt;=10,K504&gt;=23,L504&gt;=10,M504&gt;=23),AND(J504+L504&gt;=20,K504+M504&gt;=46)))</f>
        <v/>
      </c>
      <c r="Z504">
        <f>OR(N504&lt;10,O504&lt;23)</f>
        <v/>
      </c>
      <c r="AA504">
        <f>OR(P504&lt;10,Q504&lt;23)</f>
        <v/>
      </c>
      <c r="AB504">
        <f>OR((C504+D504)&lt;66,(E504+F504)&lt;66,G504&lt;33,(H504+I504)&lt;66,Y504,Z504,AA504,R504&lt;8.25)</f>
        <v/>
      </c>
      <c r="AC504">
        <f>IF(C504+D504&lt;66,0,IF((C504+D504)/2&gt;=80,5,IF((C504+D504)/2&gt;=70,4,IF((C504+D504)/2&gt;=60,3.5,IF((C504+D504)/2&gt;=50,3,IF((C504+D504)/2&gt;=40,2,IF((C504+D504)/2&gt;=33,1,0)))))))</f>
        <v/>
      </c>
      <c r="AD504">
        <f>IF(E504+F504&lt;66,0,IF((E504+F504)/2&gt;=80,5,IF((E504+F504)/2&gt;=70,4,IF((E504+F504)/2&gt;=60,3.5,IF((E504+F504)/2&gt;=50,3,IF((E504+F504)/2&gt;=40,2,IF((E504+F504)/2&gt;=33,1,0)))))))</f>
        <v/>
      </c>
      <c r="AE504">
        <f>IF(G504&lt;33,0,IF(G504&gt;=80,5,IF(G504&gt;=70,4,IF(G504&gt;=60,3.5,IF(G504&gt;=50,3,IF(G504&gt;=40,2,IF(G504&gt;=33,1,0)))))))</f>
        <v/>
      </c>
      <c r="AF504">
        <f>IF(H504+I504&lt;66,0,IF((H504+I504)/2&gt;=80,5,IF((H504+I504)/2&gt;=70,4,IF((H504+I504)/2&gt;=60,3.5,IF((H504+I504)/2&gt;=50,3,IF((H504+I504)/2&gt;=40,2,IF((H504+I504)/2&gt;=33,1,0)))))))</f>
        <v/>
      </c>
      <c r="AG504">
        <f>IF(Y504,0,IF((J504+K504+L504+M504)/2&gt;=80,5,IF((J504+K504+L504+M504)/2&gt;=70,4,IF((J504+K504+L504+M504)/2&gt;=60,3.5,IF((J504+K504+L504+M504)/2&gt;=50,3,IF((J504+K504+L504+M504)/2&gt;=40,2,IF((J504+K504+L504+M504)/2&gt;=33,1,0)))))))</f>
        <v/>
      </c>
      <c r="AH504">
        <f>IF(Z504,0,IF(N504+O504&gt;=80,5,IF(N504+O504&gt;=70,4,IF(N504+O504&gt;=60,3.5,IF(N504+O504&gt;=50,3,IF(N504+O504&gt;=40,2,IF(N504+O504&gt;=33,1,0)))))))</f>
        <v/>
      </c>
      <c r="AI504">
        <f>IF(AA504,0,IF(P504+Q504&gt;=80,5,IF(P504+Q504&gt;=70,4,IF(P504+Q504&gt;=60,3.5,IF(P504+Q504&gt;=50,3,IF(P504+Q504&gt;=40,2,IF(P504+Q504&gt;=33,1,0)))))))</f>
        <v/>
      </c>
      <c r="AJ504">
        <f>IF(R504&lt;8.25,0,IF(R504*2&gt;=80,5,IF(R504*2&gt;=70,4,IF(R504*2&gt;=60,3.5,IF(R504*2&gt;=50,3,IF(R504*2&gt;=40,2,IF(R504*2&gt;=33,1,0)))))))</f>
        <v/>
      </c>
      <c r="AK504">
        <f>IF(S504&lt;33,0,IF(S504&gt;=80,5,IF(S504&gt;=70,4,IF(S504&gt;=60,3.5,IF(S504&gt;=50,3,IF(S504&gt;=40,2,IF(S504&gt;=33,1,0)))))))</f>
        <v/>
      </c>
      <c r="AL504">
        <f>(AC504+AD504+AE504+AF504+AG504+AH504+AI504+AJ504)/8</f>
        <v/>
      </c>
      <c r="AM504">
        <f>IF(AK504&gt;=2,(AK504-2)/8,0)</f>
        <v/>
      </c>
    </row>
    <row r="505">
      <c r="T505">
        <f>SUM(C505:R505)</f>
        <v/>
      </c>
      <c r="U505" s="6">
        <f>ROUND(T505/11.5,2)</f>
        <v/>
      </c>
      <c r="V505" s="7">
        <f>IF(B505="","",IF(AB505,0,ROUND(AL505,2)))</f>
        <v/>
      </c>
      <c r="W505" s="7">
        <f>IF(B505="","",IF(AB505,0,MIN(5,ROUND(AL505+AM505,2))))</f>
        <v/>
      </c>
      <c r="X505" s="8">
        <f>IF(B505="","",IF(W505&gt;=5,"A+",IF(W505&gt;=4,"A",IF(W505&gt;=3.5,"A-",IF(W505&gt;=3,"B",IF(W505&gt;=2,"C",IF(W505&gt;=1,"D","F")))))))</f>
        <v/>
      </c>
      <c r="Y505">
        <f>NOT(OR(AND(J505&gt;=10,K505&gt;=23,L505&gt;=10,M505&gt;=23),AND(J505+L505&gt;=20,K505+M505&gt;=46)))</f>
        <v/>
      </c>
      <c r="Z505">
        <f>OR(N505&lt;10,O505&lt;23)</f>
        <v/>
      </c>
      <c r="AA505">
        <f>OR(P505&lt;10,Q505&lt;23)</f>
        <v/>
      </c>
      <c r="AB505">
        <f>OR((C505+D505)&lt;66,(E505+F505)&lt;66,G505&lt;33,(H505+I505)&lt;66,Y505,Z505,AA505,R505&lt;8.25)</f>
        <v/>
      </c>
      <c r="AC505">
        <f>IF(C505+D505&lt;66,0,IF((C505+D505)/2&gt;=80,5,IF((C505+D505)/2&gt;=70,4,IF((C505+D505)/2&gt;=60,3.5,IF((C505+D505)/2&gt;=50,3,IF((C505+D505)/2&gt;=40,2,IF((C505+D505)/2&gt;=33,1,0)))))))</f>
        <v/>
      </c>
      <c r="AD505">
        <f>IF(E505+F505&lt;66,0,IF((E505+F505)/2&gt;=80,5,IF((E505+F505)/2&gt;=70,4,IF((E505+F505)/2&gt;=60,3.5,IF((E505+F505)/2&gt;=50,3,IF((E505+F505)/2&gt;=40,2,IF((E505+F505)/2&gt;=33,1,0)))))))</f>
        <v/>
      </c>
      <c r="AE505">
        <f>IF(G505&lt;33,0,IF(G505&gt;=80,5,IF(G505&gt;=70,4,IF(G505&gt;=60,3.5,IF(G505&gt;=50,3,IF(G505&gt;=40,2,IF(G505&gt;=33,1,0)))))))</f>
        <v/>
      </c>
      <c r="AF505">
        <f>IF(H505+I505&lt;66,0,IF((H505+I505)/2&gt;=80,5,IF((H505+I505)/2&gt;=70,4,IF((H505+I505)/2&gt;=60,3.5,IF((H505+I505)/2&gt;=50,3,IF((H505+I505)/2&gt;=40,2,IF((H505+I505)/2&gt;=33,1,0)))))))</f>
        <v/>
      </c>
      <c r="AG505">
        <f>IF(Y505,0,IF((J505+K505+L505+M505)/2&gt;=80,5,IF((J505+K505+L505+M505)/2&gt;=70,4,IF((J505+K505+L505+M505)/2&gt;=60,3.5,IF((J505+K505+L505+M505)/2&gt;=50,3,IF((J505+K505+L505+M505)/2&gt;=40,2,IF((J505+K505+L505+M505)/2&gt;=33,1,0)))))))</f>
        <v/>
      </c>
      <c r="AH505">
        <f>IF(Z505,0,IF(N505+O505&gt;=80,5,IF(N505+O505&gt;=70,4,IF(N505+O505&gt;=60,3.5,IF(N505+O505&gt;=50,3,IF(N505+O505&gt;=40,2,IF(N505+O505&gt;=33,1,0)))))))</f>
        <v/>
      </c>
      <c r="AI505">
        <f>IF(AA505,0,IF(P505+Q505&gt;=80,5,IF(P505+Q505&gt;=70,4,IF(P505+Q505&gt;=60,3.5,IF(P505+Q505&gt;=50,3,IF(P505+Q505&gt;=40,2,IF(P505+Q505&gt;=33,1,0)))))))</f>
        <v/>
      </c>
      <c r="AJ505">
        <f>IF(R505&lt;8.25,0,IF(R505*2&gt;=80,5,IF(R505*2&gt;=70,4,IF(R505*2&gt;=60,3.5,IF(R505*2&gt;=50,3,IF(R505*2&gt;=40,2,IF(R505*2&gt;=33,1,0)))))))</f>
        <v/>
      </c>
      <c r="AK505">
        <f>IF(S505&lt;33,0,IF(S505&gt;=80,5,IF(S505&gt;=70,4,IF(S505&gt;=60,3.5,IF(S505&gt;=50,3,IF(S505&gt;=40,2,IF(S505&gt;=33,1,0)))))))</f>
        <v/>
      </c>
      <c r="AL505">
        <f>(AC505+AD505+AE505+AF505+AG505+AH505+AI505+AJ505)/8</f>
        <v/>
      </c>
      <c r="AM505">
        <f>IF(AK505&gt;=2,(AK505-2)/8,0)</f>
        <v/>
      </c>
    </row>
    <row r="506">
      <c r="T506">
        <f>SUM(C506:R506)</f>
        <v/>
      </c>
      <c r="U506" s="6">
        <f>ROUND(T506/11.5,2)</f>
        <v/>
      </c>
      <c r="V506" s="7">
        <f>IF(B506="","",IF(AB506,0,ROUND(AL506,2)))</f>
        <v/>
      </c>
      <c r="W506" s="7">
        <f>IF(B506="","",IF(AB506,0,MIN(5,ROUND(AL506+AM506,2))))</f>
        <v/>
      </c>
      <c r="X506" s="8">
        <f>IF(B506="","",IF(W506&gt;=5,"A+",IF(W506&gt;=4,"A",IF(W506&gt;=3.5,"A-",IF(W506&gt;=3,"B",IF(W506&gt;=2,"C",IF(W506&gt;=1,"D","F")))))))</f>
        <v/>
      </c>
      <c r="Y506">
        <f>NOT(OR(AND(J506&gt;=10,K506&gt;=23,L506&gt;=10,M506&gt;=23),AND(J506+L506&gt;=20,K506+M506&gt;=46)))</f>
        <v/>
      </c>
      <c r="Z506">
        <f>OR(N506&lt;10,O506&lt;23)</f>
        <v/>
      </c>
      <c r="AA506">
        <f>OR(P506&lt;10,Q506&lt;23)</f>
        <v/>
      </c>
      <c r="AB506">
        <f>OR((C506+D506)&lt;66,(E506+F506)&lt;66,G506&lt;33,(H506+I506)&lt;66,Y506,Z506,AA506,R506&lt;8.25)</f>
        <v/>
      </c>
      <c r="AC506">
        <f>IF(C506+D506&lt;66,0,IF((C506+D506)/2&gt;=80,5,IF((C506+D506)/2&gt;=70,4,IF((C506+D506)/2&gt;=60,3.5,IF((C506+D506)/2&gt;=50,3,IF((C506+D506)/2&gt;=40,2,IF((C506+D506)/2&gt;=33,1,0)))))))</f>
        <v/>
      </c>
      <c r="AD506">
        <f>IF(E506+F506&lt;66,0,IF((E506+F506)/2&gt;=80,5,IF((E506+F506)/2&gt;=70,4,IF((E506+F506)/2&gt;=60,3.5,IF((E506+F506)/2&gt;=50,3,IF((E506+F506)/2&gt;=40,2,IF((E506+F506)/2&gt;=33,1,0)))))))</f>
        <v/>
      </c>
      <c r="AE506">
        <f>IF(G506&lt;33,0,IF(G506&gt;=80,5,IF(G506&gt;=70,4,IF(G506&gt;=60,3.5,IF(G506&gt;=50,3,IF(G506&gt;=40,2,IF(G506&gt;=33,1,0)))))))</f>
        <v/>
      </c>
      <c r="AF506">
        <f>IF(H506+I506&lt;66,0,IF((H506+I506)/2&gt;=80,5,IF((H506+I506)/2&gt;=70,4,IF((H506+I506)/2&gt;=60,3.5,IF((H506+I506)/2&gt;=50,3,IF((H506+I506)/2&gt;=40,2,IF((H506+I506)/2&gt;=33,1,0)))))))</f>
        <v/>
      </c>
      <c r="AG506">
        <f>IF(Y506,0,IF((J506+K506+L506+M506)/2&gt;=80,5,IF((J506+K506+L506+M506)/2&gt;=70,4,IF((J506+K506+L506+M506)/2&gt;=60,3.5,IF((J506+K506+L506+M506)/2&gt;=50,3,IF((J506+K506+L506+M506)/2&gt;=40,2,IF((J506+K506+L506+M506)/2&gt;=33,1,0)))))))</f>
        <v/>
      </c>
      <c r="AH506">
        <f>IF(Z506,0,IF(N506+O506&gt;=80,5,IF(N506+O506&gt;=70,4,IF(N506+O506&gt;=60,3.5,IF(N506+O506&gt;=50,3,IF(N506+O506&gt;=40,2,IF(N506+O506&gt;=33,1,0)))))))</f>
        <v/>
      </c>
      <c r="AI506">
        <f>IF(AA506,0,IF(P506+Q506&gt;=80,5,IF(P506+Q506&gt;=70,4,IF(P506+Q506&gt;=60,3.5,IF(P506+Q506&gt;=50,3,IF(P506+Q506&gt;=40,2,IF(P506+Q506&gt;=33,1,0)))))))</f>
        <v/>
      </c>
      <c r="AJ506">
        <f>IF(R506&lt;8.25,0,IF(R506*2&gt;=80,5,IF(R506*2&gt;=70,4,IF(R506*2&gt;=60,3.5,IF(R506*2&gt;=50,3,IF(R506*2&gt;=40,2,IF(R506*2&gt;=33,1,0)))))))</f>
        <v/>
      </c>
      <c r="AK506">
        <f>IF(S506&lt;33,0,IF(S506&gt;=80,5,IF(S506&gt;=70,4,IF(S506&gt;=60,3.5,IF(S506&gt;=50,3,IF(S506&gt;=40,2,IF(S506&gt;=33,1,0)))))))</f>
        <v/>
      </c>
      <c r="AL506">
        <f>(AC506+AD506+AE506+AF506+AG506+AH506+AI506+AJ506)/8</f>
        <v/>
      </c>
      <c r="AM506">
        <f>IF(AK506&gt;=2,(AK506-2)/8,0)</f>
        <v/>
      </c>
    </row>
    <row r="507">
      <c r="T507">
        <f>SUM(C507:R507)</f>
        <v/>
      </c>
      <c r="U507" s="6">
        <f>ROUND(T507/11.5,2)</f>
        <v/>
      </c>
      <c r="V507" s="7">
        <f>IF(B507="","",IF(AB507,0,ROUND(AL507,2)))</f>
        <v/>
      </c>
      <c r="W507" s="7">
        <f>IF(B507="","",IF(AB507,0,MIN(5,ROUND(AL507+AM507,2))))</f>
        <v/>
      </c>
      <c r="X507" s="8">
        <f>IF(B507="","",IF(W507&gt;=5,"A+",IF(W507&gt;=4,"A",IF(W507&gt;=3.5,"A-",IF(W507&gt;=3,"B",IF(W507&gt;=2,"C",IF(W507&gt;=1,"D","F")))))))</f>
        <v/>
      </c>
      <c r="Y507">
        <f>NOT(OR(AND(J507&gt;=10,K507&gt;=23,L507&gt;=10,M507&gt;=23),AND(J507+L507&gt;=20,K507+M507&gt;=46)))</f>
        <v/>
      </c>
      <c r="Z507">
        <f>OR(N507&lt;10,O507&lt;23)</f>
        <v/>
      </c>
      <c r="AA507">
        <f>OR(P507&lt;10,Q507&lt;23)</f>
        <v/>
      </c>
      <c r="AB507">
        <f>OR((C507+D507)&lt;66,(E507+F507)&lt;66,G507&lt;33,(H507+I507)&lt;66,Y507,Z507,AA507,R507&lt;8.25)</f>
        <v/>
      </c>
      <c r="AC507">
        <f>IF(C507+D507&lt;66,0,IF((C507+D507)/2&gt;=80,5,IF((C507+D507)/2&gt;=70,4,IF((C507+D507)/2&gt;=60,3.5,IF((C507+D507)/2&gt;=50,3,IF((C507+D507)/2&gt;=40,2,IF((C507+D507)/2&gt;=33,1,0)))))))</f>
        <v/>
      </c>
      <c r="AD507">
        <f>IF(E507+F507&lt;66,0,IF((E507+F507)/2&gt;=80,5,IF((E507+F507)/2&gt;=70,4,IF((E507+F507)/2&gt;=60,3.5,IF((E507+F507)/2&gt;=50,3,IF((E507+F507)/2&gt;=40,2,IF((E507+F507)/2&gt;=33,1,0)))))))</f>
        <v/>
      </c>
      <c r="AE507">
        <f>IF(G507&lt;33,0,IF(G507&gt;=80,5,IF(G507&gt;=70,4,IF(G507&gt;=60,3.5,IF(G507&gt;=50,3,IF(G507&gt;=40,2,IF(G507&gt;=33,1,0)))))))</f>
        <v/>
      </c>
      <c r="AF507">
        <f>IF(H507+I507&lt;66,0,IF((H507+I507)/2&gt;=80,5,IF((H507+I507)/2&gt;=70,4,IF((H507+I507)/2&gt;=60,3.5,IF((H507+I507)/2&gt;=50,3,IF((H507+I507)/2&gt;=40,2,IF((H507+I507)/2&gt;=33,1,0)))))))</f>
        <v/>
      </c>
      <c r="AG507">
        <f>IF(Y507,0,IF((J507+K507+L507+M507)/2&gt;=80,5,IF((J507+K507+L507+M507)/2&gt;=70,4,IF((J507+K507+L507+M507)/2&gt;=60,3.5,IF((J507+K507+L507+M507)/2&gt;=50,3,IF((J507+K507+L507+M507)/2&gt;=40,2,IF((J507+K507+L507+M507)/2&gt;=33,1,0)))))))</f>
        <v/>
      </c>
      <c r="AH507">
        <f>IF(Z507,0,IF(N507+O507&gt;=80,5,IF(N507+O507&gt;=70,4,IF(N507+O507&gt;=60,3.5,IF(N507+O507&gt;=50,3,IF(N507+O507&gt;=40,2,IF(N507+O507&gt;=33,1,0)))))))</f>
        <v/>
      </c>
      <c r="AI507">
        <f>IF(AA507,0,IF(P507+Q507&gt;=80,5,IF(P507+Q507&gt;=70,4,IF(P507+Q507&gt;=60,3.5,IF(P507+Q507&gt;=50,3,IF(P507+Q507&gt;=40,2,IF(P507+Q507&gt;=33,1,0)))))))</f>
        <v/>
      </c>
      <c r="AJ507">
        <f>IF(R507&lt;8.25,0,IF(R507*2&gt;=80,5,IF(R507*2&gt;=70,4,IF(R507*2&gt;=60,3.5,IF(R507*2&gt;=50,3,IF(R507*2&gt;=40,2,IF(R507*2&gt;=33,1,0)))))))</f>
        <v/>
      </c>
      <c r="AK507">
        <f>IF(S507&lt;33,0,IF(S507&gt;=80,5,IF(S507&gt;=70,4,IF(S507&gt;=60,3.5,IF(S507&gt;=50,3,IF(S507&gt;=40,2,IF(S507&gt;=33,1,0)))))))</f>
        <v/>
      </c>
      <c r="AL507">
        <f>(AC507+AD507+AE507+AF507+AG507+AH507+AI507+AJ507)/8</f>
        <v/>
      </c>
      <c r="AM507">
        <f>IF(AK507&gt;=2,(AK507-2)/8,0)</f>
        <v/>
      </c>
    </row>
    <row r="508">
      <c r="T508">
        <f>SUM(C508:R508)</f>
        <v/>
      </c>
      <c r="U508" s="6">
        <f>ROUND(T508/11.5,2)</f>
        <v/>
      </c>
      <c r="V508" s="7">
        <f>IF(B508="","",IF(AB508,0,ROUND(AL508,2)))</f>
        <v/>
      </c>
      <c r="W508" s="7">
        <f>IF(B508="","",IF(AB508,0,MIN(5,ROUND(AL508+AM508,2))))</f>
        <v/>
      </c>
      <c r="X508" s="8">
        <f>IF(B508="","",IF(W508&gt;=5,"A+",IF(W508&gt;=4,"A",IF(W508&gt;=3.5,"A-",IF(W508&gt;=3,"B",IF(W508&gt;=2,"C",IF(W508&gt;=1,"D","F")))))))</f>
        <v/>
      </c>
      <c r="Y508">
        <f>NOT(OR(AND(J508&gt;=10,K508&gt;=23,L508&gt;=10,M508&gt;=23),AND(J508+L508&gt;=20,K508+M508&gt;=46)))</f>
        <v/>
      </c>
      <c r="Z508">
        <f>OR(N508&lt;10,O508&lt;23)</f>
        <v/>
      </c>
      <c r="AA508">
        <f>OR(P508&lt;10,Q508&lt;23)</f>
        <v/>
      </c>
      <c r="AB508">
        <f>OR((C508+D508)&lt;66,(E508+F508)&lt;66,G508&lt;33,(H508+I508)&lt;66,Y508,Z508,AA508,R508&lt;8.25)</f>
        <v/>
      </c>
      <c r="AC508">
        <f>IF(C508+D508&lt;66,0,IF((C508+D508)/2&gt;=80,5,IF((C508+D508)/2&gt;=70,4,IF((C508+D508)/2&gt;=60,3.5,IF((C508+D508)/2&gt;=50,3,IF((C508+D508)/2&gt;=40,2,IF((C508+D508)/2&gt;=33,1,0)))))))</f>
        <v/>
      </c>
      <c r="AD508">
        <f>IF(E508+F508&lt;66,0,IF((E508+F508)/2&gt;=80,5,IF((E508+F508)/2&gt;=70,4,IF((E508+F508)/2&gt;=60,3.5,IF((E508+F508)/2&gt;=50,3,IF((E508+F508)/2&gt;=40,2,IF((E508+F508)/2&gt;=33,1,0)))))))</f>
        <v/>
      </c>
      <c r="AE508">
        <f>IF(G508&lt;33,0,IF(G508&gt;=80,5,IF(G508&gt;=70,4,IF(G508&gt;=60,3.5,IF(G508&gt;=50,3,IF(G508&gt;=40,2,IF(G508&gt;=33,1,0)))))))</f>
        <v/>
      </c>
      <c r="AF508">
        <f>IF(H508+I508&lt;66,0,IF((H508+I508)/2&gt;=80,5,IF((H508+I508)/2&gt;=70,4,IF((H508+I508)/2&gt;=60,3.5,IF((H508+I508)/2&gt;=50,3,IF((H508+I508)/2&gt;=40,2,IF((H508+I508)/2&gt;=33,1,0)))))))</f>
        <v/>
      </c>
      <c r="AG508">
        <f>IF(Y508,0,IF((J508+K508+L508+M508)/2&gt;=80,5,IF((J508+K508+L508+M508)/2&gt;=70,4,IF((J508+K508+L508+M508)/2&gt;=60,3.5,IF((J508+K508+L508+M508)/2&gt;=50,3,IF((J508+K508+L508+M508)/2&gt;=40,2,IF((J508+K508+L508+M508)/2&gt;=33,1,0)))))))</f>
        <v/>
      </c>
      <c r="AH508">
        <f>IF(Z508,0,IF(N508+O508&gt;=80,5,IF(N508+O508&gt;=70,4,IF(N508+O508&gt;=60,3.5,IF(N508+O508&gt;=50,3,IF(N508+O508&gt;=40,2,IF(N508+O508&gt;=33,1,0)))))))</f>
        <v/>
      </c>
      <c r="AI508">
        <f>IF(AA508,0,IF(P508+Q508&gt;=80,5,IF(P508+Q508&gt;=70,4,IF(P508+Q508&gt;=60,3.5,IF(P508+Q508&gt;=50,3,IF(P508+Q508&gt;=40,2,IF(P508+Q508&gt;=33,1,0)))))))</f>
        <v/>
      </c>
      <c r="AJ508">
        <f>IF(R508&lt;8.25,0,IF(R508*2&gt;=80,5,IF(R508*2&gt;=70,4,IF(R508*2&gt;=60,3.5,IF(R508*2&gt;=50,3,IF(R508*2&gt;=40,2,IF(R508*2&gt;=33,1,0)))))))</f>
        <v/>
      </c>
      <c r="AK508">
        <f>IF(S508&lt;33,0,IF(S508&gt;=80,5,IF(S508&gt;=70,4,IF(S508&gt;=60,3.5,IF(S508&gt;=50,3,IF(S508&gt;=40,2,IF(S508&gt;=33,1,0)))))))</f>
        <v/>
      </c>
      <c r="AL508">
        <f>(AC508+AD508+AE508+AF508+AG508+AH508+AI508+AJ508)/8</f>
        <v/>
      </c>
      <c r="AM508">
        <f>IF(AK508&gt;=2,(AK508-2)/8,0)</f>
        <v/>
      </c>
    </row>
    <row r="509">
      <c r="T509">
        <f>SUM(C509:R509)</f>
        <v/>
      </c>
      <c r="U509" s="6">
        <f>ROUND(T509/11.5,2)</f>
        <v/>
      </c>
      <c r="V509" s="7">
        <f>IF(B509="","",IF(AB509,0,ROUND(AL509,2)))</f>
        <v/>
      </c>
      <c r="W509" s="7">
        <f>IF(B509="","",IF(AB509,0,MIN(5,ROUND(AL509+AM509,2))))</f>
        <v/>
      </c>
      <c r="X509" s="8">
        <f>IF(B509="","",IF(W509&gt;=5,"A+",IF(W509&gt;=4,"A",IF(W509&gt;=3.5,"A-",IF(W509&gt;=3,"B",IF(W509&gt;=2,"C",IF(W509&gt;=1,"D","F")))))))</f>
        <v/>
      </c>
      <c r="Y509">
        <f>NOT(OR(AND(J509&gt;=10,K509&gt;=23,L509&gt;=10,M509&gt;=23),AND(J509+L509&gt;=20,K509+M509&gt;=46)))</f>
        <v/>
      </c>
      <c r="Z509">
        <f>OR(N509&lt;10,O509&lt;23)</f>
        <v/>
      </c>
      <c r="AA509">
        <f>OR(P509&lt;10,Q509&lt;23)</f>
        <v/>
      </c>
      <c r="AB509">
        <f>OR((C509+D509)&lt;66,(E509+F509)&lt;66,G509&lt;33,(H509+I509)&lt;66,Y509,Z509,AA509,R509&lt;8.25)</f>
        <v/>
      </c>
      <c r="AC509">
        <f>IF(C509+D509&lt;66,0,IF((C509+D509)/2&gt;=80,5,IF((C509+D509)/2&gt;=70,4,IF((C509+D509)/2&gt;=60,3.5,IF((C509+D509)/2&gt;=50,3,IF((C509+D509)/2&gt;=40,2,IF((C509+D509)/2&gt;=33,1,0)))))))</f>
        <v/>
      </c>
      <c r="AD509">
        <f>IF(E509+F509&lt;66,0,IF((E509+F509)/2&gt;=80,5,IF((E509+F509)/2&gt;=70,4,IF((E509+F509)/2&gt;=60,3.5,IF((E509+F509)/2&gt;=50,3,IF((E509+F509)/2&gt;=40,2,IF((E509+F509)/2&gt;=33,1,0)))))))</f>
        <v/>
      </c>
      <c r="AE509">
        <f>IF(G509&lt;33,0,IF(G509&gt;=80,5,IF(G509&gt;=70,4,IF(G509&gt;=60,3.5,IF(G509&gt;=50,3,IF(G509&gt;=40,2,IF(G509&gt;=33,1,0)))))))</f>
        <v/>
      </c>
      <c r="AF509">
        <f>IF(H509+I509&lt;66,0,IF((H509+I509)/2&gt;=80,5,IF((H509+I509)/2&gt;=70,4,IF((H509+I509)/2&gt;=60,3.5,IF((H509+I509)/2&gt;=50,3,IF((H509+I509)/2&gt;=40,2,IF((H509+I509)/2&gt;=33,1,0)))))))</f>
        <v/>
      </c>
      <c r="AG509">
        <f>IF(Y509,0,IF((J509+K509+L509+M509)/2&gt;=80,5,IF((J509+K509+L509+M509)/2&gt;=70,4,IF((J509+K509+L509+M509)/2&gt;=60,3.5,IF((J509+K509+L509+M509)/2&gt;=50,3,IF((J509+K509+L509+M509)/2&gt;=40,2,IF((J509+K509+L509+M509)/2&gt;=33,1,0)))))))</f>
        <v/>
      </c>
      <c r="AH509">
        <f>IF(Z509,0,IF(N509+O509&gt;=80,5,IF(N509+O509&gt;=70,4,IF(N509+O509&gt;=60,3.5,IF(N509+O509&gt;=50,3,IF(N509+O509&gt;=40,2,IF(N509+O509&gt;=33,1,0)))))))</f>
        <v/>
      </c>
      <c r="AI509">
        <f>IF(AA509,0,IF(P509+Q509&gt;=80,5,IF(P509+Q509&gt;=70,4,IF(P509+Q509&gt;=60,3.5,IF(P509+Q509&gt;=50,3,IF(P509+Q509&gt;=40,2,IF(P509+Q509&gt;=33,1,0)))))))</f>
        <v/>
      </c>
      <c r="AJ509">
        <f>IF(R509&lt;8.25,0,IF(R509*2&gt;=80,5,IF(R509*2&gt;=70,4,IF(R509*2&gt;=60,3.5,IF(R509*2&gt;=50,3,IF(R509*2&gt;=40,2,IF(R509*2&gt;=33,1,0)))))))</f>
        <v/>
      </c>
      <c r="AK509">
        <f>IF(S509&lt;33,0,IF(S509&gt;=80,5,IF(S509&gt;=70,4,IF(S509&gt;=60,3.5,IF(S509&gt;=50,3,IF(S509&gt;=40,2,IF(S509&gt;=33,1,0)))))))</f>
        <v/>
      </c>
      <c r="AL509">
        <f>(AC509+AD509+AE509+AF509+AG509+AH509+AI509+AJ509)/8</f>
        <v/>
      </c>
      <c r="AM509">
        <f>IF(AK509&gt;=2,(AK509-2)/8,0)</f>
        <v/>
      </c>
    </row>
    <row r="510">
      <c r="T510">
        <f>SUM(C510:R510)</f>
        <v/>
      </c>
      <c r="U510" s="6">
        <f>ROUND(T510/11.5,2)</f>
        <v/>
      </c>
      <c r="V510" s="7">
        <f>IF(B510="","",IF(AB510,0,ROUND(AL510,2)))</f>
        <v/>
      </c>
      <c r="W510" s="7">
        <f>IF(B510="","",IF(AB510,0,MIN(5,ROUND(AL510+AM510,2))))</f>
        <v/>
      </c>
      <c r="X510" s="8">
        <f>IF(B510="","",IF(W510&gt;=5,"A+",IF(W510&gt;=4,"A",IF(W510&gt;=3.5,"A-",IF(W510&gt;=3,"B",IF(W510&gt;=2,"C",IF(W510&gt;=1,"D","F")))))))</f>
        <v/>
      </c>
      <c r="Y510">
        <f>NOT(OR(AND(J510&gt;=10,K510&gt;=23,L510&gt;=10,M510&gt;=23),AND(J510+L510&gt;=20,K510+M510&gt;=46)))</f>
        <v/>
      </c>
      <c r="Z510">
        <f>OR(N510&lt;10,O510&lt;23)</f>
        <v/>
      </c>
      <c r="AA510">
        <f>OR(P510&lt;10,Q510&lt;23)</f>
        <v/>
      </c>
      <c r="AB510">
        <f>OR((C510+D510)&lt;66,(E510+F510)&lt;66,G510&lt;33,(H510+I510)&lt;66,Y510,Z510,AA510,R510&lt;8.25)</f>
        <v/>
      </c>
      <c r="AC510">
        <f>IF(C510+D510&lt;66,0,IF((C510+D510)/2&gt;=80,5,IF((C510+D510)/2&gt;=70,4,IF((C510+D510)/2&gt;=60,3.5,IF((C510+D510)/2&gt;=50,3,IF((C510+D510)/2&gt;=40,2,IF((C510+D510)/2&gt;=33,1,0)))))))</f>
        <v/>
      </c>
      <c r="AD510">
        <f>IF(E510+F510&lt;66,0,IF((E510+F510)/2&gt;=80,5,IF((E510+F510)/2&gt;=70,4,IF((E510+F510)/2&gt;=60,3.5,IF((E510+F510)/2&gt;=50,3,IF((E510+F510)/2&gt;=40,2,IF((E510+F510)/2&gt;=33,1,0)))))))</f>
        <v/>
      </c>
      <c r="AE510">
        <f>IF(G510&lt;33,0,IF(G510&gt;=80,5,IF(G510&gt;=70,4,IF(G510&gt;=60,3.5,IF(G510&gt;=50,3,IF(G510&gt;=40,2,IF(G510&gt;=33,1,0)))))))</f>
        <v/>
      </c>
      <c r="AF510">
        <f>IF(H510+I510&lt;66,0,IF((H510+I510)/2&gt;=80,5,IF((H510+I510)/2&gt;=70,4,IF((H510+I510)/2&gt;=60,3.5,IF((H510+I510)/2&gt;=50,3,IF((H510+I510)/2&gt;=40,2,IF((H510+I510)/2&gt;=33,1,0)))))))</f>
        <v/>
      </c>
      <c r="AG510">
        <f>IF(Y510,0,IF((J510+K510+L510+M510)/2&gt;=80,5,IF((J510+K510+L510+M510)/2&gt;=70,4,IF((J510+K510+L510+M510)/2&gt;=60,3.5,IF((J510+K510+L510+M510)/2&gt;=50,3,IF((J510+K510+L510+M510)/2&gt;=40,2,IF((J510+K510+L510+M510)/2&gt;=33,1,0)))))))</f>
        <v/>
      </c>
      <c r="AH510">
        <f>IF(Z510,0,IF(N510+O510&gt;=80,5,IF(N510+O510&gt;=70,4,IF(N510+O510&gt;=60,3.5,IF(N510+O510&gt;=50,3,IF(N510+O510&gt;=40,2,IF(N510+O510&gt;=33,1,0)))))))</f>
        <v/>
      </c>
      <c r="AI510">
        <f>IF(AA510,0,IF(P510+Q510&gt;=80,5,IF(P510+Q510&gt;=70,4,IF(P510+Q510&gt;=60,3.5,IF(P510+Q510&gt;=50,3,IF(P510+Q510&gt;=40,2,IF(P510+Q510&gt;=33,1,0)))))))</f>
        <v/>
      </c>
      <c r="AJ510">
        <f>IF(R510&lt;8.25,0,IF(R510*2&gt;=80,5,IF(R510*2&gt;=70,4,IF(R510*2&gt;=60,3.5,IF(R510*2&gt;=50,3,IF(R510*2&gt;=40,2,IF(R510*2&gt;=33,1,0)))))))</f>
        <v/>
      </c>
      <c r="AK510">
        <f>IF(S510&lt;33,0,IF(S510&gt;=80,5,IF(S510&gt;=70,4,IF(S510&gt;=60,3.5,IF(S510&gt;=50,3,IF(S510&gt;=40,2,IF(S510&gt;=33,1,0)))))))</f>
        <v/>
      </c>
      <c r="AL510">
        <f>(AC510+AD510+AE510+AF510+AG510+AH510+AI510+AJ510)/8</f>
        <v/>
      </c>
      <c r="AM510">
        <f>IF(AK510&gt;=2,(AK510-2)/8,0)</f>
        <v/>
      </c>
    </row>
    <row r="511">
      <c r="T511">
        <f>SUM(C511:R511)</f>
        <v/>
      </c>
      <c r="U511" s="6">
        <f>ROUND(T511/11.5,2)</f>
        <v/>
      </c>
      <c r="V511" s="7">
        <f>IF(B511="","",IF(AB511,0,ROUND(AL511,2)))</f>
        <v/>
      </c>
      <c r="W511" s="7">
        <f>IF(B511="","",IF(AB511,0,MIN(5,ROUND(AL511+AM511,2))))</f>
        <v/>
      </c>
      <c r="X511" s="8">
        <f>IF(B511="","",IF(W511&gt;=5,"A+",IF(W511&gt;=4,"A",IF(W511&gt;=3.5,"A-",IF(W511&gt;=3,"B",IF(W511&gt;=2,"C",IF(W511&gt;=1,"D","F")))))))</f>
        <v/>
      </c>
      <c r="Y511">
        <f>NOT(OR(AND(J511&gt;=10,K511&gt;=23,L511&gt;=10,M511&gt;=23),AND(J511+L511&gt;=20,K511+M511&gt;=46)))</f>
        <v/>
      </c>
      <c r="Z511">
        <f>OR(N511&lt;10,O511&lt;23)</f>
        <v/>
      </c>
      <c r="AA511">
        <f>OR(P511&lt;10,Q511&lt;23)</f>
        <v/>
      </c>
      <c r="AB511">
        <f>OR((C511+D511)&lt;66,(E511+F511)&lt;66,G511&lt;33,(H511+I511)&lt;66,Y511,Z511,AA511,R511&lt;8.25)</f>
        <v/>
      </c>
      <c r="AC511">
        <f>IF(C511+D511&lt;66,0,IF((C511+D511)/2&gt;=80,5,IF((C511+D511)/2&gt;=70,4,IF((C511+D511)/2&gt;=60,3.5,IF((C511+D511)/2&gt;=50,3,IF((C511+D511)/2&gt;=40,2,IF((C511+D511)/2&gt;=33,1,0)))))))</f>
        <v/>
      </c>
      <c r="AD511">
        <f>IF(E511+F511&lt;66,0,IF((E511+F511)/2&gt;=80,5,IF((E511+F511)/2&gt;=70,4,IF((E511+F511)/2&gt;=60,3.5,IF((E511+F511)/2&gt;=50,3,IF((E511+F511)/2&gt;=40,2,IF((E511+F511)/2&gt;=33,1,0)))))))</f>
        <v/>
      </c>
      <c r="AE511">
        <f>IF(G511&lt;33,0,IF(G511&gt;=80,5,IF(G511&gt;=70,4,IF(G511&gt;=60,3.5,IF(G511&gt;=50,3,IF(G511&gt;=40,2,IF(G511&gt;=33,1,0)))))))</f>
        <v/>
      </c>
      <c r="AF511">
        <f>IF(H511+I511&lt;66,0,IF((H511+I511)/2&gt;=80,5,IF((H511+I511)/2&gt;=70,4,IF((H511+I511)/2&gt;=60,3.5,IF((H511+I511)/2&gt;=50,3,IF((H511+I511)/2&gt;=40,2,IF((H511+I511)/2&gt;=33,1,0)))))))</f>
        <v/>
      </c>
      <c r="AG511">
        <f>IF(Y511,0,IF((J511+K511+L511+M511)/2&gt;=80,5,IF((J511+K511+L511+M511)/2&gt;=70,4,IF((J511+K511+L511+M511)/2&gt;=60,3.5,IF((J511+K511+L511+M511)/2&gt;=50,3,IF((J511+K511+L511+M511)/2&gt;=40,2,IF((J511+K511+L511+M511)/2&gt;=33,1,0)))))))</f>
        <v/>
      </c>
      <c r="AH511">
        <f>IF(Z511,0,IF(N511+O511&gt;=80,5,IF(N511+O511&gt;=70,4,IF(N511+O511&gt;=60,3.5,IF(N511+O511&gt;=50,3,IF(N511+O511&gt;=40,2,IF(N511+O511&gt;=33,1,0)))))))</f>
        <v/>
      </c>
      <c r="AI511">
        <f>IF(AA511,0,IF(P511+Q511&gt;=80,5,IF(P511+Q511&gt;=70,4,IF(P511+Q511&gt;=60,3.5,IF(P511+Q511&gt;=50,3,IF(P511+Q511&gt;=40,2,IF(P511+Q511&gt;=33,1,0)))))))</f>
        <v/>
      </c>
      <c r="AJ511">
        <f>IF(R511&lt;8.25,0,IF(R511*2&gt;=80,5,IF(R511*2&gt;=70,4,IF(R511*2&gt;=60,3.5,IF(R511*2&gt;=50,3,IF(R511*2&gt;=40,2,IF(R511*2&gt;=33,1,0)))))))</f>
        <v/>
      </c>
      <c r="AK511">
        <f>IF(S511&lt;33,0,IF(S511&gt;=80,5,IF(S511&gt;=70,4,IF(S511&gt;=60,3.5,IF(S511&gt;=50,3,IF(S511&gt;=40,2,IF(S511&gt;=33,1,0)))))))</f>
        <v/>
      </c>
      <c r="AL511">
        <f>(AC511+AD511+AE511+AF511+AG511+AH511+AI511+AJ511)/8</f>
        <v/>
      </c>
      <c r="AM511">
        <f>IF(AK511&gt;=2,(AK511-2)/8,0)</f>
        <v/>
      </c>
    </row>
    <row r="512">
      <c r="T512">
        <f>SUM(C512:R512)</f>
        <v/>
      </c>
      <c r="U512" s="6">
        <f>ROUND(T512/11.5,2)</f>
        <v/>
      </c>
      <c r="V512" s="7">
        <f>IF(B512="","",IF(AB512,0,ROUND(AL512,2)))</f>
        <v/>
      </c>
      <c r="W512" s="7">
        <f>IF(B512="","",IF(AB512,0,MIN(5,ROUND(AL512+AM512,2))))</f>
        <v/>
      </c>
      <c r="X512" s="8">
        <f>IF(B512="","",IF(W512&gt;=5,"A+",IF(W512&gt;=4,"A",IF(W512&gt;=3.5,"A-",IF(W512&gt;=3,"B",IF(W512&gt;=2,"C",IF(W512&gt;=1,"D","F")))))))</f>
        <v/>
      </c>
      <c r="Y512">
        <f>NOT(OR(AND(J512&gt;=10,K512&gt;=23,L512&gt;=10,M512&gt;=23),AND(J512+L512&gt;=20,K512+M512&gt;=46)))</f>
        <v/>
      </c>
      <c r="Z512">
        <f>OR(N512&lt;10,O512&lt;23)</f>
        <v/>
      </c>
      <c r="AA512">
        <f>OR(P512&lt;10,Q512&lt;23)</f>
        <v/>
      </c>
      <c r="AB512">
        <f>OR((C512+D512)&lt;66,(E512+F512)&lt;66,G512&lt;33,(H512+I512)&lt;66,Y512,Z512,AA512,R512&lt;8.25)</f>
        <v/>
      </c>
      <c r="AC512">
        <f>IF(C512+D512&lt;66,0,IF((C512+D512)/2&gt;=80,5,IF((C512+D512)/2&gt;=70,4,IF((C512+D512)/2&gt;=60,3.5,IF((C512+D512)/2&gt;=50,3,IF((C512+D512)/2&gt;=40,2,IF((C512+D512)/2&gt;=33,1,0)))))))</f>
        <v/>
      </c>
      <c r="AD512">
        <f>IF(E512+F512&lt;66,0,IF((E512+F512)/2&gt;=80,5,IF((E512+F512)/2&gt;=70,4,IF((E512+F512)/2&gt;=60,3.5,IF((E512+F512)/2&gt;=50,3,IF((E512+F512)/2&gt;=40,2,IF((E512+F512)/2&gt;=33,1,0)))))))</f>
        <v/>
      </c>
      <c r="AE512">
        <f>IF(G512&lt;33,0,IF(G512&gt;=80,5,IF(G512&gt;=70,4,IF(G512&gt;=60,3.5,IF(G512&gt;=50,3,IF(G512&gt;=40,2,IF(G512&gt;=33,1,0)))))))</f>
        <v/>
      </c>
      <c r="AF512">
        <f>IF(H512+I512&lt;66,0,IF((H512+I512)/2&gt;=80,5,IF((H512+I512)/2&gt;=70,4,IF((H512+I512)/2&gt;=60,3.5,IF((H512+I512)/2&gt;=50,3,IF((H512+I512)/2&gt;=40,2,IF((H512+I512)/2&gt;=33,1,0)))))))</f>
        <v/>
      </c>
      <c r="AG512">
        <f>IF(Y512,0,IF((J512+K512+L512+M512)/2&gt;=80,5,IF((J512+K512+L512+M512)/2&gt;=70,4,IF((J512+K512+L512+M512)/2&gt;=60,3.5,IF((J512+K512+L512+M512)/2&gt;=50,3,IF((J512+K512+L512+M512)/2&gt;=40,2,IF((J512+K512+L512+M512)/2&gt;=33,1,0)))))))</f>
        <v/>
      </c>
      <c r="AH512">
        <f>IF(Z512,0,IF(N512+O512&gt;=80,5,IF(N512+O512&gt;=70,4,IF(N512+O512&gt;=60,3.5,IF(N512+O512&gt;=50,3,IF(N512+O512&gt;=40,2,IF(N512+O512&gt;=33,1,0)))))))</f>
        <v/>
      </c>
      <c r="AI512">
        <f>IF(AA512,0,IF(P512+Q512&gt;=80,5,IF(P512+Q512&gt;=70,4,IF(P512+Q512&gt;=60,3.5,IF(P512+Q512&gt;=50,3,IF(P512+Q512&gt;=40,2,IF(P512+Q512&gt;=33,1,0)))))))</f>
        <v/>
      </c>
      <c r="AJ512">
        <f>IF(R512&lt;8.25,0,IF(R512*2&gt;=80,5,IF(R512*2&gt;=70,4,IF(R512*2&gt;=60,3.5,IF(R512*2&gt;=50,3,IF(R512*2&gt;=40,2,IF(R512*2&gt;=33,1,0)))))))</f>
        <v/>
      </c>
      <c r="AK512">
        <f>IF(S512&lt;33,0,IF(S512&gt;=80,5,IF(S512&gt;=70,4,IF(S512&gt;=60,3.5,IF(S512&gt;=50,3,IF(S512&gt;=40,2,IF(S512&gt;=33,1,0)))))))</f>
        <v/>
      </c>
      <c r="AL512">
        <f>(AC512+AD512+AE512+AF512+AG512+AH512+AI512+AJ512)/8</f>
        <v/>
      </c>
      <c r="AM512">
        <f>IF(AK512&gt;=2,(AK512-2)/8,0)</f>
        <v/>
      </c>
    </row>
    <row r="513">
      <c r="T513">
        <f>SUM(C513:R513)</f>
        <v/>
      </c>
      <c r="U513" s="6">
        <f>ROUND(T513/11.5,2)</f>
        <v/>
      </c>
      <c r="V513" s="7">
        <f>IF(B513="","",IF(AB513,0,ROUND(AL513,2)))</f>
        <v/>
      </c>
      <c r="W513" s="7">
        <f>IF(B513="","",IF(AB513,0,MIN(5,ROUND(AL513+AM513,2))))</f>
        <v/>
      </c>
      <c r="X513" s="8">
        <f>IF(B513="","",IF(W513&gt;=5,"A+",IF(W513&gt;=4,"A",IF(W513&gt;=3.5,"A-",IF(W513&gt;=3,"B",IF(W513&gt;=2,"C",IF(W513&gt;=1,"D","F")))))))</f>
        <v/>
      </c>
      <c r="Y513">
        <f>NOT(OR(AND(J513&gt;=10,K513&gt;=23,L513&gt;=10,M513&gt;=23),AND(J513+L513&gt;=20,K513+M513&gt;=46)))</f>
        <v/>
      </c>
      <c r="Z513">
        <f>OR(N513&lt;10,O513&lt;23)</f>
        <v/>
      </c>
      <c r="AA513">
        <f>OR(P513&lt;10,Q513&lt;23)</f>
        <v/>
      </c>
      <c r="AB513">
        <f>OR((C513+D513)&lt;66,(E513+F513)&lt;66,G513&lt;33,(H513+I513)&lt;66,Y513,Z513,AA513,R513&lt;8.25)</f>
        <v/>
      </c>
      <c r="AC513">
        <f>IF(C513+D513&lt;66,0,IF((C513+D513)/2&gt;=80,5,IF((C513+D513)/2&gt;=70,4,IF((C513+D513)/2&gt;=60,3.5,IF((C513+D513)/2&gt;=50,3,IF((C513+D513)/2&gt;=40,2,IF((C513+D513)/2&gt;=33,1,0)))))))</f>
        <v/>
      </c>
      <c r="AD513">
        <f>IF(E513+F513&lt;66,0,IF((E513+F513)/2&gt;=80,5,IF((E513+F513)/2&gt;=70,4,IF((E513+F513)/2&gt;=60,3.5,IF((E513+F513)/2&gt;=50,3,IF((E513+F513)/2&gt;=40,2,IF((E513+F513)/2&gt;=33,1,0)))))))</f>
        <v/>
      </c>
      <c r="AE513">
        <f>IF(G513&lt;33,0,IF(G513&gt;=80,5,IF(G513&gt;=70,4,IF(G513&gt;=60,3.5,IF(G513&gt;=50,3,IF(G513&gt;=40,2,IF(G513&gt;=33,1,0)))))))</f>
        <v/>
      </c>
      <c r="AF513">
        <f>IF(H513+I513&lt;66,0,IF((H513+I513)/2&gt;=80,5,IF((H513+I513)/2&gt;=70,4,IF((H513+I513)/2&gt;=60,3.5,IF((H513+I513)/2&gt;=50,3,IF((H513+I513)/2&gt;=40,2,IF((H513+I513)/2&gt;=33,1,0)))))))</f>
        <v/>
      </c>
      <c r="AG513">
        <f>IF(Y513,0,IF((J513+K513+L513+M513)/2&gt;=80,5,IF((J513+K513+L513+M513)/2&gt;=70,4,IF((J513+K513+L513+M513)/2&gt;=60,3.5,IF((J513+K513+L513+M513)/2&gt;=50,3,IF((J513+K513+L513+M513)/2&gt;=40,2,IF((J513+K513+L513+M513)/2&gt;=33,1,0)))))))</f>
        <v/>
      </c>
      <c r="AH513">
        <f>IF(Z513,0,IF(N513+O513&gt;=80,5,IF(N513+O513&gt;=70,4,IF(N513+O513&gt;=60,3.5,IF(N513+O513&gt;=50,3,IF(N513+O513&gt;=40,2,IF(N513+O513&gt;=33,1,0)))))))</f>
        <v/>
      </c>
      <c r="AI513">
        <f>IF(AA513,0,IF(P513+Q513&gt;=80,5,IF(P513+Q513&gt;=70,4,IF(P513+Q513&gt;=60,3.5,IF(P513+Q513&gt;=50,3,IF(P513+Q513&gt;=40,2,IF(P513+Q513&gt;=33,1,0)))))))</f>
        <v/>
      </c>
      <c r="AJ513">
        <f>IF(R513&lt;8.25,0,IF(R513*2&gt;=80,5,IF(R513*2&gt;=70,4,IF(R513*2&gt;=60,3.5,IF(R513*2&gt;=50,3,IF(R513*2&gt;=40,2,IF(R513*2&gt;=33,1,0)))))))</f>
        <v/>
      </c>
      <c r="AK513">
        <f>IF(S513&lt;33,0,IF(S513&gt;=80,5,IF(S513&gt;=70,4,IF(S513&gt;=60,3.5,IF(S513&gt;=50,3,IF(S513&gt;=40,2,IF(S513&gt;=33,1,0)))))))</f>
        <v/>
      </c>
      <c r="AL513">
        <f>(AC513+AD513+AE513+AF513+AG513+AH513+AI513+AJ513)/8</f>
        <v/>
      </c>
      <c r="AM513">
        <f>IF(AK513&gt;=2,(AK513-2)/8,0)</f>
        <v/>
      </c>
    </row>
    <row r="514">
      <c r="T514">
        <f>SUM(C514:R514)</f>
        <v/>
      </c>
      <c r="U514" s="6">
        <f>ROUND(T514/11.5,2)</f>
        <v/>
      </c>
      <c r="V514" s="7">
        <f>IF(B514="","",IF(AB514,0,ROUND(AL514,2)))</f>
        <v/>
      </c>
      <c r="W514" s="7">
        <f>IF(B514="","",IF(AB514,0,MIN(5,ROUND(AL514+AM514,2))))</f>
        <v/>
      </c>
      <c r="X514" s="8">
        <f>IF(B514="","",IF(W514&gt;=5,"A+",IF(W514&gt;=4,"A",IF(W514&gt;=3.5,"A-",IF(W514&gt;=3,"B",IF(W514&gt;=2,"C",IF(W514&gt;=1,"D","F")))))))</f>
        <v/>
      </c>
      <c r="Y514">
        <f>NOT(OR(AND(J514&gt;=10,K514&gt;=23,L514&gt;=10,M514&gt;=23),AND(J514+L514&gt;=20,K514+M514&gt;=46)))</f>
        <v/>
      </c>
      <c r="Z514">
        <f>OR(N514&lt;10,O514&lt;23)</f>
        <v/>
      </c>
      <c r="AA514">
        <f>OR(P514&lt;10,Q514&lt;23)</f>
        <v/>
      </c>
      <c r="AB514">
        <f>OR((C514+D514)&lt;66,(E514+F514)&lt;66,G514&lt;33,(H514+I514)&lt;66,Y514,Z514,AA514,R514&lt;8.25)</f>
        <v/>
      </c>
      <c r="AC514">
        <f>IF(C514+D514&lt;66,0,IF((C514+D514)/2&gt;=80,5,IF((C514+D514)/2&gt;=70,4,IF((C514+D514)/2&gt;=60,3.5,IF((C514+D514)/2&gt;=50,3,IF((C514+D514)/2&gt;=40,2,IF((C514+D514)/2&gt;=33,1,0)))))))</f>
        <v/>
      </c>
      <c r="AD514">
        <f>IF(E514+F514&lt;66,0,IF((E514+F514)/2&gt;=80,5,IF((E514+F514)/2&gt;=70,4,IF((E514+F514)/2&gt;=60,3.5,IF((E514+F514)/2&gt;=50,3,IF((E514+F514)/2&gt;=40,2,IF((E514+F514)/2&gt;=33,1,0)))))))</f>
        <v/>
      </c>
      <c r="AE514">
        <f>IF(G514&lt;33,0,IF(G514&gt;=80,5,IF(G514&gt;=70,4,IF(G514&gt;=60,3.5,IF(G514&gt;=50,3,IF(G514&gt;=40,2,IF(G514&gt;=33,1,0)))))))</f>
        <v/>
      </c>
      <c r="AF514">
        <f>IF(H514+I514&lt;66,0,IF((H514+I514)/2&gt;=80,5,IF((H514+I514)/2&gt;=70,4,IF((H514+I514)/2&gt;=60,3.5,IF((H514+I514)/2&gt;=50,3,IF((H514+I514)/2&gt;=40,2,IF((H514+I514)/2&gt;=33,1,0)))))))</f>
        <v/>
      </c>
      <c r="AG514">
        <f>IF(Y514,0,IF((J514+K514+L514+M514)/2&gt;=80,5,IF((J514+K514+L514+M514)/2&gt;=70,4,IF((J514+K514+L514+M514)/2&gt;=60,3.5,IF((J514+K514+L514+M514)/2&gt;=50,3,IF((J514+K514+L514+M514)/2&gt;=40,2,IF((J514+K514+L514+M514)/2&gt;=33,1,0)))))))</f>
        <v/>
      </c>
      <c r="AH514">
        <f>IF(Z514,0,IF(N514+O514&gt;=80,5,IF(N514+O514&gt;=70,4,IF(N514+O514&gt;=60,3.5,IF(N514+O514&gt;=50,3,IF(N514+O514&gt;=40,2,IF(N514+O514&gt;=33,1,0)))))))</f>
        <v/>
      </c>
      <c r="AI514">
        <f>IF(AA514,0,IF(P514+Q514&gt;=80,5,IF(P514+Q514&gt;=70,4,IF(P514+Q514&gt;=60,3.5,IF(P514+Q514&gt;=50,3,IF(P514+Q514&gt;=40,2,IF(P514+Q514&gt;=33,1,0)))))))</f>
        <v/>
      </c>
      <c r="AJ514">
        <f>IF(R514&lt;8.25,0,IF(R514*2&gt;=80,5,IF(R514*2&gt;=70,4,IF(R514*2&gt;=60,3.5,IF(R514*2&gt;=50,3,IF(R514*2&gt;=40,2,IF(R514*2&gt;=33,1,0)))))))</f>
        <v/>
      </c>
      <c r="AK514">
        <f>IF(S514&lt;33,0,IF(S514&gt;=80,5,IF(S514&gt;=70,4,IF(S514&gt;=60,3.5,IF(S514&gt;=50,3,IF(S514&gt;=40,2,IF(S514&gt;=33,1,0)))))))</f>
        <v/>
      </c>
      <c r="AL514">
        <f>(AC514+AD514+AE514+AF514+AG514+AH514+AI514+AJ514)/8</f>
        <v/>
      </c>
      <c r="AM514">
        <f>IF(AK514&gt;=2,(AK514-2)/8,0)</f>
        <v/>
      </c>
    </row>
    <row r="515">
      <c r="T515">
        <f>SUM(C515:R515)</f>
        <v/>
      </c>
      <c r="U515" s="6">
        <f>ROUND(T515/11.5,2)</f>
        <v/>
      </c>
      <c r="V515" s="7">
        <f>IF(B515="","",IF(AB515,0,ROUND(AL515,2)))</f>
        <v/>
      </c>
      <c r="W515" s="7">
        <f>IF(B515="","",IF(AB515,0,MIN(5,ROUND(AL515+AM515,2))))</f>
        <v/>
      </c>
      <c r="X515" s="8">
        <f>IF(B515="","",IF(W515&gt;=5,"A+",IF(W515&gt;=4,"A",IF(W515&gt;=3.5,"A-",IF(W515&gt;=3,"B",IF(W515&gt;=2,"C",IF(W515&gt;=1,"D","F")))))))</f>
        <v/>
      </c>
      <c r="Y515">
        <f>NOT(OR(AND(J515&gt;=10,K515&gt;=23,L515&gt;=10,M515&gt;=23),AND(J515+L515&gt;=20,K515+M515&gt;=46)))</f>
        <v/>
      </c>
      <c r="Z515">
        <f>OR(N515&lt;10,O515&lt;23)</f>
        <v/>
      </c>
      <c r="AA515">
        <f>OR(P515&lt;10,Q515&lt;23)</f>
        <v/>
      </c>
      <c r="AB515">
        <f>OR((C515+D515)&lt;66,(E515+F515)&lt;66,G515&lt;33,(H515+I515)&lt;66,Y515,Z515,AA515,R515&lt;8.25)</f>
        <v/>
      </c>
      <c r="AC515">
        <f>IF(C515+D515&lt;66,0,IF((C515+D515)/2&gt;=80,5,IF((C515+D515)/2&gt;=70,4,IF((C515+D515)/2&gt;=60,3.5,IF((C515+D515)/2&gt;=50,3,IF((C515+D515)/2&gt;=40,2,IF((C515+D515)/2&gt;=33,1,0)))))))</f>
        <v/>
      </c>
      <c r="AD515">
        <f>IF(E515+F515&lt;66,0,IF((E515+F515)/2&gt;=80,5,IF((E515+F515)/2&gt;=70,4,IF((E515+F515)/2&gt;=60,3.5,IF((E515+F515)/2&gt;=50,3,IF((E515+F515)/2&gt;=40,2,IF((E515+F515)/2&gt;=33,1,0)))))))</f>
        <v/>
      </c>
      <c r="AE515">
        <f>IF(G515&lt;33,0,IF(G515&gt;=80,5,IF(G515&gt;=70,4,IF(G515&gt;=60,3.5,IF(G515&gt;=50,3,IF(G515&gt;=40,2,IF(G515&gt;=33,1,0)))))))</f>
        <v/>
      </c>
      <c r="AF515">
        <f>IF(H515+I515&lt;66,0,IF((H515+I515)/2&gt;=80,5,IF((H515+I515)/2&gt;=70,4,IF((H515+I515)/2&gt;=60,3.5,IF((H515+I515)/2&gt;=50,3,IF((H515+I515)/2&gt;=40,2,IF((H515+I515)/2&gt;=33,1,0)))))))</f>
        <v/>
      </c>
      <c r="AG515">
        <f>IF(Y515,0,IF((J515+K515+L515+M515)/2&gt;=80,5,IF((J515+K515+L515+M515)/2&gt;=70,4,IF((J515+K515+L515+M515)/2&gt;=60,3.5,IF((J515+K515+L515+M515)/2&gt;=50,3,IF((J515+K515+L515+M515)/2&gt;=40,2,IF((J515+K515+L515+M515)/2&gt;=33,1,0)))))))</f>
        <v/>
      </c>
      <c r="AH515">
        <f>IF(Z515,0,IF(N515+O515&gt;=80,5,IF(N515+O515&gt;=70,4,IF(N515+O515&gt;=60,3.5,IF(N515+O515&gt;=50,3,IF(N515+O515&gt;=40,2,IF(N515+O515&gt;=33,1,0)))))))</f>
        <v/>
      </c>
      <c r="AI515">
        <f>IF(AA515,0,IF(P515+Q515&gt;=80,5,IF(P515+Q515&gt;=70,4,IF(P515+Q515&gt;=60,3.5,IF(P515+Q515&gt;=50,3,IF(P515+Q515&gt;=40,2,IF(P515+Q515&gt;=33,1,0)))))))</f>
        <v/>
      </c>
      <c r="AJ515">
        <f>IF(R515&lt;8.25,0,IF(R515*2&gt;=80,5,IF(R515*2&gt;=70,4,IF(R515*2&gt;=60,3.5,IF(R515*2&gt;=50,3,IF(R515*2&gt;=40,2,IF(R515*2&gt;=33,1,0)))))))</f>
        <v/>
      </c>
      <c r="AK515">
        <f>IF(S515&lt;33,0,IF(S515&gt;=80,5,IF(S515&gt;=70,4,IF(S515&gt;=60,3.5,IF(S515&gt;=50,3,IF(S515&gt;=40,2,IF(S515&gt;=33,1,0)))))))</f>
        <v/>
      </c>
      <c r="AL515">
        <f>(AC515+AD515+AE515+AF515+AG515+AH515+AI515+AJ515)/8</f>
        <v/>
      </c>
      <c r="AM515">
        <f>IF(AK515&gt;=2,(AK515-2)/8,0)</f>
        <v/>
      </c>
    </row>
    <row r="516">
      <c r="T516">
        <f>SUM(C516:R516)</f>
        <v/>
      </c>
      <c r="U516" s="6">
        <f>ROUND(T516/11.5,2)</f>
        <v/>
      </c>
      <c r="V516" s="7">
        <f>IF(B516="","",IF(AB516,0,ROUND(AL516,2)))</f>
        <v/>
      </c>
      <c r="W516" s="7">
        <f>IF(B516="","",IF(AB516,0,MIN(5,ROUND(AL516+AM516,2))))</f>
        <v/>
      </c>
      <c r="X516" s="8">
        <f>IF(B516="","",IF(W516&gt;=5,"A+",IF(W516&gt;=4,"A",IF(W516&gt;=3.5,"A-",IF(W516&gt;=3,"B",IF(W516&gt;=2,"C",IF(W516&gt;=1,"D","F")))))))</f>
        <v/>
      </c>
      <c r="Y516">
        <f>NOT(OR(AND(J516&gt;=10,K516&gt;=23,L516&gt;=10,M516&gt;=23),AND(J516+L516&gt;=20,K516+M516&gt;=46)))</f>
        <v/>
      </c>
      <c r="Z516">
        <f>OR(N516&lt;10,O516&lt;23)</f>
        <v/>
      </c>
      <c r="AA516">
        <f>OR(P516&lt;10,Q516&lt;23)</f>
        <v/>
      </c>
      <c r="AB516">
        <f>OR((C516+D516)&lt;66,(E516+F516)&lt;66,G516&lt;33,(H516+I516)&lt;66,Y516,Z516,AA516,R516&lt;8.25)</f>
        <v/>
      </c>
      <c r="AC516">
        <f>IF(C516+D516&lt;66,0,IF((C516+D516)/2&gt;=80,5,IF((C516+D516)/2&gt;=70,4,IF((C516+D516)/2&gt;=60,3.5,IF((C516+D516)/2&gt;=50,3,IF((C516+D516)/2&gt;=40,2,IF((C516+D516)/2&gt;=33,1,0)))))))</f>
        <v/>
      </c>
      <c r="AD516">
        <f>IF(E516+F516&lt;66,0,IF((E516+F516)/2&gt;=80,5,IF((E516+F516)/2&gt;=70,4,IF((E516+F516)/2&gt;=60,3.5,IF((E516+F516)/2&gt;=50,3,IF((E516+F516)/2&gt;=40,2,IF((E516+F516)/2&gt;=33,1,0)))))))</f>
        <v/>
      </c>
      <c r="AE516">
        <f>IF(G516&lt;33,0,IF(G516&gt;=80,5,IF(G516&gt;=70,4,IF(G516&gt;=60,3.5,IF(G516&gt;=50,3,IF(G516&gt;=40,2,IF(G516&gt;=33,1,0)))))))</f>
        <v/>
      </c>
      <c r="AF516">
        <f>IF(H516+I516&lt;66,0,IF((H516+I516)/2&gt;=80,5,IF((H516+I516)/2&gt;=70,4,IF((H516+I516)/2&gt;=60,3.5,IF((H516+I516)/2&gt;=50,3,IF((H516+I516)/2&gt;=40,2,IF((H516+I516)/2&gt;=33,1,0)))))))</f>
        <v/>
      </c>
      <c r="AG516">
        <f>IF(Y516,0,IF((J516+K516+L516+M516)/2&gt;=80,5,IF((J516+K516+L516+M516)/2&gt;=70,4,IF((J516+K516+L516+M516)/2&gt;=60,3.5,IF((J516+K516+L516+M516)/2&gt;=50,3,IF((J516+K516+L516+M516)/2&gt;=40,2,IF((J516+K516+L516+M516)/2&gt;=33,1,0)))))))</f>
        <v/>
      </c>
      <c r="AH516">
        <f>IF(Z516,0,IF(N516+O516&gt;=80,5,IF(N516+O516&gt;=70,4,IF(N516+O516&gt;=60,3.5,IF(N516+O516&gt;=50,3,IF(N516+O516&gt;=40,2,IF(N516+O516&gt;=33,1,0)))))))</f>
        <v/>
      </c>
      <c r="AI516">
        <f>IF(AA516,0,IF(P516+Q516&gt;=80,5,IF(P516+Q516&gt;=70,4,IF(P516+Q516&gt;=60,3.5,IF(P516+Q516&gt;=50,3,IF(P516+Q516&gt;=40,2,IF(P516+Q516&gt;=33,1,0)))))))</f>
        <v/>
      </c>
      <c r="AJ516">
        <f>IF(R516&lt;8.25,0,IF(R516*2&gt;=80,5,IF(R516*2&gt;=70,4,IF(R516*2&gt;=60,3.5,IF(R516*2&gt;=50,3,IF(R516*2&gt;=40,2,IF(R516*2&gt;=33,1,0)))))))</f>
        <v/>
      </c>
      <c r="AK516">
        <f>IF(S516&lt;33,0,IF(S516&gt;=80,5,IF(S516&gt;=70,4,IF(S516&gt;=60,3.5,IF(S516&gt;=50,3,IF(S516&gt;=40,2,IF(S516&gt;=33,1,0)))))))</f>
        <v/>
      </c>
      <c r="AL516">
        <f>(AC516+AD516+AE516+AF516+AG516+AH516+AI516+AJ516)/8</f>
        <v/>
      </c>
      <c r="AM516">
        <f>IF(AK516&gt;=2,(AK516-2)/8,0)</f>
        <v/>
      </c>
    </row>
    <row r="517">
      <c r="T517">
        <f>SUM(C517:R517)</f>
        <v/>
      </c>
      <c r="U517" s="6">
        <f>ROUND(T517/11.5,2)</f>
        <v/>
      </c>
      <c r="V517" s="7">
        <f>IF(B517="","",IF(AB517,0,ROUND(AL517,2)))</f>
        <v/>
      </c>
      <c r="W517" s="7">
        <f>IF(B517="","",IF(AB517,0,MIN(5,ROUND(AL517+AM517,2))))</f>
        <v/>
      </c>
      <c r="X517" s="8">
        <f>IF(B517="","",IF(W517&gt;=5,"A+",IF(W517&gt;=4,"A",IF(W517&gt;=3.5,"A-",IF(W517&gt;=3,"B",IF(W517&gt;=2,"C",IF(W517&gt;=1,"D","F")))))))</f>
        <v/>
      </c>
      <c r="Y517">
        <f>NOT(OR(AND(J517&gt;=10,K517&gt;=23,L517&gt;=10,M517&gt;=23),AND(J517+L517&gt;=20,K517+M517&gt;=46)))</f>
        <v/>
      </c>
      <c r="Z517">
        <f>OR(N517&lt;10,O517&lt;23)</f>
        <v/>
      </c>
      <c r="AA517">
        <f>OR(P517&lt;10,Q517&lt;23)</f>
        <v/>
      </c>
      <c r="AB517">
        <f>OR((C517+D517)&lt;66,(E517+F517)&lt;66,G517&lt;33,(H517+I517)&lt;66,Y517,Z517,AA517,R517&lt;8.25)</f>
        <v/>
      </c>
      <c r="AC517">
        <f>IF(C517+D517&lt;66,0,IF((C517+D517)/2&gt;=80,5,IF((C517+D517)/2&gt;=70,4,IF((C517+D517)/2&gt;=60,3.5,IF((C517+D517)/2&gt;=50,3,IF((C517+D517)/2&gt;=40,2,IF((C517+D517)/2&gt;=33,1,0)))))))</f>
        <v/>
      </c>
      <c r="AD517">
        <f>IF(E517+F517&lt;66,0,IF((E517+F517)/2&gt;=80,5,IF((E517+F517)/2&gt;=70,4,IF((E517+F517)/2&gt;=60,3.5,IF((E517+F517)/2&gt;=50,3,IF((E517+F517)/2&gt;=40,2,IF((E517+F517)/2&gt;=33,1,0)))))))</f>
        <v/>
      </c>
      <c r="AE517">
        <f>IF(G517&lt;33,0,IF(G517&gt;=80,5,IF(G517&gt;=70,4,IF(G517&gt;=60,3.5,IF(G517&gt;=50,3,IF(G517&gt;=40,2,IF(G517&gt;=33,1,0)))))))</f>
        <v/>
      </c>
      <c r="AF517">
        <f>IF(H517+I517&lt;66,0,IF((H517+I517)/2&gt;=80,5,IF((H517+I517)/2&gt;=70,4,IF((H517+I517)/2&gt;=60,3.5,IF((H517+I517)/2&gt;=50,3,IF((H517+I517)/2&gt;=40,2,IF((H517+I517)/2&gt;=33,1,0)))))))</f>
        <v/>
      </c>
      <c r="AG517">
        <f>IF(Y517,0,IF((J517+K517+L517+M517)/2&gt;=80,5,IF((J517+K517+L517+M517)/2&gt;=70,4,IF((J517+K517+L517+M517)/2&gt;=60,3.5,IF((J517+K517+L517+M517)/2&gt;=50,3,IF((J517+K517+L517+M517)/2&gt;=40,2,IF((J517+K517+L517+M517)/2&gt;=33,1,0)))))))</f>
        <v/>
      </c>
      <c r="AH517">
        <f>IF(Z517,0,IF(N517+O517&gt;=80,5,IF(N517+O517&gt;=70,4,IF(N517+O517&gt;=60,3.5,IF(N517+O517&gt;=50,3,IF(N517+O517&gt;=40,2,IF(N517+O517&gt;=33,1,0)))))))</f>
        <v/>
      </c>
      <c r="AI517">
        <f>IF(AA517,0,IF(P517+Q517&gt;=80,5,IF(P517+Q517&gt;=70,4,IF(P517+Q517&gt;=60,3.5,IF(P517+Q517&gt;=50,3,IF(P517+Q517&gt;=40,2,IF(P517+Q517&gt;=33,1,0)))))))</f>
        <v/>
      </c>
      <c r="AJ517">
        <f>IF(R517&lt;8.25,0,IF(R517*2&gt;=80,5,IF(R517*2&gt;=70,4,IF(R517*2&gt;=60,3.5,IF(R517*2&gt;=50,3,IF(R517*2&gt;=40,2,IF(R517*2&gt;=33,1,0)))))))</f>
        <v/>
      </c>
      <c r="AK517">
        <f>IF(S517&lt;33,0,IF(S517&gt;=80,5,IF(S517&gt;=70,4,IF(S517&gt;=60,3.5,IF(S517&gt;=50,3,IF(S517&gt;=40,2,IF(S517&gt;=33,1,0)))))))</f>
        <v/>
      </c>
      <c r="AL517">
        <f>(AC517+AD517+AE517+AF517+AG517+AH517+AI517+AJ517)/8</f>
        <v/>
      </c>
      <c r="AM517">
        <f>IF(AK517&gt;=2,(AK517-2)/8,0)</f>
        <v/>
      </c>
    </row>
    <row r="518">
      <c r="T518">
        <f>SUM(C518:R518)</f>
        <v/>
      </c>
      <c r="U518" s="6">
        <f>ROUND(T518/11.5,2)</f>
        <v/>
      </c>
      <c r="V518" s="7">
        <f>IF(B518="","",IF(AB518,0,ROUND(AL518,2)))</f>
        <v/>
      </c>
      <c r="W518" s="7">
        <f>IF(B518="","",IF(AB518,0,MIN(5,ROUND(AL518+AM518,2))))</f>
        <v/>
      </c>
      <c r="X518" s="8">
        <f>IF(B518="","",IF(W518&gt;=5,"A+",IF(W518&gt;=4,"A",IF(W518&gt;=3.5,"A-",IF(W518&gt;=3,"B",IF(W518&gt;=2,"C",IF(W518&gt;=1,"D","F")))))))</f>
        <v/>
      </c>
      <c r="Y518">
        <f>NOT(OR(AND(J518&gt;=10,K518&gt;=23,L518&gt;=10,M518&gt;=23),AND(J518+L518&gt;=20,K518+M518&gt;=46)))</f>
        <v/>
      </c>
      <c r="Z518">
        <f>OR(N518&lt;10,O518&lt;23)</f>
        <v/>
      </c>
      <c r="AA518">
        <f>OR(P518&lt;10,Q518&lt;23)</f>
        <v/>
      </c>
      <c r="AB518">
        <f>OR((C518+D518)&lt;66,(E518+F518)&lt;66,G518&lt;33,(H518+I518)&lt;66,Y518,Z518,AA518,R518&lt;8.25)</f>
        <v/>
      </c>
      <c r="AC518">
        <f>IF(C518+D518&lt;66,0,IF((C518+D518)/2&gt;=80,5,IF((C518+D518)/2&gt;=70,4,IF((C518+D518)/2&gt;=60,3.5,IF((C518+D518)/2&gt;=50,3,IF((C518+D518)/2&gt;=40,2,IF((C518+D518)/2&gt;=33,1,0)))))))</f>
        <v/>
      </c>
      <c r="AD518">
        <f>IF(E518+F518&lt;66,0,IF((E518+F518)/2&gt;=80,5,IF((E518+F518)/2&gt;=70,4,IF((E518+F518)/2&gt;=60,3.5,IF((E518+F518)/2&gt;=50,3,IF((E518+F518)/2&gt;=40,2,IF((E518+F518)/2&gt;=33,1,0)))))))</f>
        <v/>
      </c>
      <c r="AE518">
        <f>IF(G518&lt;33,0,IF(G518&gt;=80,5,IF(G518&gt;=70,4,IF(G518&gt;=60,3.5,IF(G518&gt;=50,3,IF(G518&gt;=40,2,IF(G518&gt;=33,1,0)))))))</f>
        <v/>
      </c>
      <c r="AF518">
        <f>IF(H518+I518&lt;66,0,IF((H518+I518)/2&gt;=80,5,IF((H518+I518)/2&gt;=70,4,IF((H518+I518)/2&gt;=60,3.5,IF((H518+I518)/2&gt;=50,3,IF((H518+I518)/2&gt;=40,2,IF((H518+I518)/2&gt;=33,1,0)))))))</f>
        <v/>
      </c>
      <c r="AG518">
        <f>IF(Y518,0,IF((J518+K518+L518+M518)/2&gt;=80,5,IF((J518+K518+L518+M518)/2&gt;=70,4,IF((J518+K518+L518+M518)/2&gt;=60,3.5,IF((J518+K518+L518+M518)/2&gt;=50,3,IF((J518+K518+L518+M518)/2&gt;=40,2,IF((J518+K518+L518+M518)/2&gt;=33,1,0)))))))</f>
        <v/>
      </c>
      <c r="AH518">
        <f>IF(Z518,0,IF(N518+O518&gt;=80,5,IF(N518+O518&gt;=70,4,IF(N518+O518&gt;=60,3.5,IF(N518+O518&gt;=50,3,IF(N518+O518&gt;=40,2,IF(N518+O518&gt;=33,1,0)))))))</f>
        <v/>
      </c>
      <c r="AI518">
        <f>IF(AA518,0,IF(P518+Q518&gt;=80,5,IF(P518+Q518&gt;=70,4,IF(P518+Q518&gt;=60,3.5,IF(P518+Q518&gt;=50,3,IF(P518+Q518&gt;=40,2,IF(P518+Q518&gt;=33,1,0)))))))</f>
        <v/>
      </c>
      <c r="AJ518">
        <f>IF(R518&lt;8.25,0,IF(R518*2&gt;=80,5,IF(R518*2&gt;=70,4,IF(R518*2&gt;=60,3.5,IF(R518*2&gt;=50,3,IF(R518*2&gt;=40,2,IF(R518*2&gt;=33,1,0)))))))</f>
        <v/>
      </c>
      <c r="AK518">
        <f>IF(S518&lt;33,0,IF(S518&gt;=80,5,IF(S518&gt;=70,4,IF(S518&gt;=60,3.5,IF(S518&gt;=50,3,IF(S518&gt;=40,2,IF(S518&gt;=33,1,0)))))))</f>
        <v/>
      </c>
      <c r="AL518">
        <f>(AC518+AD518+AE518+AF518+AG518+AH518+AI518+AJ518)/8</f>
        <v/>
      </c>
      <c r="AM518">
        <f>IF(AK518&gt;=2,(AK518-2)/8,0)</f>
        <v/>
      </c>
    </row>
    <row r="519">
      <c r="T519">
        <f>SUM(C519:R519)</f>
        <v/>
      </c>
      <c r="U519" s="6">
        <f>ROUND(T519/11.5,2)</f>
        <v/>
      </c>
      <c r="V519" s="7">
        <f>IF(B519="","",IF(AB519,0,ROUND(AL519,2)))</f>
        <v/>
      </c>
      <c r="W519" s="7">
        <f>IF(B519="","",IF(AB519,0,MIN(5,ROUND(AL519+AM519,2))))</f>
        <v/>
      </c>
      <c r="X519" s="8">
        <f>IF(B519="","",IF(W519&gt;=5,"A+",IF(W519&gt;=4,"A",IF(W519&gt;=3.5,"A-",IF(W519&gt;=3,"B",IF(W519&gt;=2,"C",IF(W519&gt;=1,"D","F")))))))</f>
        <v/>
      </c>
      <c r="Y519">
        <f>NOT(OR(AND(J519&gt;=10,K519&gt;=23,L519&gt;=10,M519&gt;=23),AND(J519+L519&gt;=20,K519+M519&gt;=46)))</f>
        <v/>
      </c>
      <c r="Z519">
        <f>OR(N519&lt;10,O519&lt;23)</f>
        <v/>
      </c>
      <c r="AA519">
        <f>OR(P519&lt;10,Q519&lt;23)</f>
        <v/>
      </c>
      <c r="AB519">
        <f>OR((C519+D519)&lt;66,(E519+F519)&lt;66,G519&lt;33,(H519+I519)&lt;66,Y519,Z519,AA519,R519&lt;8.25)</f>
        <v/>
      </c>
      <c r="AC519">
        <f>IF(C519+D519&lt;66,0,IF((C519+D519)/2&gt;=80,5,IF((C519+D519)/2&gt;=70,4,IF((C519+D519)/2&gt;=60,3.5,IF((C519+D519)/2&gt;=50,3,IF((C519+D519)/2&gt;=40,2,IF((C519+D519)/2&gt;=33,1,0)))))))</f>
        <v/>
      </c>
      <c r="AD519">
        <f>IF(E519+F519&lt;66,0,IF((E519+F519)/2&gt;=80,5,IF((E519+F519)/2&gt;=70,4,IF((E519+F519)/2&gt;=60,3.5,IF((E519+F519)/2&gt;=50,3,IF((E519+F519)/2&gt;=40,2,IF((E519+F519)/2&gt;=33,1,0)))))))</f>
        <v/>
      </c>
      <c r="AE519">
        <f>IF(G519&lt;33,0,IF(G519&gt;=80,5,IF(G519&gt;=70,4,IF(G519&gt;=60,3.5,IF(G519&gt;=50,3,IF(G519&gt;=40,2,IF(G519&gt;=33,1,0)))))))</f>
        <v/>
      </c>
      <c r="AF519">
        <f>IF(H519+I519&lt;66,0,IF((H519+I519)/2&gt;=80,5,IF((H519+I519)/2&gt;=70,4,IF((H519+I519)/2&gt;=60,3.5,IF((H519+I519)/2&gt;=50,3,IF((H519+I519)/2&gt;=40,2,IF((H519+I519)/2&gt;=33,1,0)))))))</f>
        <v/>
      </c>
      <c r="AG519">
        <f>IF(Y519,0,IF((J519+K519+L519+M519)/2&gt;=80,5,IF((J519+K519+L519+M519)/2&gt;=70,4,IF((J519+K519+L519+M519)/2&gt;=60,3.5,IF((J519+K519+L519+M519)/2&gt;=50,3,IF((J519+K519+L519+M519)/2&gt;=40,2,IF((J519+K519+L519+M519)/2&gt;=33,1,0)))))))</f>
        <v/>
      </c>
      <c r="AH519">
        <f>IF(Z519,0,IF(N519+O519&gt;=80,5,IF(N519+O519&gt;=70,4,IF(N519+O519&gt;=60,3.5,IF(N519+O519&gt;=50,3,IF(N519+O519&gt;=40,2,IF(N519+O519&gt;=33,1,0)))))))</f>
        <v/>
      </c>
      <c r="AI519">
        <f>IF(AA519,0,IF(P519+Q519&gt;=80,5,IF(P519+Q519&gt;=70,4,IF(P519+Q519&gt;=60,3.5,IF(P519+Q519&gt;=50,3,IF(P519+Q519&gt;=40,2,IF(P519+Q519&gt;=33,1,0)))))))</f>
        <v/>
      </c>
      <c r="AJ519">
        <f>IF(R519&lt;8.25,0,IF(R519*2&gt;=80,5,IF(R519*2&gt;=70,4,IF(R519*2&gt;=60,3.5,IF(R519*2&gt;=50,3,IF(R519*2&gt;=40,2,IF(R519*2&gt;=33,1,0)))))))</f>
        <v/>
      </c>
      <c r="AK519">
        <f>IF(S519&lt;33,0,IF(S519&gt;=80,5,IF(S519&gt;=70,4,IF(S519&gt;=60,3.5,IF(S519&gt;=50,3,IF(S519&gt;=40,2,IF(S519&gt;=33,1,0)))))))</f>
        <v/>
      </c>
      <c r="AL519">
        <f>(AC519+AD519+AE519+AF519+AG519+AH519+AI519+AJ519)/8</f>
        <v/>
      </c>
      <c r="AM519">
        <f>IF(AK519&gt;=2,(AK519-2)/8,0)</f>
        <v/>
      </c>
    </row>
    <row r="520">
      <c r="T520">
        <f>SUM(C520:R520)</f>
        <v/>
      </c>
      <c r="U520" s="6">
        <f>ROUND(T520/11.5,2)</f>
        <v/>
      </c>
      <c r="V520" s="7">
        <f>IF(B520="","",IF(AB520,0,ROUND(AL520,2)))</f>
        <v/>
      </c>
      <c r="W520" s="7">
        <f>IF(B520="","",IF(AB520,0,MIN(5,ROUND(AL520+AM520,2))))</f>
        <v/>
      </c>
      <c r="X520" s="8">
        <f>IF(B520="","",IF(W520&gt;=5,"A+",IF(W520&gt;=4,"A",IF(W520&gt;=3.5,"A-",IF(W520&gt;=3,"B",IF(W520&gt;=2,"C",IF(W520&gt;=1,"D","F")))))))</f>
        <v/>
      </c>
      <c r="Y520">
        <f>NOT(OR(AND(J520&gt;=10,K520&gt;=23,L520&gt;=10,M520&gt;=23),AND(J520+L520&gt;=20,K520+M520&gt;=46)))</f>
        <v/>
      </c>
      <c r="Z520">
        <f>OR(N520&lt;10,O520&lt;23)</f>
        <v/>
      </c>
      <c r="AA520">
        <f>OR(P520&lt;10,Q520&lt;23)</f>
        <v/>
      </c>
      <c r="AB520">
        <f>OR((C520+D520)&lt;66,(E520+F520)&lt;66,G520&lt;33,(H520+I520)&lt;66,Y520,Z520,AA520,R520&lt;8.25)</f>
        <v/>
      </c>
      <c r="AC520">
        <f>IF(C520+D520&lt;66,0,IF((C520+D520)/2&gt;=80,5,IF((C520+D520)/2&gt;=70,4,IF((C520+D520)/2&gt;=60,3.5,IF((C520+D520)/2&gt;=50,3,IF((C520+D520)/2&gt;=40,2,IF((C520+D520)/2&gt;=33,1,0)))))))</f>
        <v/>
      </c>
      <c r="AD520">
        <f>IF(E520+F520&lt;66,0,IF((E520+F520)/2&gt;=80,5,IF((E520+F520)/2&gt;=70,4,IF((E520+F520)/2&gt;=60,3.5,IF((E520+F520)/2&gt;=50,3,IF((E520+F520)/2&gt;=40,2,IF((E520+F520)/2&gt;=33,1,0)))))))</f>
        <v/>
      </c>
      <c r="AE520">
        <f>IF(G520&lt;33,0,IF(G520&gt;=80,5,IF(G520&gt;=70,4,IF(G520&gt;=60,3.5,IF(G520&gt;=50,3,IF(G520&gt;=40,2,IF(G520&gt;=33,1,0)))))))</f>
        <v/>
      </c>
      <c r="AF520">
        <f>IF(H520+I520&lt;66,0,IF((H520+I520)/2&gt;=80,5,IF((H520+I520)/2&gt;=70,4,IF((H520+I520)/2&gt;=60,3.5,IF((H520+I520)/2&gt;=50,3,IF((H520+I520)/2&gt;=40,2,IF((H520+I520)/2&gt;=33,1,0)))))))</f>
        <v/>
      </c>
      <c r="AG520">
        <f>IF(Y520,0,IF((J520+K520+L520+M520)/2&gt;=80,5,IF((J520+K520+L520+M520)/2&gt;=70,4,IF((J520+K520+L520+M520)/2&gt;=60,3.5,IF((J520+K520+L520+M520)/2&gt;=50,3,IF((J520+K520+L520+M520)/2&gt;=40,2,IF((J520+K520+L520+M520)/2&gt;=33,1,0)))))))</f>
        <v/>
      </c>
      <c r="AH520">
        <f>IF(Z520,0,IF(N520+O520&gt;=80,5,IF(N520+O520&gt;=70,4,IF(N520+O520&gt;=60,3.5,IF(N520+O520&gt;=50,3,IF(N520+O520&gt;=40,2,IF(N520+O520&gt;=33,1,0)))))))</f>
        <v/>
      </c>
      <c r="AI520">
        <f>IF(AA520,0,IF(P520+Q520&gt;=80,5,IF(P520+Q520&gt;=70,4,IF(P520+Q520&gt;=60,3.5,IF(P520+Q520&gt;=50,3,IF(P520+Q520&gt;=40,2,IF(P520+Q520&gt;=33,1,0)))))))</f>
        <v/>
      </c>
      <c r="AJ520">
        <f>IF(R520&lt;8.25,0,IF(R520*2&gt;=80,5,IF(R520*2&gt;=70,4,IF(R520*2&gt;=60,3.5,IF(R520*2&gt;=50,3,IF(R520*2&gt;=40,2,IF(R520*2&gt;=33,1,0)))))))</f>
        <v/>
      </c>
      <c r="AK520">
        <f>IF(S520&lt;33,0,IF(S520&gt;=80,5,IF(S520&gt;=70,4,IF(S520&gt;=60,3.5,IF(S520&gt;=50,3,IF(S520&gt;=40,2,IF(S520&gt;=33,1,0)))))))</f>
        <v/>
      </c>
      <c r="AL520">
        <f>(AC520+AD520+AE520+AF520+AG520+AH520+AI520+AJ520)/8</f>
        <v/>
      </c>
      <c r="AM520">
        <f>IF(AK520&gt;=2,(AK520-2)/8,0)</f>
        <v/>
      </c>
    </row>
    <row r="521">
      <c r="T521">
        <f>SUM(C521:R521)</f>
        <v/>
      </c>
      <c r="U521" s="6">
        <f>ROUND(T521/11.5,2)</f>
        <v/>
      </c>
      <c r="V521" s="7">
        <f>IF(B521="","",IF(AB521,0,ROUND(AL521,2)))</f>
        <v/>
      </c>
      <c r="W521" s="7">
        <f>IF(B521="","",IF(AB521,0,MIN(5,ROUND(AL521+AM521,2))))</f>
        <v/>
      </c>
      <c r="X521" s="8">
        <f>IF(B521="","",IF(W521&gt;=5,"A+",IF(W521&gt;=4,"A",IF(W521&gt;=3.5,"A-",IF(W521&gt;=3,"B",IF(W521&gt;=2,"C",IF(W521&gt;=1,"D","F")))))))</f>
        <v/>
      </c>
      <c r="Y521">
        <f>NOT(OR(AND(J521&gt;=10,K521&gt;=23,L521&gt;=10,M521&gt;=23),AND(J521+L521&gt;=20,K521+M521&gt;=46)))</f>
        <v/>
      </c>
      <c r="Z521">
        <f>OR(N521&lt;10,O521&lt;23)</f>
        <v/>
      </c>
      <c r="AA521">
        <f>OR(P521&lt;10,Q521&lt;23)</f>
        <v/>
      </c>
      <c r="AB521">
        <f>OR((C521+D521)&lt;66,(E521+F521)&lt;66,G521&lt;33,(H521+I521)&lt;66,Y521,Z521,AA521,R521&lt;8.25)</f>
        <v/>
      </c>
      <c r="AC521">
        <f>IF(C521+D521&lt;66,0,IF((C521+D521)/2&gt;=80,5,IF((C521+D521)/2&gt;=70,4,IF((C521+D521)/2&gt;=60,3.5,IF((C521+D521)/2&gt;=50,3,IF((C521+D521)/2&gt;=40,2,IF((C521+D521)/2&gt;=33,1,0)))))))</f>
        <v/>
      </c>
      <c r="AD521">
        <f>IF(E521+F521&lt;66,0,IF((E521+F521)/2&gt;=80,5,IF((E521+F521)/2&gt;=70,4,IF((E521+F521)/2&gt;=60,3.5,IF((E521+F521)/2&gt;=50,3,IF((E521+F521)/2&gt;=40,2,IF((E521+F521)/2&gt;=33,1,0)))))))</f>
        <v/>
      </c>
      <c r="AE521">
        <f>IF(G521&lt;33,0,IF(G521&gt;=80,5,IF(G521&gt;=70,4,IF(G521&gt;=60,3.5,IF(G521&gt;=50,3,IF(G521&gt;=40,2,IF(G521&gt;=33,1,0)))))))</f>
        <v/>
      </c>
      <c r="AF521">
        <f>IF(H521+I521&lt;66,0,IF((H521+I521)/2&gt;=80,5,IF((H521+I521)/2&gt;=70,4,IF((H521+I521)/2&gt;=60,3.5,IF((H521+I521)/2&gt;=50,3,IF((H521+I521)/2&gt;=40,2,IF((H521+I521)/2&gt;=33,1,0)))))))</f>
        <v/>
      </c>
      <c r="AG521">
        <f>IF(Y521,0,IF((J521+K521+L521+M521)/2&gt;=80,5,IF((J521+K521+L521+M521)/2&gt;=70,4,IF((J521+K521+L521+M521)/2&gt;=60,3.5,IF((J521+K521+L521+M521)/2&gt;=50,3,IF((J521+K521+L521+M521)/2&gt;=40,2,IF((J521+K521+L521+M521)/2&gt;=33,1,0)))))))</f>
        <v/>
      </c>
      <c r="AH521">
        <f>IF(Z521,0,IF(N521+O521&gt;=80,5,IF(N521+O521&gt;=70,4,IF(N521+O521&gt;=60,3.5,IF(N521+O521&gt;=50,3,IF(N521+O521&gt;=40,2,IF(N521+O521&gt;=33,1,0)))))))</f>
        <v/>
      </c>
      <c r="AI521">
        <f>IF(AA521,0,IF(P521+Q521&gt;=80,5,IF(P521+Q521&gt;=70,4,IF(P521+Q521&gt;=60,3.5,IF(P521+Q521&gt;=50,3,IF(P521+Q521&gt;=40,2,IF(P521+Q521&gt;=33,1,0)))))))</f>
        <v/>
      </c>
      <c r="AJ521">
        <f>IF(R521&lt;8.25,0,IF(R521*2&gt;=80,5,IF(R521*2&gt;=70,4,IF(R521*2&gt;=60,3.5,IF(R521*2&gt;=50,3,IF(R521*2&gt;=40,2,IF(R521*2&gt;=33,1,0)))))))</f>
        <v/>
      </c>
      <c r="AK521">
        <f>IF(S521&lt;33,0,IF(S521&gt;=80,5,IF(S521&gt;=70,4,IF(S521&gt;=60,3.5,IF(S521&gt;=50,3,IF(S521&gt;=40,2,IF(S521&gt;=33,1,0)))))))</f>
        <v/>
      </c>
      <c r="AL521">
        <f>(AC521+AD521+AE521+AF521+AG521+AH521+AI521+AJ521)/8</f>
        <v/>
      </c>
      <c r="AM521">
        <f>IF(AK521&gt;=2,(AK521-2)/8,0)</f>
        <v/>
      </c>
    </row>
    <row r="522">
      <c r="T522">
        <f>SUM(C522:R522)</f>
        <v/>
      </c>
      <c r="U522" s="6">
        <f>ROUND(T522/11.5,2)</f>
        <v/>
      </c>
      <c r="V522" s="7">
        <f>IF(B522="","",IF(AB522,0,ROUND(AL522,2)))</f>
        <v/>
      </c>
      <c r="W522" s="7">
        <f>IF(B522="","",IF(AB522,0,MIN(5,ROUND(AL522+AM522,2))))</f>
        <v/>
      </c>
      <c r="X522" s="8">
        <f>IF(B522="","",IF(W522&gt;=5,"A+",IF(W522&gt;=4,"A",IF(W522&gt;=3.5,"A-",IF(W522&gt;=3,"B",IF(W522&gt;=2,"C",IF(W522&gt;=1,"D","F")))))))</f>
        <v/>
      </c>
      <c r="Y522">
        <f>NOT(OR(AND(J522&gt;=10,K522&gt;=23,L522&gt;=10,M522&gt;=23),AND(J522+L522&gt;=20,K522+M522&gt;=46)))</f>
        <v/>
      </c>
      <c r="Z522">
        <f>OR(N522&lt;10,O522&lt;23)</f>
        <v/>
      </c>
      <c r="AA522">
        <f>OR(P522&lt;10,Q522&lt;23)</f>
        <v/>
      </c>
      <c r="AB522">
        <f>OR((C522+D522)&lt;66,(E522+F522)&lt;66,G522&lt;33,(H522+I522)&lt;66,Y522,Z522,AA522,R522&lt;8.25)</f>
        <v/>
      </c>
      <c r="AC522">
        <f>IF(C522+D522&lt;66,0,IF((C522+D522)/2&gt;=80,5,IF((C522+D522)/2&gt;=70,4,IF((C522+D522)/2&gt;=60,3.5,IF((C522+D522)/2&gt;=50,3,IF((C522+D522)/2&gt;=40,2,IF((C522+D522)/2&gt;=33,1,0)))))))</f>
        <v/>
      </c>
      <c r="AD522">
        <f>IF(E522+F522&lt;66,0,IF((E522+F522)/2&gt;=80,5,IF((E522+F522)/2&gt;=70,4,IF((E522+F522)/2&gt;=60,3.5,IF((E522+F522)/2&gt;=50,3,IF((E522+F522)/2&gt;=40,2,IF((E522+F522)/2&gt;=33,1,0)))))))</f>
        <v/>
      </c>
      <c r="AE522">
        <f>IF(G522&lt;33,0,IF(G522&gt;=80,5,IF(G522&gt;=70,4,IF(G522&gt;=60,3.5,IF(G522&gt;=50,3,IF(G522&gt;=40,2,IF(G522&gt;=33,1,0)))))))</f>
        <v/>
      </c>
      <c r="AF522">
        <f>IF(H522+I522&lt;66,0,IF((H522+I522)/2&gt;=80,5,IF((H522+I522)/2&gt;=70,4,IF((H522+I522)/2&gt;=60,3.5,IF((H522+I522)/2&gt;=50,3,IF((H522+I522)/2&gt;=40,2,IF((H522+I522)/2&gt;=33,1,0)))))))</f>
        <v/>
      </c>
      <c r="AG522">
        <f>IF(Y522,0,IF((J522+K522+L522+M522)/2&gt;=80,5,IF((J522+K522+L522+M522)/2&gt;=70,4,IF((J522+K522+L522+M522)/2&gt;=60,3.5,IF((J522+K522+L522+M522)/2&gt;=50,3,IF((J522+K522+L522+M522)/2&gt;=40,2,IF((J522+K522+L522+M522)/2&gt;=33,1,0)))))))</f>
        <v/>
      </c>
      <c r="AH522">
        <f>IF(Z522,0,IF(N522+O522&gt;=80,5,IF(N522+O522&gt;=70,4,IF(N522+O522&gt;=60,3.5,IF(N522+O522&gt;=50,3,IF(N522+O522&gt;=40,2,IF(N522+O522&gt;=33,1,0)))))))</f>
        <v/>
      </c>
      <c r="AI522">
        <f>IF(AA522,0,IF(P522+Q522&gt;=80,5,IF(P522+Q522&gt;=70,4,IF(P522+Q522&gt;=60,3.5,IF(P522+Q522&gt;=50,3,IF(P522+Q522&gt;=40,2,IF(P522+Q522&gt;=33,1,0)))))))</f>
        <v/>
      </c>
      <c r="AJ522">
        <f>IF(R522&lt;8.25,0,IF(R522*2&gt;=80,5,IF(R522*2&gt;=70,4,IF(R522*2&gt;=60,3.5,IF(R522*2&gt;=50,3,IF(R522*2&gt;=40,2,IF(R522*2&gt;=33,1,0)))))))</f>
        <v/>
      </c>
      <c r="AK522">
        <f>IF(S522&lt;33,0,IF(S522&gt;=80,5,IF(S522&gt;=70,4,IF(S522&gt;=60,3.5,IF(S522&gt;=50,3,IF(S522&gt;=40,2,IF(S522&gt;=33,1,0)))))))</f>
        <v/>
      </c>
      <c r="AL522">
        <f>(AC522+AD522+AE522+AF522+AG522+AH522+AI522+AJ522)/8</f>
        <v/>
      </c>
      <c r="AM522">
        <f>IF(AK522&gt;=2,(AK522-2)/8,0)</f>
        <v/>
      </c>
    </row>
    <row r="523">
      <c r="T523">
        <f>SUM(C523:R523)</f>
        <v/>
      </c>
      <c r="U523" s="6">
        <f>ROUND(T523/11.5,2)</f>
        <v/>
      </c>
      <c r="V523" s="7">
        <f>IF(B523="","",IF(AB523,0,ROUND(AL523,2)))</f>
        <v/>
      </c>
      <c r="W523" s="7">
        <f>IF(B523="","",IF(AB523,0,MIN(5,ROUND(AL523+AM523,2))))</f>
        <v/>
      </c>
      <c r="X523" s="8">
        <f>IF(B523="","",IF(W523&gt;=5,"A+",IF(W523&gt;=4,"A",IF(W523&gt;=3.5,"A-",IF(W523&gt;=3,"B",IF(W523&gt;=2,"C",IF(W523&gt;=1,"D","F")))))))</f>
        <v/>
      </c>
      <c r="Y523">
        <f>NOT(OR(AND(J523&gt;=10,K523&gt;=23,L523&gt;=10,M523&gt;=23),AND(J523+L523&gt;=20,K523+M523&gt;=46)))</f>
        <v/>
      </c>
      <c r="Z523">
        <f>OR(N523&lt;10,O523&lt;23)</f>
        <v/>
      </c>
      <c r="AA523">
        <f>OR(P523&lt;10,Q523&lt;23)</f>
        <v/>
      </c>
      <c r="AB523">
        <f>OR((C523+D523)&lt;66,(E523+F523)&lt;66,G523&lt;33,(H523+I523)&lt;66,Y523,Z523,AA523,R523&lt;8.25)</f>
        <v/>
      </c>
      <c r="AC523">
        <f>IF(C523+D523&lt;66,0,IF((C523+D523)/2&gt;=80,5,IF((C523+D523)/2&gt;=70,4,IF((C523+D523)/2&gt;=60,3.5,IF((C523+D523)/2&gt;=50,3,IF((C523+D523)/2&gt;=40,2,IF((C523+D523)/2&gt;=33,1,0)))))))</f>
        <v/>
      </c>
      <c r="AD523">
        <f>IF(E523+F523&lt;66,0,IF((E523+F523)/2&gt;=80,5,IF((E523+F523)/2&gt;=70,4,IF((E523+F523)/2&gt;=60,3.5,IF((E523+F523)/2&gt;=50,3,IF((E523+F523)/2&gt;=40,2,IF((E523+F523)/2&gt;=33,1,0)))))))</f>
        <v/>
      </c>
      <c r="AE523">
        <f>IF(G523&lt;33,0,IF(G523&gt;=80,5,IF(G523&gt;=70,4,IF(G523&gt;=60,3.5,IF(G523&gt;=50,3,IF(G523&gt;=40,2,IF(G523&gt;=33,1,0)))))))</f>
        <v/>
      </c>
      <c r="AF523">
        <f>IF(H523+I523&lt;66,0,IF((H523+I523)/2&gt;=80,5,IF((H523+I523)/2&gt;=70,4,IF((H523+I523)/2&gt;=60,3.5,IF((H523+I523)/2&gt;=50,3,IF((H523+I523)/2&gt;=40,2,IF((H523+I523)/2&gt;=33,1,0)))))))</f>
        <v/>
      </c>
      <c r="AG523">
        <f>IF(Y523,0,IF((J523+K523+L523+M523)/2&gt;=80,5,IF((J523+K523+L523+M523)/2&gt;=70,4,IF((J523+K523+L523+M523)/2&gt;=60,3.5,IF((J523+K523+L523+M523)/2&gt;=50,3,IF((J523+K523+L523+M523)/2&gt;=40,2,IF((J523+K523+L523+M523)/2&gt;=33,1,0)))))))</f>
        <v/>
      </c>
      <c r="AH523">
        <f>IF(Z523,0,IF(N523+O523&gt;=80,5,IF(N523+O523&gt;=70,4,IF(N523+O523&gt;=60,3.5,IF(N523+O523&gt;=50,3,IF(N523+O523&gt;=40,2,IF(N523+O523&gt;=33,1,0)))))))</f>
        <v/>
      </c>
      <c r="AI523">
        <f>IF(AA523,0,IF(P523+Q523&gt;=80,5,IF(P523+Q523&gt;=70,4,IF(P523+Q523&gt;=60,3.5,IF(P523+Q523&gt;=50,3,IF(P523+Q523&gt;=40,2,IF(P523+Q523&gt;=33,1,0)))))))</f>
        <v/>
      </c>
      <c r="AJ523">
        <f>IF(R523&lt;8.25,0,IF(R523*2&gt;=80,5,IF(R523*2&gt;=70,4,IF(R523*2&gt;=60,3.5,IF(R523*2&gt;=50,3,IF(R523*2&gt;=40,2,IF(R523*2&gt;=33,1,0)))))))</f>
        <v/>
      </c>
      <c r="AK523">
        <f>IF(S523&lt;33,0,IF(S523&gt;=80,5,IF(S523&gt;=70,4,IF(S523&gt;=60,3.5,IF(S523&gt;=50,3,IF(S523&gt;=40,2,IF(S523&gt;=33,1,0)))))))</f>
        <v/>
      </c>
      <c r="AL523">
        <f>(AC523+AD523+AE523+AF523+AG523+AH523+AI523+AJ523)/8</f>
        <v/>
      </c>
      <c r="AM523">
        <f>IF(AK523&gt;=2,(AK523-2)/8,0)</f>
        <v/>
      </c>
    </row>
    <row r="524">
      <c r="T524">
        <f>SUM(C524:R524)</f>
        <v/>
      </c>
      <c r="U524" s="6">
        <f>ROUND(T524/11.5,2)</f>
        <v/>
      </c>
      <c r="V524" s="7">
        <f>IF(B524="","",IF(AB524,0,ROUND(AL524,2)))</f>
        <v/>
      </c>
      <c r="W524" s="7">
        <f>IF(B524="","",IF(AB524,0,MIN(5,ROUND(AL524+AM524,2))))</f>
        <v/>
      </c>
      <c r="X524" s="8">
        <f>IF(B524="","",IF(W524&gt;=5,"A+",IF(W524&gt;=4,"A",IF(W524&gt;=3.5,"A-",IF(W524&gt;=3,"B",IF(W524&gt;=2,"C",IF(W524&gt;=1,"D","F")))))))</f>
        <v/>
      </c>
      <c r="Y524">
        <f>NOT(OR(AND(J524&gt;=10,K524&gt;=23,L524&gt;=10,M524&gt;=23),AND(J524+L524&gt;=20,K524+M524&gt;=46)))</f>
        <v/>
      </c>
      <c r="Z524">
        <f>OR(N524&lt;10,O524&lt;23)</f>
        <v/>
      </c>
      <c r="AA524">
        <f>OR(P524&lt;10,Q524&lt;23)</f>
        <v/>
      </c>
      <c r="AB524">
        <f>OR((C524+D524)&lt;66,(E524+F524)&lt;66,G524&lt;33,(H524+I524)&lt;66,Y524,Z524,AA524,R524&lt;8.25)</f>
        <v/>
      </c>
      <c r="AC524">
        <f>IF(C524+D524&lt;66,0,IF((C524+D524)/2&gt;=80,5,IF((C524+D524)/2&gt;=70,4,IF((C524+D524)/2&gt;=60,3.5,IF((C524+D524)/2&gt;=50,3,IF((C524+D524)/2&gt;=40,2,IF((C524+D524)/2&gt;=33,1,0)))))))</f>
        <v/>
      </c>
      <c r="AD524">
        <f>IF(E524+F524&lt;66,0,IF((E524+F524)/2&gt;=80,5,IF((E524+F524)/2&gt;=70,4,IF((E524+F524)/2&gt;=60,3.5,IF((E524+F524)/2&gt;=50,3,IF((E524+F524)/2&gt;=40,2,IF((E524+F524)/2&gt;=33,1,0)))))))</f>
        <v/>
      </c>
      <c r="AE524">
        <f>IF(G524&lt;33,0,IF(G524&gt;=80,5,IF(G524&gt;=70,4,IF(G524&gt;=60,3.5,IF(G524&gt;=50,3,IF(G524&gt;=40,2,IF(G524&gt;=33,1,0)))))))</f>
        <v/>
      </c>
      <c r="AF524">
        <f>IF(H524+I524&lt;66,0,IF((H524+I524)/2&gt;=80,5,IF((H524+I524)/2&gt;=70,4,IF((H524+I524)/2&gt;=60,3.5,IF((H524+I524)/2&gt;=50,3,IF((H524+I524)/2&gt;=40,2,IF((H524+I524)/2&gt;=33,1,0)))))))</f>
        <v/>
      </c>
      <c r="AG524">
        <f>IF(Y524,0,IF((J524+K524+L524+M524)/2&gt;=80,5,IF((J524+K524+L524+M524)/2&gt;=70,4,IF((J524+K524+L524+M524)/2&gt;=60,3.5,IF((J524+K524+L524+M524)/2&gt;=50,3,IF((J524+K524+L524+M524)/2&gt;=40,2,IF((J524+K524+L524+M524)/2&gt;=33,1,0)))))))</f>
        <v/>
      </c>
      <c r="AH524">
        <f>IF(Z524,0,IF(N524+O524&gt;=80,5,IF(N524+O524&gt;=70,4,IF(N524+O524&gt;=60,3.5,IF(N524+O524&gt;=50,3,IF(N524+O524&gt;=40,2,IF(N524+O524&gt;=33,1,0)))))))</f>
        <v/>
      </c>
      <c r="AI524">
        <f>IF(AA524,0,IF(P524+Q524&gt;=80,5,IF(P524+Q524&gt;=70,4,IF(P524+Q524&gt;=60,3.5,IF(P524+Q524&gt;=50,3,IF(P524+Q524&gt;=40,2,IF(P524+Q524&gt;=33,1,0)))))))</f>
        <v/>
      </c>
      <c r="AJ524">
        <f>IF(R524&lt;8.25,0,IF(R524*2&gt;=80,5,IF(R524*2&gt;=70,4,IF(R524*2&gt;=60,3.5,IF(R524*2&gt;=50,3,IF(R524*2&gt;=40,2,IF(R524*2&gt;=33,1,0)))))))</f>
        <v/>
      </c>
      <c r="AK524">
        <f>IF(S524&lt;33,0,IF(S524&gt;=80,5,IF(S524&gt;=70,4,IF(S524&gt;=60,3.5,IF(S524&gt;=50,3,IF(S524&gt;=40,2,IF(S524&gt;=33,1,0)))))))</f>
        <v/>
      </c>
      <c r="AL524">
        <f>(AC524+AD524+AE524+AF524+AG524+AH524+AI524+AJ524)/8</f>
        <v/>
      </c>
      <c r="AM524">
        <f>IF(AK524&gt;=2,(AK524-2)/8,0)</f>
        <v/>
      </c>
    </row>
    <row r="525">
      <c r="T525">
        <f>SUM(C525:R525)</f>
        <v/>
      </c>
      <c r="U525" s="6">
        <f>ROUND(T525/11.5,2)</f>
        <v/>
      </c>
      <c r="V525" s="7">
        <f>IF(B525="","",IF(AB525,0,ROUND(AL525,2)))</f>
        <v/>
      </c>
      <c r="W525" s="7">
        <f>IF(B525="","",IF(AB525,0,MIN(5,ROUND(AL525+AM525,2))))</f>
        <v/>
      </c>
      <c r="X525" s="8">
        <f>IF(B525="","",IF(W525&gt;=5,"A+",IF(W525&gt;=4,"A",IF(W525&gt;=3.5,"A-",IF(W525&gt;=3,"B",IF(W525&gt;=2,"C",IF(W525&gt;=1,"D","F")))))))</f>
        <v/>
      </c>
      <c r="Y525">
        <f>NOT(OR(AND(J525&gt;=10,K525&gt;=23,L525&gt;=10,M525&gt;=23),AND(J525+L525&gt;=20,K525+M525&gt;=46)))</f>
        <v/>
      </c>
      <c r="Z525">
        <f>OR(N525&lt;10,O525&lt;23)</f>
        <v/>
      </c>
      <c r="AA525">
        <f>OR(P525&lt;10,Q525&lt;23)</f>
        <v/>
      </c>
      <c r="AB525">
        <f>OR((C525+D525)&lt;66,(E525+F525)&lt;66,G525&lt;33,(H525+I525)&lt;66,Y525,Z525,AA525,R525&lt;8.25)</f>
        <v/>
      </c>
      <c r="AC525">
        <f>IF(C525+D525&lt;66,0,IF((C525+D525)/2&gt;=80,5,IF((C525+D525)/2&gt;=70,4,IF((C525+D525)/2&gt;=60,3.5,IF((C525+D525)/2&gt;=50,3,IF((C525+D525)/2&gt;=40,2,IF((C525+D525)/2&gt;=33,1,0)))))))</f>
        <v/>
      </c>
      <c r="AD525">
        <f>IF(E525+F525&lt;66,0,IF((E525+F525)/2&gt;=80,5,IF((E525+F525)/2&gt;=70,4,IF((E525+F525)/2&gt;=60,3.5,IF((E525+F525)/2&gt;=50,3,IF((E525+F525)/2&gt;=40,2,IF((E525+F525)/2&gt;=33,1,0)))))))</f>
        <v/>
      </c>
      <c r="AE525">
        <f>IF(G525&lt;33,0,IF(G525&gt;=80,5,IF(G525&gt;=70,4,IF(G525&gt;=60,3.5,IF(G525&gt;=50,3,IF(G525&gt;=40,2,IF(G525&gt;=33,1,0)))))))</f>
        <v/>
      </c>
      <c r="AF525">
        <f>IF(H525+I525&lt;66,0,IF((H525+I525)/2&gt;=80,5,IF((H525+I525)/2&gt;=70,4,IF((H525+I525)/2&gt;=60,3.5,IF((H525+I525)/2&gt;=50,3,IF((H525+I525)/2&gt;=40,2,IF((H525+I525)/2&gt;=33,1,0)))))))</f>
        <v/>
      </c>
      <c r="AG525">
        <f>IF(Y525,0,IF((J525+K525+L525+M525)/2&gt;=80,5,IF((J525+K525+L525+M525)/2&gt;=70,4,IF((J525+K525+L525+M525)/2&gt;=60,3.5,IF((J525+K525+L525+M525)/2&gt;=50,3,IF((J525+K525+L525+M525)/2&gt;=40,2,IF((J525+K525+L525+M525)/2&gt;=33,1,0)))))))</f>
        <v/>
      </c>
      <c r="AH525">
        <f>IF(Z525,0,IF(N525+O525&gt;=80,5,IF(N525+O525&gt;=70,4,IF(N525+O525&gt;=60,3.5,IF(N525+O525&gt;=50,3,IF(N525+O525&gt;=40,2,IF(N525+O525&gt;=33,1,0)))))))</f>
        <v/>
      </c>
      <c r="AI525">
        <f>IF(AA525,0,IF(P525+Q525&gt;=80,5,IF(P525+Q525&gt;=70,4,IF(P525+Q525&gt;=60,3.5,IF(P525+Q525&gt;=50,3,IF(P525+Q525&gt;=40,2,IF(P525+Q525&gt;=33,1,0)))))))</f>
        <v/>
      </c>
      <c r="AJ525">
        <f>IF(R525&lt;8.25,0,IF(R525*2&gt;=80,5,IF(R525*2&gt;=70,4,IF(R525*2&gt;=60,3.5,IF(R525*2&gt;=50,3,IF(R525*2&gt;=40,2,IF(R525*2&gt;=33,1,0)))))))</f>
        <v/>
      </c>
      <c r="AK525">
        <f>IF(S525&lt;33,0,IF(S525&gt;=80,5,IF(S525&gt;=70,4,IF(S525&gt;=60,3.5,IF(S525&gt;=50,3,IF(S525&gt;=40,2,IF(S525&gt;=33,1,0)))))))</f>
        <v/>
      </c>
      <c r="AL525">
        <f>(AC525+AD525+AE525+AF525+AG525+AH525+AI525+AJ525)/8</f>
        <v/>
      </c>
      <c r="AM525">
        <f>IF(AK525&gt;=2,(AK525-2)/8,0)</f>
        <v/>
      </c>
    </row>
    <row r="526">
      <c r="T526">
        <f>SUM(C526:R526)</f>
        <v/>
      </c>
      <c r="U526" s="6">
        <f>ROUND(T526/11.5,2)</f>
        <v/>
      </c>
      <c r="V526" s="7">
        <f>IF(B526="","",IF(AB526,0,ROUND(AL526,2)))</f>
        <v/>
      </c>
      <c r="W526" s="7">
        <f>IF(B526="","",IF(AB526,0,MIN(5,ROUND(AL526+AM526,2))))</f>
        <v/>
      </c>
      <c r="X526" s="8">
        <f>IF(B526="","",IF(W526&gt;=5,"A+",IF(W526&gt;=4,"A",IF(W526&gt;=3.5,"A-",IF(W526&gt;=3,"B",IF(W526&gt;=2,"C",IF(W526&gt;=1,"D","F")))))))</f>
        <v/>
      </c>
      <c r="Y526">
        <f>NOT(OR(AND(J526&gt;=10,K526&gt;=23,L526&gt;=10,M526&gt;=23),AND(J526+L526&gt;=20,K526+M526&gt;=46)))</f>
        <v/>
      </c>
      <c r="Z526">
        <f>OR(N526&lt;10,O526&lt;23)</f>
        <v/>
      </c>
      <c r="AA526">
        <f>OR(P526&lt;10,Q526&lt;23)</f>
        <v/>
      </c>
      <c r="AB526">
        <f>OR((C526+D526)&lt;66,(E526+F526)&lt;66,G526&lt;33,(H526+I526)&lt;66,Y526,Z526,AA526,R526&lt;8.25)</f>
        <v/>
      </c>
      <c r="AC526">
        <f>IF(C526+D526&lt;66,0,IF((C526+D526)/2&gt;=80,5,IF((C526+D526)/2&gt;=70,4,IF((C526+D526)/2&gt;=60,3.5,IF((C526+D526)/2&gt;=50,3,IF((C526+D526)/2&gt;=40,2,IF((C526+D526)/2&gt;=33,1,0)))))))</f>
        <v/>
      </c>
      <c r="AD526">
        <f>IF(E526+F526&lt;66,0,IF((E526+F526)/2&gt;=80,5,IF((E526+F526)/2&gt;=70,4,IF((E526+F526)/2&gt;=60,3.5,IF((E526+F526)/2&gt;=50,3,IF((E526+F526)/2&gt;=40,2,IF((E526+F526)/2&gt;=33,1,0)))))))</f>
        <v/>
      </c>
      <c r="AE526">
        <f>IF(G526&lt;33,0,IF(G526&gt;=80,5,IF(G526&gt;=70,4,IF(G526&gt;=60,3.5,IF(G526&gt;=50,3,IF(G526&gt;=40,2,IF(G526&gt;=33,1,0)))))))</f>
        <v/>
      </c>
      <c r="AF526">
        <f>IF(H526+I526&lt;66,0,IF((H526+I526)/2&gt;=80,5,IF((H526+I526)/2&gt;=70,4,IF((H526+I526)/2&gt;=60,3.5,IF((H526+I526)/2&gt;=50,3,IF((H526+I526)/2&gt;=40,2,IF((H526+I526)/2&gt;=33,1,0)))))))</f>
        <v/>
      </c>
      <c r="AG526">
        <f>IF(Y526,0,IF((J526+K526+L526+M526)/2&gt;=80,5,IF((J526+K526+L526+M526)/2&gt;=70,4,IF((J526+K526+L526+M526)/2&gt;=60,3.5,IF((J526+K526+L526+M526)/2&gt;=50,3,IF((J526+K526+L526+M526)/2&gt;=40,2,IF((J526+K526+L526+M526)/2&gt;=33,1,0)))))))</f>
        <v/>
      </c>
      <c r="AH526">
        <f>IF(Z526,0,IF(N526+O526&gt;=80,5,IF(N526+O526&gt;=70,4,IF(N526+O526&gt;=60,3.5,IF(N526+O526&gt;=50,3,IF(N526+O526&gt;=40,2,IF(N526+O526&gt;=33,1,0)))))))</f>
        <v/>
      </c>
      <c r="AI526">
        <f>IF(AA526,0,IF(P526+Q526&gt;=80,5,IF(P526+Q526&gt;=70,4,IF(P526+Q526&gt;=60,3.5,IF(P526+Q526&gt;=50,3,IF(P526+Q526&gt;=40,2,IF(P526+Q526&gt;=33,1,0)))))))</f>
        <v/>
      </c>
      <c r="AJ526">
        <f>IF(R526&lt;8.25,0,IF(R526*2&gt;=80,5,IF(R526*2&gt;=70,4,IF(R526*2&gt;=60,3.5,IF(R526*2&gt;=50,3,IF(R526*2&gt;=40,2,IF(R526*2&gt;=33,1,0)))))))</f>
        <v/>
      </c>
      <c r="AK526">
        <f>IF(S526&lt;33,0,IF(S526&gt;=80,5,IF(S526&gt;=70,4,IF(S526&gt;=60,3.5,IF(S526&gt;=50,3,IF(S526&gt;=40,2,IF(S526&gt;=33,1,0)))))))</f>
        <v/>
      </c>
      <c r="AL526">
        <f>(AC526+AD526+AE526+AF526+AG526+AH526+AI526+AJ526)/8</f>
        <v/>
      </c>
      <c r="AM526">
        <f>IF(AK526&gt;=2,(AK526-2)/8,0)</f>
        <v/>
      </c>
    </row>
    <row r="527">
      <c r="T527">
        <f>SUM(C527:R527)</f>
        <v/>
      </c>
      <c r="U527" s="6">
        <f>ROUND(T527/11.5,2)</f>
        <v/>
      </c>
      <c r="V527" s="7">
        <f>IF(B527="","",IF(AB527,0,ROUND(AL527,2)))</f>
        <v/>
      </c>
      <c r="W527" s="7">
        <f>IF(B527="","",IF(AB527,0,MIN(5,ROUND(AL527+AM527,2))))</f>
        <v/>
      </c>
      <c r="X527" s="8">
        <f>IF(B527="","",IF(W527&gt;=5,"A+",IF(W527&gt;=4,"A",IF(W527&gt;=3.5,"A-",IF(W527&gt;=3,"B",IF(W527&gt;=2,"C",IF(W527&gt;=1,"D","F")))))))</f>
        <v/>
      </c>
      <c r="Y527">
        <f>NOT(OR(AND(J527&gt;=10,K527&gt;=23,L527&gt;=10,M527&gt;=23),AND(J527+L527&gt;=20,K527+M527&gt;=46)))</f>
        <v/>
      </c>
      <c r="Z527">
        <f>OR(N527&lt;10,O527&lt;23)</f>
        <v/>
      </c>
      <c r="AA527">
        <f>OR(P527&lt;10,Q527&lt;23)</f>
        <v/>
      </c>
      <c r="AB527">
        <f>OR((C527+D527)&lt;66,(E527+F527)&lt;66,G527&lt;33,(H527+I527)&lt;66,Y527,Z527,AA527,R527&lt;8.25)</f>
        <v/>
      </c>
      <c r="AC527">
        <f>IF(C527+D527&lt;66,0,IF((C527+D527)/2&gt;=80,5,IF((C527+D527)/2&gt;=70,4,IF((C527+D527)/2&gt;=60,3.5,IF((C527+D527)/2&gt;=50,3,IF((C527+D527)/2&gt;=40,2,IF((C527+D527)/2&gt;=33,1,0)))))))</f>
        <v/>
      </c>
      <c r="AD527">
        <f>IF(E527+F527&lt;66,0,IF((E527+F527)/2&gt;=80,5,IF((E527+F527)/2&gt;=70,4,IF((E527+F527)/2&gt;=60,3.5,IF((E527+F527)/2&gt;=50,3,IF((E527+F527)/2&gt;=40,2,IF((E527+F527)/2&gt;=33,1,0)))))))</f>
        <v/>
      </c>
      <c r="AE527">
        <f>IF(G527&lt;33,0,IF(G527&gt;=80,5,IF(G527&gt;=70,4,IF(G527&gt;=60,3.5,IF(G527&gt;=50,3,IF(G527&gt;=40,2,IF(G527&gt;=33,1,0)))))))</f>
        <v/>
      </c>
      <c r="AF527">
        <f>IF(H527+I527&lt;66,0,IF((H527+I527)/2&gt;=80,5,IF((H527+I527)/2&gt;=70,4,IF((H527+I527)/2&gt;=60,3.5,IF((H527+I527)/2&gt;=50,3,IF((H527+I527)/2&gt;=40,2,IF((H527+I527)/2&gt;=33,1,0)))))))</f>
        <v/>
      </c>
      <c r="AG527">
        <f>IF(Y527,0,IF((J527+K527+L527+M527)/2&gt;=80,5,IF((J527+K527+L527+M527)/2&gt;=70,4,IF((J527+K527+L527+M527)/2&gt;=60,3.5,IF((J527+K527+L527+M527)/2&gt;=50,3,IF((J527+K527+L527+M527)/2&gt;=40,2,IF((J527+K527+L527+M527)/2&gt;=33,1,0)))))))</f>
        <v/>
      </c>
      <c r="AH527">
        <f>IF(Z527,0,IF(N527+O527&gt;=80,5,IF(N527+O527&gt;=70,4,IF(N527+O527&gt;=60,3.5,IF(N527+O527&gt;=50,3,IF(N527+O527&gt;=40,2,IF(N527+O527&gt;=33,1,0)))))))</f>
        <v/>
      </c>
      <c r="AI527">
        <f>IF(AA527,0,IF(P527+Q527&gt;=80,5,IF(P527+Q527&gt;=70,4,IF(P527+Q527&gt;=60,3.5,IF(P527+Q527&gt;=50,3,IF(P527+Q527&gt;=40,2,IF(P527+Q527&gt;=33,1,0)))))))</f>
        <v/>
      </c>
      <c r="AJ527">
        <f>IF(R527&lt;8.25,0,IF(R527*2&gt;=80,5,IF(R527*2&gt;=70,4,IF(R527*2&gt;=60,3.5,IF(R527*2&gt;=50,3,IF(R527*2&gt;=40,2,IF(R527*2&gt;=33,1,0)))))))</f>
        <v/>
      </c>
      <c r="AK527">
        <f>IF(S527&lt;33,0,IF(S527&gt;=80,5,IF(S527&gt;=70,4,IF(S527&gt;=60,3.5,IF(S527&gt;=50,3,IF(S527&gt;=40,2,IF(S527&gt;=33,1,0)))))))</f>
        <v/>
      </c>
      <c r="AL527">
        <f>(AC527+AD527+AE527+AF527+AG527+AH527+AI527+AJ527)/8</f>
        <v/>
      </c>
      <c r="AM527">
        <f>IF(AK527&gt;=2,(AK527-2)/8,0)</f>
        <v/>
      </c>
    </row>
    <row r="528">
      <c r="T528">
        <f>SUM(C528:R528)</f>
        <v/>
      </c>
      <c r="U528" s="6">
        <f>ROUND(T528/11.5,2)</f>
        <v/>
      </c>
      <c r="V528" s="7">
        <f>IF(B528="","",IF(AB528,0,ROUND(AL528,2)))</f>
        <v/>
      </c>
      <c r="W528" s="7">
        <f>IF(B528="","",IF(AB528,0,MIN(5,ROUND(AL528+AM528,2))))</f>
        <v/>
      </c>
      <c r="X528" s="8">
        <f>IF(B528="","",IF(W528&gt;=5,"A+",IF(W528&gt;=4,"A",IF(W528&gt;=3.5,"A-",IF(W528&gt;=3,"B",IF(W528&gt;=2,"C",IF(W528&gt;=1,"D","F")))))))</f>
        <v/>
      </c>
      <c r="Y528">
        <f>NOT(OR(AND(J528&gt;=10,K528&gt;=23,L528&gt;=10,M528&gt;=23),AND(J528+L528&gt;=20,K528+M528&gt;=46)))</f>
        <v/>
      </c>
      <c r="Z528">
        <f>OR(N528&lt;10,O528&lt;23)</f>
        <v/>
      </c>
      <c r="AA528">
        <f>OR(P528&lt;10,Q528&lt;23)</f>
        <v/>
      </c>
      <c r="AB528">
        <f>OR((C528+D528)&lt;66,(E528+F528)&lt;66,G528&lt;33,(H528+I528)&lt;66,Y528,Z528,AA528,R528&lt;8.25)</f>
        <v/>
      </c>
      <c r="AC528">
        <f>IF(C528+D528&lt;66,0,IF((C528+D528)/2&gt;=80,5,IF((C528+D528)/2&gt;=70,4,IF((C528+D528)/2&gt;=60,3.5,IF((C528+D528)/2&gt;=50,3,IF((C528+D528)/2&gt;=40,2,IF((C528+D528)/2&gt;=33,1,0)))))))</f>
        <v/>
      </c>
      <c r="AD528">
        <f>IF(E528+F528&lt;66,0,IF((E528+F528)/2&gt;=80,5,IF((E528+F528)/2&gt;=70,4,IF((E528+F528)/2&gt;=60,3.5,IF((E528+F528)/2&gt;=50,3,IF((E528+F528)/2&gt;=40,2,IF((E528+F528)/2&gt;=33,1,0)))))))</f>
        <v/>
      </c>
      <c r="AE528">
        <f>IF(G528&lt;33,0,IF(G528&gt;=80,5,IF(G528&gt;=70,4,IF(G528&gt;=60,3.5,IF(G528&gt;=50,3,IF(G528&gt;=40,2,IF(G528&gt;=33,1,0)))))))</f>
        <v/>
      </c>
      <c r="AF528">
        <f>IF(H528+I528&lt;66,0,IF((H528+I528)/2&gt;=80,5,IF((H528+I528)/2&gt;=70,4,IF((H528+I528)/2&gt;=60,3.5,IF((H528+I528)/2&gt;=50,3,IF((H528+I528)/2&gt;=40,2,IF((H528+I528)/2&gt;=33,1,0)))))))</f>
        <v/>
      </c>
      <c r="AG528">
        <f>IF(Y528,0,IF((J528+K528+L528+M528)/2&gt;=80,5,IF((J528+K528+L528+M528)/2&gt;=70,4,IF((J528+K528+L528+M528)/2&gt;=60,3.5,IF((J528+K528+L528+M528)/2&gt;=50,3,IF((J528+K528+L528+M528)/2&gt;=40,2,IF((J528+K528+L528+M528)/2&gt;=33,1,0)))))))</f>
        <v/>
      </c>
      <c r="AH528">
        <f>IF(Z528,0,IF(N528+O528&gt;=80,5,IF(N528+O528&gt;=70,4,IF(N528+O528&gt;=60,3.5,IF(N528+O528&gt;=50,3,IF(N528+O528&gt;=40,2,IF(N528+O528&gt;=33,1,0)))))))</f>
        <v/>
      </c>
      <c r="AI528">
        <f>IF(AA528,0,IF(P528+Q528&gt;=80,5,IF(P528+Q528&gt;=70,4,IF(P528+Q528&gt;=60,3.5,IF(P528+Q528&gt;=50,3,IF(P528+Q528&gt;=40,2,IF(P528+Q528&gt;=33,1,0)))))))</f>
        <v/>
      </c>
      <c r="AJ528">
        <f>IF(R528&lt;8.25,0,IF(R528*2&gt;=80,5,IF(R528*2&gt;=70,4,IF(R528*2&gt;=60,3.5,IF(R528*2&gt;=50,3,IF(R528*2&gt;=40,2,IF(R528*2&gt;=33,1,0)))))))</f>
        <v/>
      </c>
      <c r="AK528">
        <f>IF(S528&lt;33,0,IF(S528&gt;=80,5,IF(S528&gt;=70,4,IF(S528&gt;=60,3.5,IF(S528&gt;=50,3,IF(S528&gt;=40,2,IF(S528&gt;=33,1,0)))))))</f>
        <v/>
      </c>
      <c r="AL528">
        <f>(AC528+AD528+AE528+AF528+AG528+AH528+AI528+AJ528)/8</f>
        <v/>
      </c>
      <c r="AM528">
        <f>IF(AK528&gt;=2,(AK528-2)/8,0)</f>
        <v/>
      </c>
    </row>
    <row r="529">
      <c r="T529">
        <f>SUM(C529:R529)</f>
        <v/>
      </c>
      <c r="U529" s="6">
        <f>ROUND(T529/11.5,2)</f>
        <v/>
      </c>
      <c r="V529" s="7">
        <f>IF(B529="","",IF(AB529,0,ROUND(AL529,2)))</f>
        <v/>
      </c>
      <c r="W529" s="7">
        <f>IF(B529="","",IF(AB529,0,MIN(5,ROUND(AL529+AM529,2))))</f>
        <v/>
      </c>
      <c r="X529" s="8">
        <f>IF(B529="","",IF(W529&gt;=5,"A+",IF(W529&gt;=4,"A",IF(W529&gt;=3.5,"A-",IF(W529&gt;=3,"B",IF(W529&gt;=2,"C",IF(W529&gt;=1,"D","F")))))))</f>
        <v/>
      </c>
      <c r="Y529">
        <f>NOT(OR(AND(J529&gt;=10,K529&gt;=23,L529&gt;=10,M529&gt;=23),AND(J529+L529&gt;=20,K529+M529&gt;=46)))</f>
        <v/>
      </c>
      <c r="Z529">
        <f>OR(N529&lt;10,O529&lt;23)</f>
        <v/>
      </c>
      <c r="AA529">
        <f>OR(P529&lt;10,Q529&lt;23)</f>
        <v/>
      </c>
      <c r="AB529">
        <f>OR((C529+D529)&lt;66,(E529+F529)&lt;66,G529&lt;33,(H529+I529)&lt;66,Y529,Z529,AA529,R529&lt;8.25)</f>
        <v/>
      </c>
      <c r="AC529">
        <f>IF(C529+D529&lt;66,0,IF((C529+D529)/2&gt;=80,5,IF((C529+D529)/2&gt;=70,4,IF((C529+D529)/2&gt;=60,3.5,IF((C529+D529)/2&gt;=50,3,IF((C529+D529)/2&gt;=40,2,IF((C529+D529)/2&gt;=33,1,0)))))))</f>
        <v/>
      </c>
      <c r="AD529">
        <f>IF(E529+F529&lt;66,0,IF((E529+F529)/2&gt;=80,5,IF((E529+F529)/2&gt;=70,4,IF((E529+F529)/2&gt;=60,3.5,IF((E529+F529)/2&gt;=50,3,IF((E529+F529)/2&gt;=40,2,IF((E529+F529)/2&gt;=33,1,0)))))))</f>
        <v/>
      </c>
      <c r="AE529">
        <f>IF(G529&lt;33,0,IF(G529&gt;=80,5,IF(G529&gt;=70,4,IF(G529&gt;=60,3.5,IF(G529&gt;=50,3,IF(G529&gt;=40,2,IF(G529&gt;=33,1,0)))))))</f>
        <v/>
      </c>
      <c r="AF529">
        <f>IF(H529+I529&lt;66,0,IF((H529+I529)/2&gt;=80,5,IF((H529+I529)/2&gt;=70,4,IF((H529+I529)/2&gt;=60,3.5,IF((H529+I529)/2&gt;=50,3,IF((H529+I529)/2&gt;=40,2,IF((H529+I529)/2&gt;=33,1,0)))))))</f>
        <v/>
      </c>
      <c r="AG529">
        <f>IF(Y529,0,IF((J529+K529+L529+M529)/2&gt;=80,5,IF((J529+K529+L529+M529)/2&gt;=70,4,IF((J529+K529+L529+M529)/2&gt;=60,3.5,IF((J529+K529+L529+M529)/2&gt;=50,3,IF((J529+K529+L529+M529)/2&gt;=40,2,IF((J529+K529+L529+M529)/2&gt;=33,1,0)))))))</f>
        <v/>
      </c>
      <c r="AH529">
        <f>IF(Z529,0,IF(N529+O529&gt;=80,5,IF(N529+O529&gt;=70,4,IF(N529+O529&gt;=60,3.5,IF(N529+O529&gt;=50,3,IF(N529+O529&gt;=40,2,IF(N529+O529&gt;=33,1,0)))))))</f>
        <v/>
      </c>
      <c r="AI529">
        <f>IF(AA529,0,IF(P529+Q529&gt;=80,5,IF(P529+Q529&gt;=70,4,IF(P529+Q529&gt;=60,3.5,IF(P529+Q529&gt;=50,3,IF(P529+Q529&gt;=40,2,IF(P529+Q529&gt;=33,1,0)))))))</f>
        <v/>
      </c>
      <c r="AJ529">
        <f>IF(R529&lt;8.25,0,IF(R529*2&gt;=80,5,IF(R529*2&gt;=70,4,IF(R529*2&gt;=60,3.5,IF(R529*2&gt;=50,3,IF(R529*2&gt;=40,2,IF(R529*2&gt;=33,1,0)))))))</f>
        <v/>
      </c>
      <c r="AK529">
        <f>IF(S529&lt;33,0,IF(S529&gt;=80,5,IF(S529&gt;=70,4,IF(S529&gt;=60,3.5,IF(S529&gt;=50,3,IF(S529&gt;=40,2,IF(S529&gt;=33,1,0)))))))</f>
        <v/>
      </c>
      <c r="AL529">
        <f>(AC529+AD529+AE529+AF529+AG529+AH529+AI529+AJ529)/8</f>
        <v/>
      </c>
      <c r="AM529">
        <f>IF(AK529&gt;=2,(AK529-2)/8,0)</f>
        <v/>
      </c>
    </row>
    <row r="530">
      <c r="T530">
        <f>SUM(C530:R530)</f>
        <v/>
      </c>
      <c r="U530" s="6">
        <f>ROUND(T530/11.5,2)</f>
        <v/>
      </c>
      <c r="V530" s="7">
        <f>IF(B530="","",IF(AB530,0,ROUND(AL530,2)))</f>
        <v/>
      </c>
      <c r="W530" s="7">
        <f>IF(B530="","",IF(AB530,0,MIN(5,ROUND(AL530+AM530,2))))</f>
        <v/>
      </c>
      <c r="X530" s="8">
        <f>IF(B530="","",IF(W530&gt;=5,"A+",IF(W530&gt;=4,"A",IF(W530&gt;=3.5,"A-",IF(W530&gt;=3,"B",IF(W530&gt;=2,"C",IF(W530&gt;=1,"D","F")))))))</f>
        <v/>
      </c>
      <c r="Y530">
        <f>NOT(OR(AND(J530&gt;=10,K530&gt;=23,L530&gt;=10,M530&gt;=23),AND(J530+L530&gt;=20,K530+M530&gt;=46)))</f>
        <v/>
      </c>
      <c r="Z530">
        <f>OR(N530&lt;10,O530&lt;23)</f>
        <v/>
      </c>
      <c r="AA530">
        <f>OR(P530&lt;10,Q530&lt;23)</f>
        <v/>
      </c>
      <c r="AB530">
        <f>OR((C530+D530)&lt;66,(E530+F530)&lt;66,G530&lt;33,(H530+I530)&lt;66,Y530,Z530,AA530,R530&lt;8.25)</f>
        <v/>
      </c>
      <c r="AC530">
        <f>IF(C530+D530&lt;66,0,IF((C530+D530)/2&gt;=80,5,IF((C530+D530)/2&gt;=70,4,IF((C530+D530)/2&gt;=60,3.5,IF((C530+D530)/2&gt;=50,3,IF((C530+D530)/2&gt;=40,2,IF((C530+D530)/2&gt;=33,1,0)))))))</f>
        <v/>
      </c>
      <c r="AD530">
        <f>IF(E530+F530&lt;66,0,IF((E530+F530)/2&gt;=80,5,IF((E530+F530)/2&gt;=70,4,IF((E530+F530)/2&gt;=60,3.5,IF((E530+F530)/2&gt;=50,3,IF((E530+F530)/2&gt;=40,2,IF((E530+F530)/2&gt;=33,1,0)))))))</f>
        <v/>
      </c>
      <c r="AE530">
        <f>IF(G530&lt;33,0,IF(G530&gt;=80,5,IF(G530&gt;=70,4,IF(G530&gt;=60,3.5,IF(G530&gt;=50,3,IF(G530&gt;=40,2,IF(G530&gt;=33,1,0)))))))</f>
        <v/>
      </c>
      <c r="AF530">
        <f>IF(H530+I530&lt;66,0,IF((H530+I530)/2&gt;=80,5,IF((H530+I530)/2&gt;=70,4,IF((H530+I530)/2&gt;=60,3.5,IF((H530+I530)/2&gt;=50,3,IF((H530+I530)/2&gt;=40,2,IF((H530+I530)/2&gt;=33,1,0)))))))</f>
        <v/>
      </c>
      <c r="AG530">
        <f>IF(Y530,0,IF((J530+K530+L530+M530)/2&gt;=80,5,IF((J530+K530+L530+M530)/2&gt;=70,4,IF((J530+K530+L530+M530)/2&gt;=60,3.5,IF((J530+K530+L530+M530)/2&gt;=50,3,IF((J530+K530+L530+M530)/2&gt;=40,2,IF((J530+K530+L530+M530)/2&gt;=33,1,0)))))))</f>
        <v/>
      </c>
      <c r="AH530">
        <f>IF(Z530,0,IF(N530+O530&gt;=80,5,IF(N530+O530&gt;=70,4,IF(N530+O530&gt;=60,3.5,IF(N530+O530&gt;=50,3,IF(N530+O530&gt;=40,2,IF(N530+O530&gt;=33,1,0)))))))</f>
        <v/>
      </c>
      <c r="AI530">
        <f>IF(AA530,0,IF(P530+Q530&gt;=80,5,IF(P530+Q530&gt;=70,4,IF(P530+Q530&gt;=60,3.5,IF(P530+Q530&gt;=50,3,IF(P530+Q530&gt;=40,2,IF(P530+Q530&gt;=33,1,0)))))))</f>
        <v/>
      </c>
      <c r="AJ530">
        <f>IF(R530&lt;8.25,0,IF(R530*2&gt;=80,5,IF(R530*2&gt;=70,4,IF(R530*2&gt;=60,3.5,IF(R530*2&gt;=50,3,IF(R530*2&gt;=40,2,IF(R530*2&gt;=33,1,0)))))))</f>
        <v/>
      </c>
      <c r="AK530">
        <f>IF(S530&lt;33,0,IF(S530&gt;=80,5,IF(S530&gt;=70,4,IF(S530&gt;=60,3.5,IF(S530&gt;=50,3,IF(S530&gt;=40,2,IF(S530&gt;=33,1,0)))))))</f>
        <v/>
      </c>
      <c r="AL530">
        <f>(AC530+AD530+AE530+AF530+AG530+AH530+AI530+AJ530)/8</f>
        <v/>
      </c>
      <c r="AM530">
        <f>IF(AK530&gt;=2,(AK530-2)/8,0)</f>
        <v/>
      </c>
    </row>
    <row r="531">
      <c r="T531">
        <f>SUM(C531:R531)</f>
        <v/>
      </c>
      <c r="U531" s="6">
        <f>ROUND(T531/11.5,2)</f>
        <v/>
      </c>
      <c r="V531" s="7">
        <f>IF(B531="","",IF(AB531,0,ROUND(AL531,2)))</f>
        <v/>
      </c>
      <c r="W531" s="7">
        <f>IF(B531="","",IF(AB531,0,MIN(5,ROUND(AL531+AM531,2))))</f>
        <v/>
      </c>
      <c r="X531" s="8">
        <f>IF(B531="","",IF(W531&gt;=5,"A+",IF(W531&gt;=4,"A",IF(W531&gt;=3.5,"A-",IF(W531&gt;=3,"B",IF(W531&gt;=2,"C",IF(W531&gt;=1,"D","F")))))))</f>
        <v/>
      </c>
      <c r="Y531">
        <f>NOT(OR(AND(J531&gt;=10,K531&gt;=23,L531&gt;=10,M531&gt;=23),AND(J531+L531&gt;=20,K531+M531&gt;=46)))</f>
        <v/>
      </c>
      <c r="Z531">
        <f>OR(N531&lt;10,O531&lt;23)</f>
        <v/>
      </c>
      <c r="AA531">
        <f>OR(P531&lt;10,Q531&lt;23)</f>
        <v/>
      </c>
      <c r="AB531">
        <f>OR((C531+D531)&lt;66,(E531+F531)&lt;66,G531&lt;33,(H531+I531)&lt;66,Y531,Z531,AA531,R531&lt;8.25)</f>
        <v/>
      </c>
      <c r="AC531">
        <f>IF(C531+D531&lt;66,0,IF((C531+D531)/2&gt;=80,5,IF((C531+D531)/2&gt;=70,4,IF((C531+D531)/2&gt;=60,3.5,IF((C531+D531)/2&gt;=50,3,IF((C531+D531)/2&gt;=40,2,IF((C531+D531)/2&gt;=33,1,0)))))))</f>
        <v/>
      </c>
      <c r="AD531">
        <f>IF(E531+F531&lt;66,0,IF((E531+F531)/2&gt;=80,5,IF((E531+F531)/2&gt;=70,4,IF((E531+F531)/2&gt;=60,3.5,IF((E531+F531)/2&gt;=50,3,IF((E531+F531)/2&gt;=40,2,IF((E531+F531)/2&gt;=33,1,0)))))))</f>
        <v/>
      </c>
      <c r="AE531">
        <f>IF(G531&lt;33,0,IF(G531&gt;=80,5,IF(G531&gt;=70,4,IF(G531&gt;=60,3.5,IF(G531&gt;=50,3,IF(G531&gt;=40,2,IF(G531&gt;=33,1,0)))))))</f>
        <v/>
      </c>
      <c r="AF531">
        <f>IF(H531+I531&lt;66,0,IF((H531+I531)/2&gt;=80,5,IF((H531+I531)/2&gt;=70,4,IF((H531+I531)/2&gt;=60,3.5,IF((H531+I531)/2&gt;=50,3,IF((H531+I531)/2&gt;=40,2,IF((H531+I531)/2&gt;=33,1,0)))))))</f>
        <v/>
      </c>
      <c r="AG531">
        <f>IF(Y531,0,IF((J531+K531+L531+M531)/2&gt;=80,5,IF((J531+K531+L531+M531)/2&gt;=70,4,IF((J531+K531+L531+M531)/2&gt;=60,3.5,IF((J531+K531+L531+M531)/2&gt;=50,3,IF((J531+K531+L531+M531)/2&gt;=40,2,IF((J531+K531+L531+M531)/2&gt;=33,1,0)))))))</f>
        <v/>
      </c>
      <c r="AH531">
        <f>IF(Z531,0,IF(N531+O531&gt;=80,5,IF(N531+O531&gt;=70,4,IF(N531+O531&gt;=60,3.5,IF(N531+O531&gt;=50,3,IF(N531+O531&gt;=40,2,IF(N531+O531&gt;=33,1,0)))))))</f>
        <v/>
      </c>
      <c r="AI531">
        <f>IF(AA531,0,IF(P531+Q531&gt;=80,5,IF(P531+Q531&gt;=70,4,IF(P531+Q531&gt;=60,3.5,IF(P531+Q531&gt;=50,3,IF(P531+Q531&gt;=40,2,IF(P531+Q531&gt;=33,1,0)))))))</f>
        <v/>
      </c>
      <c r="AJ531">
        <f>IF(R531&lt;8.25,0,IF(R531*2&gt;=80,5,IF(R531*2&gt;=70,4,IF(R531*2&gt;=60,3.5,IF(R531*2&gt;=50,3,IF(R531*2&gt;=40,2,IF(R531*2&gt;=33,1,0)))))))</f>
        <v/>
      </c>
      <c r="AK531">
        <f>IF(S531&lt;33,0,IF(S531&gt;=80,5,IF(S531&gt;=70,4,IF(S531&gt;=60,3.5,IF(S531&gt;=50,3,IF(S531&gt;=40,2,IF(S531&gt;=33,1,0)))))))</f>
        <v/>
      </c>
      <c r="AL531">
        <f>(AC531+AD531+AE531+AF531+AG531+AH531+AI531+AJ531)/8</f>
        <v/>
      </c>
      <c r="AM531">
        <f>IF(AK531&gt;=2,(AK531-2)/8,0)</f>
        <v/>
      </c>
    </row>
    <row r="532">
      <c r="T532">
        <f>SUM(C532:R532)</f>
        <v/>
      </c>
      <c r="U532" s="6">
        <f>ROUND(T532/11.5,2)</f>
        <v/>
      </c>
      <c r="V532" s="7">
        <f>IF(B532="","",IF(AB532,0,ROUND(AL532,2)))</f>
        <v/>
      </c>
      <c r="W532" s="7">
        <f>IF(B532="","",IF(AB532,0,MIN(5,ROUND(AL532+AM532,2))))</f>
        <v/>
      </c>
      <c r="X532" s="8">
        <f>IF(B532="","",IF(W532&gt;=5,"A+",IF(W532&gt;=4,"A",IF(W532&gt;=3.5,"A-",IF(W532&gt;=3,"B",IF(W532&gt;=2,"C",IF(W532&gt;=1,"D","F")))))))</f>
        <v/>
      </c>
      <c r="Y532">
        <f>NOT(OR(AND(J532&gt;=10,K532&gt;=23,L532&gt;=10,M532&gt;=23),AND(J532+L532&gt;=20,K532+M532&gt;=46)))</f>
        <v/>
      </c>
      <c r="Z532">
        <f>OR(N532&lt;10,O532&lt;23)</f>
        <v/>
      </c>
      <c r="AA532">
        <f>OR(P532&lt;10,Q532&lt;23)</f>
        <v/>
      </c>
      <c r="AB532">
        <f>OR((C532+D532)&lt;66,(E532+F532)&lt;66,G532&lt;33,(H532+I532)&lt;66,Y532,Z532,AA532,R532&lt;8.25)</f>
        <v/>
      </c>
      <c r="AC532">
        <f>IF(C532+D532&lt;66,0,IF((C532+D532)/2&gt;=80,5,IF((C532+D532)/2&gt;=70,4,IF((C532+D532)/2&gt;=60,3.5,IF((C532+D532)/2&gt;=50,3,IF((C532+D532)/2&gt;=40,2,IF((C532+D532)/2&gt;=33,1,0)))))))</f>
        <v/>
      </c>
      <c r="AD532">
        <f>IF(E532+F532&lt;66,0,IF((E532+F532)/2&gt;=80,5,IF((E532+F532)/2&gt;=70,4,IF((E532+F532)/2&gt;=60,3.5,IF((E532+F532)/2&gt;=50,3,IF((E532+F532)/2&gt;=40,2,IF((E532+F532)/2&gt;=33,1,0)))))))</f>
        <v/>
      </c>
      <c r="AE532">
        <f>IF(G532&lt;33,0,IF(G532&gt;=80,5,IF(G532&gt;=70,4,IF(G532&gt;=60,3.5,IF(G532&gt;=50,3,IF(G532&gt;=40,2,IF(G532&gt;=33,1,0)))))))</f>
        <v/>
      </c>
      <c r="AF532">
        <f>IF(H532+I532&lt;66,0,IF((H532+I532)/2&gt;=80,5,IF((H532+I532)/2&gt;=70,4,IF((H532+I532)/2&gt;=60,3.5,IF((H532+I532)/2&gt;=50,3,IF((H532+I532)/2&gt;=40,2,IF((H532+I532)/2&gt;=33,1,0)))))))</f>
        <v/>
      </c>
      <c r="AG532">
        <f>IF(Y532,0,IF((J532+K532+L532+M532)/2&gt;=80,5,IF((J532+K532+L532+M532)/2&gt;=70,4,IF((J532+K532+L532+M532)/2&gt;=60,3.5,IF((J532+K532+L532+M532)/2&gt;=50,3,IF((J532+K532+L532+M532)/2&gt;=40,2,IF((J532+K532+L532+M532)/2&gt;=33,1,0)))))))</f>
        <v/>
      </c>
      <c r="AH532">
        <f>IF(Z532,0,IF(N532+O532&gt;=80,5,IF(N532+O532&gt;=70,4,IF(N532+O532&gt;=60,3.5,IF(N532+O532&gt;=50,3,IF(N532+O532&gt;=40,2,IF(N532+O532&gt;=33,1,0)))))))</f>
        <v/>
      </c>
      <c r="AI532">
        <f>IF(AA532,0,IF(P532+Q532&gt;=80,5,IF(P532+Q532&gt;=70,4,IF(P532+Q532&gt;=60,3.5,IF(P532+Q532&gt;=50,3,IF(P532+Q532&gt;=40,2,IF(P532+Q532&gt;=33,1,0)))))))</f>
        <v/>
      </c>
      <c r="AJ532">
        <f>IF(R532&lt;8.25,0,IF(R532*2&gt;=80,5,IF(R532*2&gt;=70,4,IF(R532*2&gt;=60,3.5,IF(R532*2&gt;=50,3,IF(R532*2&gt;=40,2,IF(R532*2&gt;=33,1,0)))))))</f>
        <v/>
      </c>
      <c r="AK532">
        <f>IF(S532&lt;33,0,IF(S532&gt;=80,5,IF(S532&gt;=70,4,IF(S532&gt;=60,3.5,IF(S532&gt;=50,3,IF(S532&gt;=40,2,IF(S532&gt;=33,1,0)))))))</f>
        <v/>
      </c>
      <c r="AL532">
        <f>(AC532+AD532+AE532+AF532+AG532+AH532+AI532+AJ532)/8</f>
        <v/>
      </c>
      <c r="AM532">
        <f>IF(AK532&gt;=2,(AK532-2)/8,0)</f>
        <v/>
      </c>
    </row>
    <row r="533">
      <c r="T533">
        <f>SUM(C533:R533)</f>
        <v/>
      </c>
      <c r="U533" s="6">
        <f>ROUND(T533/11.5,2)</f>
        <v/>
      </c>
      <c r="V533" s="7">
        <f>IF(B533="","",IF(AB533,0,ROUND(AL533,2)))</f>
        <v/>
      </c>
      <c r="W533" s="7">
        <f>IF(B533="","",IF(AB533,0,MIN(5,ROUND(AL533+AM533,2))))</f>
        <v/>
      </c>
      <c r="X533" s="8">
        <f>IF(B533="","",IF(W533&gt;=5,"A+",IF(W533&gt;=4,"A",IF(W533&gt;=3.5,"A-",IF(W533&gt;=3,"B",IF(W533&gt;=2,"C",IF(W533&gt;=1,"D","F")))))))</f>
        <v/>
      </c>
      <c r="Y533">
        <f>NOT(OR(AND(J533&gt;=10,K533&gt;=23,L533&gt;=10,M533&gt;=23),AND(J533+L533&gt;=20,K533+M533&gt;=46)))</f>
        <v/>
      </c>
      <c r="Z533">
        <f>OR(N533&lt;10,O533&lt;23)</f>
        <v/>
      </c>
      <c r="AA533">
        <f>OR(P533&lt;10,Q533&lt;23)</f>
        <v/>
      </c>
      <c r="AB533">
        <f>OR((C533+D533)&lt;66,(E533+F533)&lt;66,G533&lt;33,(H533+I533)&lt;66,Y533,Z533,AA533,R533&lt;8.25)</f>
        <v/>
      </c>
      <c r="AC533">
        <f>IF(C533+D533&lt;66,0,IF((C533+D533)/2&gt;=80,5,IF((C533+D533)/2&gt;=70,4,IF((C533+D533)/2&gt;=60,3.5,IF((C533+D533)/2&gt;=50,3,IF((C533+D533)/2&gt;=40,2,IF((C533+D533)/2&gt;=33,1,0)))))))</f>
        <v/>
      </c>
      <c r="AD533">
        <f>IF(E533+F533&lt;66,0,IF((E533+F533)/2&gt;=80,5,IF((E533+F533)/2&gt;=70,4,IF((E533+F533)/2&gt;=60,3.5,IF((E533+F533)/2&gt;=50,3,IF((E533+F533)/2&gt;=40,2,IF((E533+F533)/2&gt;=33,1,0)))))))</f>
        <v/>
      </c>
      <c r="AE533">
        <f>IF(G533&lt;33,0,IF(G533&gt;=80,5,IF(G533&gt;=70,4,IF(G533&gt;=60,3.5,IF(G533&gt;=50,3,IF(G533&gt;=40,2,IF(G533&gt;=33,1,0)))))))</f>
        <v/>
      </c>
      <c r="AF533">
        <f>IF(H533+I533&lt;66,0,IF((H533+I533)/2&gt;=80,5,IF((H533+I533)/2&gt;=70,4,IF((H533+I533)/2&gt;=60,3.5,IF((H533+I533)/2&gt;=50,3,IF((H533+I533)/2&gt;=40,2,IF((H533+I533)/2&gt;=33,1,0)))))))</f>
        <v/>
      </c>
      <c r="AG533">
        <f>IF(Y533,0,IF((J533+K533+L533+M533)/2&gt;=80,5,IF((J533+K533+L533+M533)/2&gt;=70,4,IF((J533+K533+L533+M533)/2&gt;=60,3.5,IF((J533+K533+L533+M533)/2&gt;=50,3,IF((J533+K533+L533+M533)/2&gt;=40,2,IF((J533+K533+L533+M533)/2&gt;=33,1,0)))))))</f>
        <v/>
      </c>
      <c r="AH533">
        <f>IF(Z533,0,IF(N533+O533&gt;=80,5,IF(N533+O533&gt;=70,4,IF(N533+O533&gt;=60,3.5,IF(N533+O533&gt;=50,3,IF(N533+O533&gt;=40,2,IF(N533+O533&gt;=33,1,0)))))))</f>
        <v/>
      </c>
      <c r="AI533">
        <f>IF(AA533,0,IF(P533+Q533&gt;=80,5,IF(P533+Q533&gt;=70,4,IF(P533+Q533&gt;=60,3.5,IF(P533+Q533&gt;=50,3,IF(P533+Q533&gt;=40,2,IF(P533+Q533&gt;=33,1,0)))))))</f>
        <v/>
      </c>
      <c r="AJ533">
        <f>IF(R533&lt;8.25,0,IF(R533*2&gt;=80,5,IF(R533*2&gt;=70,4,IF(R533*2&gt;=60,3.5,IF(R533*2&gt;=50,3,IF(R533*2&gt;=40,2,IF(R533*2&gt;=33,1,0)))))))</f>
        <v/>
      </c>
      <c r="AK533">
        <f>IF(S533&lt;33,0,IF(S533&gt;=80,5,IF(S533&gt;=70,4,IF(S533&gt;=60,3.5,IF(S533&gt;=50,3,IF(S533&gt;=40,2,IF(S533&gt;=33,1,0)))))))</f>
        <v/>
      </c>
      <c r="AL533">
        <f>(AC533+AD533+AE533+AF533+AG533+AH533+AI533+AJ533)/8</f>
        <v/>
      </c>
      <c r="AM533">
        <f>IF(AK533&gt;=2,(AK533-2)/8,0)</f>
        <v/>
      </c>
    </row>
    <row r="534">
      <c r="T534">
        <f>SUM(C534:R534)</f>
        <v/>
      </c>
      <c r="U534" s="6">
        <f>ROUND(T534/11.5,2)</f>
        <v/>
      </c>
      <c r="V534" s="7">
        <f>IF(B534="","",IF(AB534,0,ROUND(AL534,2)))</f>
        <v/>
      </c>
      <c r="W534" s="7">
        <f>IF(B534="","",IF(AB534,0,MIN(5,ROUND(AL534+AM534,2))))</f>
        <v/>
      </c>
      <c r="X534" s="8">
        <f>IF(B534="","",IF(W534&gt;=5,"A+",IF(W534&gt;=4,"A",IF(W534&gt;=3.5,"A-",IF(W534&gt;=3,"B",IF(W534&gt;=2,"C",IF(W534&gt;=1,"D","F")))))))</f>
        <v/>
      </c>
      <c r="Y534">
        <f>NOT(OR(AND(J534&gt;=10,K534&gt;=23,L534&gt;=10,M534&gt;=23),AND(J534+L534&gt;=20,K534+M534&gt;=46)))</f>
        <v/>
      </c>
      <c r="Z534">
        <f>OR(N534&lt;10,O534&lt;23)</f>
        <v/>
      </c>
      <c r="AA534">
        <f>OR(P534&lt;10,Q534&lt;23)</f>
        <v/>
      </c>
      <c r="AB534">
        <f>OR((C534+D534)&lt;66,(E534+F534)&lt;66,G534&lt;33,(H534+I534)&lt;66,Y534,Z534,AA534,R534&lt;8.25)</f>
        <v/>
      </c>
      <c r="AC534">
        <f>IF(C534+D534&lt;66,0,IF((C534+D534)/2&gt;=80,5,IF((C534+D534)/2&gt;=70,4,IF((C534+D534)/2&gt;=60,3.5,IF((C534+D534)/2&gt;=50,3,IF((C534+D534)/2&gt;=40,2,IF((C534+D534)/2&gt;=33,1,0)))))))</f>
        <v/>
      </c>
      <c r="AD534">
        <f>IF(E534+F534&lt;66,0,IF((E534+F534)/2&gt;=80,5,IF((E534+F534)/2&gt;=70,4,IF((E534+F534)/2&gt;=60,3.5,IF((E534+F534)/2&gt;=50,3,IF((E534+F534)/2&gt;=40,2,IF((E534+F534)/2&gt;=33,1,0)))))))</f>
        <v/>
      </c>
      <c r="AE534">
        <f>IF(G534&lt;33,0,IF(G534&gt;=80,5,IF(G534&gt;=70,4,IF(G534&gt;=60,3.5,IF(G534&gt;=50,3,IF(G534&gt;=40,2,IF(G534&gt;=33,1,0)))))))</f>
        <v/>
      </c>
      <c r="AF534">
        <f>IF(H534+I534&lt;66,0,IF((H534+I534)/2&gt;=80,5,IF((H534+I534)/2&gt;=70,4,IF((H534+I534)/2&gt;=60,3.5,IF((H534+I534)/2&gt;=50,3,IF((H534+I534)/2&gt;=40,2,IF((H534+I534)/2&gt;=33,1,0)))))))</f>
        <v/>
      </c>
      <c r="AG534">
        <f>IF(Y534,0,IF((J534+K534+L534+M534)/2&gt;=80,5,IF((J534+K534+L534+M534)/2&gt;=70,4,IF((J534+K534+L534+M534)/2&gt;=60,3.5,IF((J534+K534+L534+M534)/2&gt;=50,3,IF((J534+K534+L534+M534)/2&gt;=40,2,IF((J534+K534+L534+M534)/2&gt;=33,1,0)))))))</f>
        <v/>
      </c>
      <c r="AH534">
        <f>IF(Z534,0,IF(N534+O534&gt;=80,5,IF(N534+O534&gt;=70,4,IF(N534+O534&gt;=60,3.5,IF(N534+O534&gt;=50,3,IF(N534+O534&gt;=40,2,IF(N534+O534&gt;=33,1,0)))))))</f>
        <v/>
      </c>
      <c r="AI534">
        <f>IF(AA534,0,IF(P534+Q534&gt;=80,5,IF(P534+Q534&gt;=70,4,IF(P534+Q534&gt;=60,3.5,IF(P534+Q534&gt;=50,3,IF(P534+Q534&gt;=40,2,IF(P534+Q534&gt;=33,1,0)))))))</f>
        <v/>
      </c>
      <c r="AJ534">
        <f>IF(R534&lt;8.25,0,IF(R534*2&gt;=80,5,IF(R534*2&gt;=70,4,IF(R534*2&gt;=60,3.5,IF(R534*2&gt;=50,3,IF(R534*2&gt;=40,2,IF(R534*2&gt;=33,1,0)))))))</f>
        <v/>
      </c>
      <c r="AK534">
        <f>IF(S534&lt;33,0,IF(S534&gt;=80,5,IF(S534&gt;=70,4,IF(S534&gt;=60,3.5,IF(S534&gt;=50,3,IF(S534&gt;=40,2,IF(S534&gt;=33,1,0)))))))</f>
        <v/>
      </c>
      <c r="AL534">
        <f>(AC534+AD534+AE534+AF534+AG534+AH534+AI534+AJ534)/8</f>
        <v/>
      </c>
      <c r="AM534">
        <f>IF(AK534&gt;=2,(AK534-2)/8,0)</f>
        <v/>
      </c>
    </row>
    <row r="535">
      <c r="T535">
        <f>SUM(C535:R535)</f>
        <v/>
      </c>
      <c r="U535" s="6">
        <f>ROUND(T535/11.5,2)</f>
        <v/>
      </c>
      <c r="V535" s="7">
        <f>IF(B535="","",IF(AB535,0,ROUND(AL535,2)))</f>
        <v/>
      </c>
      <c r="W535" s="7">
        <f>IF(B535="","",IF(AB535,0,MIN(5,ROUND(AL535+AM535,2))))</f>
        <v/>
      </c>
      <c r="X535" s="8">
        <f>IF(B535="","",IF(W535&gt;=5,"A+",IF(W535&gt;=4,"A",IF(W535&gt;=3.5,"A-",IF(W535&gt;=3,"B",IF(W535&gt;=2,"C",IF(W535&gt;=1,"D","F")))))))</f>
        <v/>
      </c>
      <c r="Y535">
        <f>NOT(OR(AND(J535&gt;=10,K535&gt;=23,L535&gt;=10,M535&gt;=23),AND(J535+L535&gt;=20,K535+M535&gt;=46)))</f>
        <v/>
      </c>
      <c r="Z535">
        <f>OR(N535&lt;10,O535&lt;23)</f>
        <v/>
      </c>
      <c r="AA535">
        <f>OR(P535&lt;10,Q535&lt;23)</f>
        <v/>
      </c>
      <c r="AB535">
        <f>OR((C535+D535)&lt;66,(E535+F535)&lt;66,G535&lt;33,(H535+I535)&lt;66,Y535,Z535,AA535,R535&lt;8.25)</f>
        <v/>
      </c>
      <c r="AC535">
        <f>IF(C535+D535&lt;66,0,IF((C535+D535)/2&gt;=80,5,IF((C535+D535)/2&gt;=70,4,IF((C535+D535)/2&gt;=60,3.5,IF((C535+D535)/2&gt;=50,3,IF((C535+D535)/2&gt;=40,2,IF((C535+D535)/2&gt;=33,1,0)))))))</f>
        <v/>
      </c>
      <c r="AD535">
        <f>IF(E535+F535&lt;66,0,IF((E535+F535)/2&gt;=80,5,IF((E535+F535)/2&gt;=70,4,IF((E535+F535)/2&gt;=60,3.5,IF((E535+F535)/2&gt;=50,3,IF((E535+F535)/2&gt;=40,2,IF((E535+F535)/2&gt;=33,1,0)))))))</f>
        <v/>
      </c>
      <c r="AE535">
        <f>IF(G535&lt;33,0,IF(G535&gt;=80,5,IF(G535&gt;=70,4,IF(G535&gt;=60,3.5,IF(G535&gt;=50,3,IF(G535&gt;=40,2,IF(G535&gt;=33,1,0)))))))</f>
        <v/>
      </c>
      <c r="AF535">
        <f>IF(H535+I535&lt;66,0,IF((H535+I535)/2&gt;=80,5,IF((H535+I535)/2&gt;=70,4,IF((H535+I535)/2&gt;=60,3.5,IF((H535+I535)/2&gt;=50,3,IF((H535+I535)/2&gt;=40,2,IF((H535+I535)/2&gt;=33,1,0)))))))</f>
        <v/>
      </c>
      <c r="AG535">
        <f>IF(Y535,0,IF((J535+K535+L535+M535)/2&gt;=80,5,IF((J535+K535+L535+M535)/2&gt;=70,4,IF((J535+K535+L535+M535)/2&gt;=60,3.5,IF((J535+K535+L535+M535)/2&gt;=50,3,IF((J535+K535+L535+M535)/2&gt;=40,2,IF((J535+K535+L535+M535)/2&gt;=33,1,0)))))))</f>
        <v/>
      </c>
      <c r="AH535">
        <f>IF(Z535,0,IF(N535+O535&gt;=80,5,IF(N535+O535&gt;=70,4,IF(N535+O535&gt;=60,3.5,IF(N535+O535&gt;=50,3,IF(N535+O535&gt;=40,2,IF(N535+O535&gt;=33,1,0)))))))</f>
        <v/>
      </c>
      <c r="AI535">
        <f>IF(AA535,0,IF(P535+Q535&gt;=80,5,IF(P535+Q535&gt;=70,4,IF(P535+Q535&gt;=60,3.5,IF(P535+Q535&gt;=50,3,IF(P535+Q535&gt;=40,2,IF(P535+Q535&gt;=33,1,0)))))))</f>
        <v/>
      </c>
      <c r="AJ535">
        <f>IF(R535&lt;8.25,0,IF(R535*2&gt;=80,5,IF(R535*2&gt;=70,4,IF(R535*2&gt;=60,3.5,IF(R535*2&gt;=50,3,IF(R535*2&gt;=40,2,IF(R535*2&gt;=33,1,0)))))))</f>
        <v/>
      </c>
      <c r="AK535">
        <f>IF(S535&lt;33,0,IF(S535&gt;=80,5,IF(S535&gt;=70,4,IF(S535&gt;=60,3.5,IF(S535&gt;=50,3,IF(S535&gt;=40,2,IF(S535&gt;=33,1,0)))))))</f>
        <v/>
      </c>
      <c r="AL535">
        <f>(AC535+AD535+AE535+AF535+AG535+AH535+AI535+AJ535)/8</f>
        <v/>
      </c>
      <c r="AM535">
        <f>IF(AK535&gt;=2,(AK535-2)/8,0)</f>
        <v/>
      </c>
    </row>
    <row r="536">
      <c r="T536">
        <f>SUM(C536:R536)</f>
        <v/>
      </c>
      <c r="U536" s="6">
        <f>ROUND(T536/11.5,2)</f>
        <v/>
      </c>
      <c r="V536" s="7">
        <f>IF(B536="","",IF(AB536,0,ROUND(AL536,2)))</f>
        <v/>
      </c>
      <c r="W536" s="7">
        <f>IF(B536="","",IF(AB536,0,MIN(5,ROUND(AL536+AM536,2))))</f>
        <v/>
      </c>
      <c r="X536" s="8">
        <f>IF(B536="","",IF(W536&gt;=5,"A+",IF(W536&gt;=4,"A",IF(W536&gt;=3.5,"A-",IF(W536&gt;=3,"B",IF(W536&gt;=2,"C",IF(W536&gt;=1,"D","F")))))))</f>
        <v/>
      </c>
      <c r="Y536">
        <f>NOT(OR(AND(J536&gt;=10,K536&gt;=23,L536&gt;=10,M536&gt;=23),AND(J536+L536&gt;=20,K536+M536&gt;=46)))</f>
        <v/>
      </c>
      <c r="Z536">
        <f>OR(N536&lt;10,O536&lt;23)</f>
        <v/>
      </c>
      <c r="AA536">
        <f>OR(P536&lt;10,Q536&lt;23)</f>
        <v/>
      </c>
      <c r="AB536">
        <f>OR((C536+D536)&lt;66,(E536+F536)&lt;66,G536&lt;33,(H536+I536)&lt;66,Y536,Z536,AA536,R536&lt;8.25)</f>
        <v/>
      </c>
      <c r="AC536">
        <f>IF(C536+D536&lt;66,0,IF((C536+D536)/2&gt;=80,5,IF((C536+D536)/2&gt;=70,4,IF((C536+D536)/2&gt;=60,3.5,IF((C536+D536)/2&gt;=50,3,IF((C536+D536)/2&gt;=40,2,IF((C536+D536)/2&gt;=33,1,0)))))))</f>
        <v/>
      </c>
      <c r="AD536">
        <f>IF(E536+F536&lt;66,0,IF((E536+F536)/2&gt;=80,5,IF((E536+F536)/2&gt;=70,4,IF((E536+F536)/2&gt;=60,3.5,IF((E536+F536)/2&gt;=50,3,IF((E536+F536)/2&gt;=40,2,IF((E536+F536)/2&gt;=33,1,0)))))))</f>
        <v/>
      </c>
      <c r="AE536">
        <f>IF(G536&lt;33,0,IF(G536&gt;=80,5,IF(G536&gt;=70,4,IF(G536&gt;=60,3.5,IF(G536&gt;=50,3,IF(G536&gt;=40,2,IF(G536&gt;=33,1,0)))))))</f>
        <v/>
      </c>
      <c r="AF536">
        <f>IF(H536+I536&lt;66,0,IF((H536+I536)/2&gt;=80,5,IF((H536+I536)/2&gt;=70,4,IF((H536+I536)/2&gt;=60,3.5,IF((H536+I536)/2&gt;=50,3,IF((H536+I536)/2&gt;=40,2,IF((H536+I536)/2&gt;=33,1,0)))))))</f>
        <v/>
      </c>
      <c r="AG536">
        <f>IF(Y536,0,IF((J536+K536+L536+M536)/2&gt;=80,5,IF((J536+K536+L536+M536)/2&gt;=70,4,IF((J536+K536+L536+M536)/2&gt;=60,3.5,IF((J536+K536+L536+M536)/2&gt;=50,3,IF((J536+K536+L536+M536)/2&gt;=40,2,IF((J536+K536+L536+M536)/2&gt;=33,1,0)))))))</f>
        <v/>
      </c>
      <c r="AH536">
        <f>IF(Z536,0,IF(N536+O536&gt;=80,5,IF(N536+O536&gt;=70,4,IF(N536+O536&gt;=60,3.5,IF(N536+O536&gt;=50,3,IF(N536+O536&gt;=40,2,IF(N536+O536&gt;=33,1,0)))))))</f>
        <v/>
      </c>
      <c r="AI536">
        <f>IF(AA536,0,IF(P536+Q536&gt;=80,5,IF(P536+Q536&gt;=70,4,IF(P536+Q536&gt;=60,3.5,IF(P536+Q536&gt;=50,3,IF(P536+Q536&gt;=40,2,IF(P536+Q536&gt;=33,1,0)))))))</f>
        <v/>
      </c>
      <c r="AJ536">
        <f>IF(R536&lt;8.25,0,IF(R536*2&gt;=80,5,IF(R536*2&gt;=70,4,IF(R536*2&gt;=60,3.5,IF(R536*2&gt;=50,3,IF(R536*2&gt;=40,2,IF(R536*2&gt;=33,1,0)))))))</f>
        <v/>
      </c>
      <c r="AK536">
        <f>IF(S536&lt;33,0,IF(S536&gt;=80,5,IF(S536&gt;=70,4,IF(S536&gt;=60,3.5,IF(S536&gt;=50,3,IF(S536&gt;=40,2,IF(S536&gt;=33,1,0)))))))</f>
        <v/>
      </c>
      <c r="AL536">
        <f>(AC536+AD536+AE536+AF536+AG536+AH536+AI536+AJ536)/8</f>
        <v/>
      </c>
      <c r="AM536">
        <f>IF(AK536&gt;=2,(AK536-2)/8,0)</f>
        <v/>
      </c>
    </row>
    <row r="537">
      <c r="T537">
        <f>SUM(C537:R537)</f>
        <v/>
      </c>
      <c r="U537" s="6">
        <f>ROUND(T537/11.5,2)</f>
        <v/>
      </c>
      <c r="V537" s="7">
        <f>IF(B537="","",IF(AB537,0,ROUND(AL537,2)))</f>
        <v/>
      </c>
      <c r="W537" s="7">
        <f>IF(B537="","",IF(AB537,0,MIN(5,ROUND(AL537+AM537,2))))</f>
        <v/>
      </c>
      <c r="X537" s="8">
        <f>IF(B537="","",IF(W537&gt;=5,"A+",IF(W537&gt;=4,"A",IF(W537&gt;=3.5,"A-",IF(W537&gt;=3,"B",IF(W537&gt;=2,"C",IF(W537&gt;=1,"D","F")))))))</f>
        <v/>
      </c>
      <c r="Y537">
        <f>NOT(OR(AND(J537&gt;=10,K537&gt;=23,L537&gt;=10,M537&gt;=23),AND(J537+L537&gt;=20,K537+M537&gt;=46)))</f>
        <v/>
      </c>
      <c r="Z537">
        <f>OR(N537&lt;10,O537&lt;23)</f>
        <v/>
      </c>
      <c r="AA537">
        <f>OR(P537&lt;10,Q537&lt;23)</f>
        <v/>
      </c>
      <c r="AB537">
        <f>OR((C537+D537)&lt;66,(E537+F537)&lt;66,G537&lt;33,(H537+I537)&lt;66,Y537,Z537,AA537,R537&lt;8.25)</f>
        <v/>
      </c>
      <c r="AC537">
        <f>IF(C537+D537&lt;66,0,IF((C537+D537)/2&gt;=80,5,IF((C537+D537)/2&gt;=70,4,IF((C537+D537)/2&gt;=60,3.5,IF((C537+D537)/2&gt;=50,3,IF((C537+D537)/2&gt;=40,2,IF((C537+D537)/2&gt;=33,1,0)))))))</f>
        <v/>
      </c>
      <c r="AD537">
        <f>IF(E537+F537&lt;66,0,IF((E537+F537)/2&gt;=80,5,IF((E537+F537)/2&gt;=70,4,IF((E537+F537)/2&gt;=60,3.5,IF((E537+F537)/2&gt;=50,3,IF((E537+F537)/2&gt;=40,2,IF((E537+F537)/2&gt;=33,1,0)))))))</f>
        <v/>
      </c>
      <c r="AE537">
        <f>IF(G537&lt;33,0,IF(G537&gt;=80,5,IF(G537&gt;=70,4,IF(G537&gt;=60,3.5,IF(G537&gt;=50,3,IF(G537&gt;=40,2,IF(G537&gt;=33,1,0)))))))</f>
        <v/>
      </c>
      <c r="AF537">
        <f>IF(H537+I537&lt;66,0,IF((H537+I537)/2&gt;=80,5,IF((H537+I537)/2&gt;=70,4,IF((H537+I537)/2&gt;=60,3.5,IF((H537+I537)/2&gt;=50,3,IF((H537+I537)/2&gt;=40,2,IF((H537+I537)/2&gt;=33,1,0)))))))</f>
        <v/>
      </c>
      <c r="AG537">
        <f>IF(Y537,0,IF((J537+K537+L537+M537)/2&gt;=80,5,IF((J537+K537+L537+M537)/2&gt;=70,4,IF((J537+K537+L537+M537)/2&gt;=60,3.5,IF((J537+K537+L537+M537)/2&gt;=50,3,IF((J537+K537+L537+M537)/2&gt;=40,2,IF((J537+K537+L537+M537)/2&gt;=33,1,0)))))))</f>
        <v/>
      </c>
      <c r="AH537">
        <f>IF(Z537,0,IF(N537+O537&gt;=80,5,IF(N537+O537&gt;=70,4,IF(N537+O537&gt;=60,3.5,IF(N537+O537&gt;=50,3,IF(N537+O537&gt;=40,2,IF(N537+O537&gt;=33,1,0)))))))</f>
        <v/>
      </c>
      <c r="AI537">
        <f>IF(AA537,0,IF(P537+Q537&gt;=80,5,IF(P537+Q537&gt;=70,4,IF(P537+Q537&gt;=60,3.5,IF(P537+Q537&gt;=50,3,IF(P537+Q537&gt;=40,2,IF(P537+Q537&gt;=33,1,0)))))))</f>
        <v/>
      </c>
      <c r="AJ537">
        <f>IF(R537&lt;8.25,0,IF(R537*2&gt;=80,5,IF(R537*2&gt;=70,4,IF(R537*2&gt;=60,3.5,IF(R537*2&gt;=50,3,IF(R537*2&gt;=40,2,IF(R537*2&gt;=33,1,0)))))))</f>
        <v/>
      </c>
      <c r="AK537">
        <f>IF(S537&lt;33,0,IF(S537&gt;=80,5,IF(S537&gt;=70,4,IF(S537&gt;=60,3.5,IF(S537&gt;=50,3,IF(S537&gt;=40,2,IF(S537&gt;=33,1,0)))))))</f>
        <v/>
      </c>
      <c r="AL537">
        <f>(AC537+AD537+AE537+AF537+AG537+AH537+AI537+AJ537)/8</f>
        <v/>
      </c>
      <c r="AM537">
        <f>IF(AK537&gt;=2,(AK537-2)/8,0)</f>
        <v/>
      </c>
    </row>
    <row r="538">
      <c r="T538">
        <f>SUM(C538:R538)</f>
        <v/>
      </c>
      <c r="U538" s="6">
        <f>ROUND(T538/11.5,2)</f>
        <v/>
      </c>
      <c r="V538" s="7">
        <f>IF(B538="","",IF(AB538,0,ROUND(AL538,2)))</f>
        <v/>
      </c>
      <c r="W538" s="7">
        <f>IF(B538="","",IF(AB538,0,MIN(5,ROUND(AL538+AM538,2))))</f>
        <v/>
      </c>
      <c r="X538" s="8">
        <f>IF(B538="","",IF(W538&gt;=5,"A+",IF(W538&gt;=4,"A",IF(W538&gt;=3.5,"A-",IF(W538&gt;=3,"B",IF(W538&gt;=2,"C",IF(W538&gt;=1,"D","F")))))))</f>
        <v/>
      </c>
      <c r="Y538">
        <f>NOT(OR(AND(J538&gt;=10,K538&gt;=23,L538&gt;=10,M538&gt;=23),AND(J538+L538&gt;=20,K538+M538&gt;=46)))</f>
        <v/>
      </c>
      <c r="Z538">
        <f>OR(N538&lt;10,O538&lt;23)</f>
        <v/>
      </c>
      <c r="AA538">
        <f>OR(P538&lt;10,Q538&lt;23)</f>
        <v/>
      </c>
      <c r="AB538">
        <f>OR((C538+D538)&lt;66,(E538+F538)&lt;66,G538&lt;33,(H538+I538)&lt;66,Y538,Z538,AA538,R538&lt;8.25)</f>
        <v/>
      </c>
      <c r="AC538">
        <f>IF(C538+D538&lt;66,0,IF((C538+D538)/2&gt;=80,5,IF((C538+D538)/2&gt;=70,4,IF((C538+D538)/2&gt;=60,3.5,IF((C538+D538)/2&gt;=50,3,IF((C538+D538)/2&gt;=40,2,IF((C538+D538)/2&gt;=33,1,0)))))))</f>
        <v/>
      </c>
      <c r="AD538">
        <f>IF(E538+F538&lt;66,0,IF((E538+F538)/2&gt;=80,5,IF((E538+F538)/2&gt;=70,4,IF((E538+F538)/2&gt;=60,3.5,IF((E538+F538)/2&gt;=50,3,IF((E538+F538)/2&gt;=40,2,IF((E538+F538)/2&gt;=33,1,0)))))))</f>
        <v/>
      </c>
      <c r="AE538">
        <f>IF(G538&lt;33,0,IF(G538&gt;=80,5,IF(G538&gt;=70,4,IF(G538&gt;=60,3.5,IF(G538&gt;=50,3,IF(G538&gt;=40,2,IF(G538&gt;=33,1,0)))))))</f>
        <v/>
      </c>
      <c r="AF538">
        <f>IF(H538+I538&lt;66,0,IF((H538+I538)/2&gt;=80,5,IF((H538+I538)/2&gt;=70,4,IF((H538+I538)/2&gt;=60,3.5,IF((H538+I538)/2&gt;=50,3,IF((H538+I538)/2&gt;=40,2,IF((H538+I538)/2&gt;=33,1,0)))))))</f>
        <v/>
      </c>
      <c r="AG538">
        <f>IF(Y538,0,IF((J538+K538+L538+M538)/2&gt;=80,5,IF((J538+K538+L538+M538)/2&gt;=70,4,IF((J538+K538+L538+M538)/2&gt;=60,3.5,IF((J538+K538+L538+M538)/2&gt;=50,3,IF((J538+K538+L538+M538)/2&gt;=40,2,IF((J538+K538+L538+M538)/2&gt;=33,1,0)))))))</f>
        <v/>
      </c>
      <c r="AH538">
        <f>IF(Z538,0,IF(N538+O538&gt;=80,5,IF(N538+O538&gt;=70,4,IF(N538+O538&gt;=60,3.5,IF(N538+O538&gt;=50,3,IF(N538+O538&gt;=40,2,IF(N538+O538&gt;=33,1,0)))))))</f>
        <v/>
      </c>
      <c r="AI538">
        <f>IF(AA538,0,IF(P538+Q538&gt;=80,5,IF(P538+Q538&gt;=70,4,IF(P538+Q538&gt;=60,3.5,IF(P538+Q538&gt;=50,3,IF(P538+Q538&gt;=40,2,IF(P538+Q538&gt;=33,1,0)))))))</f>
        <v/>
      </c>
      <c r="AJ538">
        <f>IF(R538&lt;8.25,0,IF(R538*2&gt;=80,5,IF(R538*2&gt;=70,4,IF(R538*2&gt;=60,3.5,IF(R538*2&gt;=50,3,IF(R538*2&gt;=40,2,IF(R538*2&gt;=33,1,0)))))))</f>
        <v/>
      </c>
      <c r="AK538">
        <f>IF(S538&lt;33,0,IF(S538&gt;=80,5,IF(S538&gt;=70,4,IF(S538&gt;=60,3.5,IF(S538&gt;=50,3,IF(S538&gt;=40,2,IF(S538&gt;=33,1,0)))))))</f>
        <v/>
      </c>
      <c r="AL538">
        <f>(AC538+AD538+AE538+AF538+AG538+AH538+AI538+AJ538)/8</f>
        <v/>
      </c>
      <c r="AM538">
        <f>IF(AK538&gt;=2,(AK538-2)/8,0)</f>
        <v/>
      </c>
    </row>
    <row r="539">
      <c r="T539">
        <f>SUM(C539:R539)</f>
        <v/>
      </c>
      <c r="U539" s="6">
        <f>ROUND(T539/11.5,2)</f>
        <v/>
      </c>
      <c r="V539" s="7">
        <f>IF(B539="","",IF(AB539,0,ROUND(AL539,2)))</f>
        <v/>
      </c>
      <c r="W539" s="7">
        <f>IF(B539="","",IF(AB539,0,MIN(5,ROUND(AL539+AM539,2))))</f>
        <v/>
      </c>
      <c r="X539" s="8">
        <f>IF(B539="","",IF(W539&gt;=5,"A+",IF(W539&gt;=4,"A",IF(W539&gt;=3.5,"A-",IF(W539&gt;=3,"B",IF(W539&gt;=2,"C",IF(W539&gt;=1,"D","F")))))))</f>
        <v/>
      </c>
      <c r="Y539">
        <f>NOT(OR(AND(J539&gt;=10,K539&gt;=23,L539&gt;=10,M539&gt;=23),AND(J539+L539&gt;=20,K539+M539&gt;=46)))</f>
        <v/>
      </c>
      <c r="Z539">
        <f>OR(N539&lt;10,O539&lt;23)</f>
        <v/>
      </c>
      <c r="AA539">
        <f>OR(P539&lt;10,Q539&lt;23)</f>
        <v/>
      </c>
      <c r="AB539">
        <f>OR((C539+D539)&lt;66,(E539+F539)&lt;66,G539&lt;33,(H539+I539)&lt;66,Y539,Z539,AA539,R539&lt;8.25)</f>
        <v/>
      </c>
      <c r="AC539">
        <f>IF(C539+D539&lt;66,0,IF((C539+D539)/2&gt;=80,5,IF((C539+D539)/2&gt;=70,4,IF((C539+D539)/2&gt;=60,3.5,IF((C539+D539)/2&gt;=50,3,IF((C539+D539)/2&gt;=40,2,IF((C539+D539)/2&gt;=33,1,0)))))))</f>
        <v/>
      </c>
      <c r="AD539">
        <f>IF(E539+F539&lt;66,0,IF((E539+F539)/2&gt;=80,5,IF((E539+F539)/2&gt;=70,4,IF((E539+F539)/2&gt;=60,3.5,IF((E539+F539)/2&gt;=50,3,IF((E539+F539)/2&gt;=40,2,IF((E539+F539)/2&gt;=33,1,0)))))))</f>
        <v/>
      </c>
      <c r="AE539">
        <f>IF(G539&lt;33,0,IF(G539&gt;=80,5,IF(G539&gt;=70,4,IF(G539&gt;=60,3.5,IF(G539&gt;=50,3,IF(G539&gt;=40,2,IF(G539&gt;=33,1,0)))))))</f>
        <v/>
      </c>
      <c r="AF539">
        <f>IF(H539+I539&lt;66,0,IF((H539+I539)/2&gt;=80,5,IF((H539+I539)/2&gt;=70,4,IF((H539+I539)/2&gt;=60,3.5,IF((H539+I539)/2&gt;=50,3,IF((H539+I539)/2&gt;=40,2,IF((H539+I539)/2&gt;=33,1,0)))))))</f>
        <v/>
      </c>
      <c r="AG539">
        <f>IF(Y539,0,IF((J539+K539+L539+M539)/2&gt;=80,5,IF((J539+K539+L539+M539)/2&gt;=70,4,IF((J539+K539+L539+M539)/2&gt;=60,3.5,IF((J539+K539+L539+M539)/2&gt;=50,3,IF((J539+K539+L539+M539)/2&gt;=40,2,IF((J539+K539+L539+M539)/2&gt;=33,1,0)))))))</f>
        <v/>
      </c>
      <c r="AH539">
        <f>IF(Z539,0,IF(N539+O539&gt;=80,5,IF(N539+O539&gt;=70,4,IF(N539+O539&gt;=60,3.5,IF(N539+O539&gt;=50,3,IF(N539+O539&gt;=40,2,IF(N539+O539&gt;=33,1,0)))))))</f>
        <v/>
      </c>
      <c r="AI539">
        <f>IF(AA539,0,IF(P539+Q539&gt;=80,5,IF(P539+Q539&gt;=70,4,IF(P539+Q539&gt;=60,3.5,IF(P539+Q539&gt;=50,3,IF(P539+Q539&gt;=40,2,IF(P539+Q539&gt;=33,1,0)))))))</f>
        <v/>
      </c>
      <c r="AJ539">
        <f>IF(R539&lt;8.25,0,IF(R539*2&gt;=80,5,IF(R539*2&gt;=70,4,IF(R539*2&gt;=60,3.5,IF(R539*2&gt;=50,3,IF(R539*2&gt;=40,2,IF(R539*2&gt;=33,1,0)))))))</f>
        <v/>
      </c>
      <c r="AK539">
        <f>IF(S539&lt;33,0,IF(S539&gt;=80,5,IF(S539&gt;=70,4,IF(S539&gt;=60,3.5,IF(S539&gt;=50,3,IF(S539&gt;=40,2,IF(S539&gt;=33,1,0)))))))</f>
        <v/>
      </c>
      <c r="AL539">
        <f>(AC539+AD539+AE539+AF539+AG539+AH539+AI539+AJ539)/8</f>
        <v/>
      </c>
      <c r="AM539">
        <f>IF(AK539&gt;=2,(AK539-2)/8,0)</f>
        <v/>
      </c>
    </row>
    <row r="540">
      <c r="T540">
        <f>SUM(C540:R540)</f>
        <v/>
      </c>
      <c r="U540" s="6">
        <f>ROUND(T540/11.5,2)</f>
        <v/>
      </c>
      <c r="V540" s="7">
        <f>IF(B540="","",IF(AB540,0,ROUND(AL540,2)))</f>
        <v/>
      </c>
      <c r="W540" s="7">
        <f>IF(B540="","",IF(AB540,0,MIN(5,ROUND(AL540+AM540,2))))</f>
        <v/>
      </c>
      <c r="X540" s="8">
        <f>IF(B540="","",IF(W540&gt;=5,"A+",IF(W540&gt;=4,"A",IF(W540&gt;=3.5,"A-",IF(W540&gt;=3,"B",IF(W540&gt;=2,"C",IF(W540&gt;=1,"D","F")))))))</f>
        <v/>
      </c>
      <c r="Y540">
        <f>NOT(OR(AND(J540&gt;=10,K540&gt;=23,L540&gt;=10,M540&gt;=23),AND(J540+L540&gt;=20,K540+M540&gt;=46)))</f>
        <v/>
      </c>
      <c r="Z540">
        <f>OR(N540&lt;10,O540&lt;23)</f>
        <v/>
      </c>
      <c r="AA540">
        <f>OR(P540&lt;10,Q540&lt;23)</f>
        <v/>
      </c>
      <c r="AB540">
        <f>OR((C540+D540)&lt;66,(E540+F540)&lt;66,G540&lt;33,(H540+I540)&lt;66,Y540,Z540,AA540,R540&lt;8.25)</f>
        <v/>
      </c>
      <c r="AC540">
        <f>IF(C540+D540&lt;66,0,IF((C540+D540)/2&gt;=80,5,IF((C540+D540)/2&gt;=70,4,IF((C540+D540)/2&gt;=60,3.5,IF((C540+D540)/2&gt;=50,3,IF((C540+D540)/2&gt;=40,2,IF((C540+D540)/2&gt;=33,1,0)))))))</f>
        <v/>
      </c>
      <c r="AD540">
        <f>IF(E540+F540&lt;66,0,IF((E540+F540)/2&gt;=80,5,IF((E540+F540)/2&gt;=70,4,IF((E540+F540)/2&gt;=60,3.5,IF((E540+F540)/2&gt;=50,3,IF((E540+F540)/2&gt;=40,2,IF((E540+F540)/2&gt;=33,1,0)))))))</f>
        <v/>
      </c>
      <c r="AE540">
        <f>IF(G540&lt;33,0,IF(G540&gt;=80,5,IF(G540&gt;=70,4,IF(G540&gt;=60,3.5,IF(G540&gt;=50,3,IF(G540&gt;=40,2,IF(G540&gt;=33,1,0)))))))</f>
        <v/>
      </c>
      <c r="AF540">
        <f>IF(H540+I540&lt;66,0,IF((H540+I540)/2&gt;=80,5,IF((H540+I540)/2&gt;=70,4,IF((H540+I540)/2&gt;=60,3.5,IF((H540+I540)/2&gt;=50,3,IF((H540+I540)/2&gt;=40,2,IF((H540+I540)/2&gt;=33,1,0)))))))</f>
        <v/>
      </c>
      <c r="AG540">
        <f>IF(Y540,0,IF((J540+K540+L540+M540)/2&gt;=80,5,IF((J540+K540+L540+M540)/2&gt;=70,4,IF((J540+K540+L540+M540)/2&gt;=60,3.5,IF((J540+K540+L540+M540)/2&gt;=50,3,IF((J540+K540+L540+M540)/2&gt;=40,2,IF((J540+K540+L540+M540)/2&gt;=33,1,0)))))))</f>
        <v/>
      </c>
      <c r="AH540">
        <f>IF(Z540,0,IF(N540+O540&gt;=80,5,IF(N540+O540&gt;=70,4,IF(N540+O540&gt;=60,3.5,IF(N540+O540&gt;=50,3,IF(N540+O540&gt;=40,2,IF(N540+O540&gt;=33,1,0)))))))</f>
        <v/>
      </c>
      <c r="AI540">
        <f>IF(AA540,0,IF(P540+Q540&gt;=80,5,IF(P540+Q540&gt;=70,4,IF(P540+Q540&gt;=60,3.5,IF(P540+Q540&gt;=50,3,IF(P540+Q540&gt;=40,2,IF(P540+Q540&gt;=33,1,0)))))))</f>
        <v/>
      </c>
      <c r="AJ540">
        <f>IF(R540&lt;8.25,0,IF(R540*2&gt;=80,5,IF(R540*2&gt;=70,4,IF(R540*2&gt;=60,3.5,IF(R540*2&gt;=50,3,IF(R540*2&gt;=40,2,IF(R540*2&gt;=33,1,0)))))))</f>
        <v/>
      </c>
      <c r="AK540">
        <f>IF(S540&lt;33,0,IF(S540&gt;=80,5,IF(S540&gt;=70,4,IF(S540&gt;=60,3.5,IF(S540&gt;=50,3,IF(S540&gt;=40,2,IF(S540&gt;=33,1,0)))))))</f>
        <v/>
      </c>
      <c r="AL540">
        <f>(AC540+AD540+AE540+AF540+AG540+AH540+AI540+AJ540)/8</f>
        <v/>
      </c>
      <c r="AM540">
        <f>IF(AK540&gt;=2,(AK540-2)/8,0)</f>
        <v/>
      </c>
    </row>
    <row r="541">
      <c r="T541">
        <f>SUM(C541:R541)</f>
        <v/>
      </c>
      <c r="U541" s="6">
        <f>ROUND(T541/11.5,2)</f>
        <v/>
      </c>
      <c r="V541" s="7">
        <f>IF(B541="","",IF(AB541,0,ROUND(AL541,2)))</f>
        <v/>
      </c>
      <c r="W541" s="7">
        <f>IF(B541="","",IF(AB541,0,MIN(5,ROUND(AL541+AM541,2))))</f>
        <v/>
      </c>
      <c r="X541" s="8">
        <f>IF(B541="","",IF(W541&gt;=5,"A+",IF(W541&gt;=4,"A",IF(W541&gt;=3.5,"A-",IF(W541&gt;=3,"B",IF(W541&gt;=2,"C",IF(W541&gt;=1,"D","F")))))))</f>
        <v/>
      </c>
      <c r="Y541">
        <f>NOT(OR(AND(J541&gt;=10,K541&gt;=23,L541&gt;=10,M541&gt;=23),AND(J541+L541&gt;=20,K541+M541&gt;=46)))</f>
        <v/>
      </c>
      <c r="Z541">
        <f>OR(N541&lt;10,O541&lt;23)</f>
        <v/>
      </c>
      <c r="AA541">
        <f>OR(P541&lt;10,Q541&lt;23)</f>
        <v/>
      </c>
      <c r="AB541">
        <f>OR((C541+D541)&lt;66,(E541+F541)&lt;66,G541&lt;33,(H541+I541)&lt;66,Y541,Z541,AA541,R541&lt;8.25)</f>
        <v/>
      </c>
      <c r="AC541">
        <f>IF(C541+D541&lt;66,0,IF((C541+D541)/2&gt;=80,5,IF((C541+D541)/2&gt;=70,4,IF((C541+D541)/2&gt;=60,3.5,IF((C541+D541)/2&gt;=50,3,IF((C541+D541)/2&gt;=40,2,IF((C541+D541)/2&gt;=33,1,0)))))))</f>
        <v/>
      </c>
      <c r="AD541">
        <f>IF(E541+F541&lt;66,0,IF((E541+F541)/2&gt;=80,5,IF((E541+F541)/2&gt;=70,4,IF((E541+F541)/2&gt;=60,3.5,IF((E541+F541)/2&gt;=50,3,IF((E541+F541)/2&gt;=40,2,IF((E541+F541)/2&gt;=33,1,0)))))))</f>
        <v/>
      </c>
      <c r="AE541">
        <f>IF(G541&lt;33,0,IF(G541&gt;=80,5,IF(G541&gt;=70,4,IF(G541&gt;=60,3.5,IF(G541&gt;=50,3,IF(G541&gt;=40,2,IF(G541&gt;=33,1,0)))))))</f>
        <v/>
      </c>
      <c r="AF541">
        <f>IF(H541+I541&lt;66,0,IF((H541+I541)/2&gt;=80,5,IF((H541+I541)/2&gt;=70,4,IF((H541+I541)/2&gt;=60,3.5,IF((H541+I541)/2&gt;=50,3,IF((H541+I541)/2&gt;=40,2,IF((H541+I541)/2&gt;=33,1,0)))))))</f>
        <v/>
      </c>
      <c r="AG541">
        <f>IF(Y541,0,IF((J541+K541+L541+M541)/2&gt;=80,5,IF((J541+K541+L541+M541)/2&gt;=70,4,IF((J541+K541+L541+M541)/2&gt;=60,3.5,IF((J541+K541+L541+M541)/2&gt;=50,3,IF((J541+K541+L541+M541)/2&gt;=40,2,IF((J541+K541+L541+M541)/2&gt;=33,1,0)))))))</f>
        <v/>
      </c>
      <c r="AH541">
        <f>IF(Z541,0,IF(N541+O541&gt;=80,5,IF(N541+O541&gt;=70,4,IF(N541+O541&gt;=60,3.5,IF(N541+O541&gt;=50,3,IF(N541+O541&gt;=40,2,IF(N541+O541&gt;=33,1,0)))))))</f>
        <v/>
      </c>
      <c r="AI541">
        <f>IF(AA541,0,IF(P541+Q541&gt;=80,5,IF(P541+Q541&gt;=70,4,IF(P541+Q541&gt;=60,3.5,IF(P541+Q541&gt;=50,3,IF(P541+Q541&gt;=40,2,IF(P541+Q541&gt;=33,1,0)))))))</f>
        <v/>
      </c>
      <c r="AJ541">
        <f>IF(R541&lt;8.25,0,IF(R541*2&gt;=80,5,IF(R541*2&gt;=70,4,IF(R541*2&gt;=60,3.5,IF(R541*2&gt;=50,3,IF(R541*2&gt;=40,2,IF(R541*2&gt;=33,1,0)))))))</f>
        <v/>
      </c>
      <c r="AK541">
        <f>IF(S541&lt;33,0,IF(S541&gt;=80,5,IF(S541&gt;=70,4,IF(S541&gt;=60,3.5,IF(S541&gt;=50,3,IF(S541&gt;=40,2,IF(S541&gt;=33,1,0)))))))</f>
        <v/>
      </c>
      <c r="AL541">
        <f>(AC541+AD541+AE541+AF541+AG541+AH541+AI541+AJ541)/8</f>
        <v/>
      </c>
      <c r="AM541">
        <f>IF(AK541&gt;=2,(AK541-2)/8,0)</f>
        <v/>
      </c>
    </row>
    <row r="542">
      <c r="T542">
        <f>SUM(C542:R542)</f>
        <v/>
      </c>
      <c r="U542" s="6">
        <f>ROUND(T542/11.5,2)</f>
        <v/>
      </c>
      <c r="V542" s="7">
        <f>IF(B542="","",IF(AB542,0,ROUND(AL542,2)))</f>
        <v/>
      </c>
      <c r="W542" s="7">
        <f>IF(B542="","",IF(AB542,0,MIN(5,ROUND(AL542+AM542,2))))</f>
        <v/>
      </c>
      <c r="X542" s="8">
        <f>IF(B542="","",IF(W542&gt;=5,"A+",IF(W542&gt;=4,"A",IF(W542&gt;=3.5,"A-",IF(W542&gt;=3,"B",IF(W542&gt;=2,"C",IF(W542&gt;=1,"D","F")))))))</f>
        <v/>
      </c>
      <c r="Y542">
        <f>NOT(OR(AND(J542&gt;=10,K542&gt;=23,L542&gt;=10,M542&gt;=23),AND(J542+L542&gt;=20,K542+M542&gt;=46)))</f>
        <v/>
      </c>
      <c r="Z542">
        <f>OR(N542&lt;10,O542&lt;23)</f>
        <v/>
      </c>
      <c r="AA542">
        <f>OR(P542&lt;10,Q542&lt;23)</f>
        <v/>
      </c>
      <c r="AB542">
        <f>OR((C542+D542)&lt;66,(E542+F542)&lt;66,G542&lt;33,(H542+I542)&lt;66,Y542,Z542,AA542,R542&lt;8.25)</f>
        <v/>
      </c>
      <c r="AC542">
        <f>IF(C542+D542&lt;66,0,IF((C542+D542)/2&gt;=80,5,IF((C542+D542)/2&gt;=70,4,IF((C542+D542)/2&gt;=60,3.5,IF((C542+D542)/2&gt;=50,3,IF((C542+D542)/2&gt;=40,2,IF((C542+D542)/2&gt;=33,1,0)))))))</f>
        <v/>
      </c>
      <c r="AD542">
        <f>IF(E542+F542&lt;66,0,IF((E542+F542)/2&gt;=80,5,IF((E542+F542)/2&gt;=70,4,IF((E542+F542)/2&gt;=60,3.5,IF((E542+F542)/2&gt;=50,3,IF((E542+F542)/2&gt;=40,2,IF((E542+F542)/2&gt;=33,1,0)))))))</f>
        <v/>
      </c>
      <c r="AE542">
        <f>IF(G542&lt;33,0,IF(G542&gt;=80,5,IF(G542&gt;=70,4,IF(G542&gt;=60,3.5,IF(G542&gt;=50,3,IF(G542&gt;=40,2,IF(G542&gt;=33,1,0)))))))</f>
        <v/>
      </c>
      <c r="AF542">
        <f>IF(H542+I542&lt;66,0,IF((H542+I542)/2&gt;=80,5,IF((H542+I542)/2&gt;=70,4,IF((H542+I542)/2&gt;=60,3.5,IF((H542+I542)/2&gt;=50,3,IF((H542+I542)/2&gt;=40,2,IF((H542+I542)/2&gt;=33,1,0)))))))</f>
        <v/>
      </c>
      <c r="AG542">
        <f>IF(Y542,0,IF((J542+K542+L542+M542)/2&gt;=80,5,IF((J542+K542+L542+M542)/2&gt;=70,4,IF((J542+K542+L542+M542)/2&gt;=60,3.5,IF((J542+K542+L542+M542)/2&gt;=50,3,IF((J542+K542+L542+M542)/2&gt;=40,2,IF((J542+K542+L542+M542)/2&gt;=33,1,0)))))))</f>
        <v/>
      </c>
      <c r="AH542">
        <f>IF(Z542,0,IF(N542+O542&gt;=80,5,IF(N542+O542&gt;=70,4,IF(N542+O542&gt;=60,3.5,IF(N542+O542&gt;=50,3,IF(N542+O542&gt;=40,2,IF(N542+O542&gt;=33,1,0)))))))</f>
        <v/>
      </c>
      <c r="AI542">
        <f>IF(AA542,0,IF(P542+Q542&gt;=80,5,IF(P542+Q542&gt;=70,4,IF(P542+Q542&gt;=60,3.5,IF(P542+Q542&gt;=50,3,IF(P542+Q542&gt;=40,2,IF(P542+Q542&gt;=33,1,0)))))))</f>
        <v/>
      </c>
      <c r="AJ542">
        <f>IF(R542&lt;8.25,0,IF(R542*2&gt;=80,5,IF(R542*2&gt;=70,4,IF(R542*2&gt;=60,3.5,IF(R542*2&gt;=50,3,IF(R542*2&gt;=40,2,IF(R542*2&gt;=33,1,0)))))))</f>
        <v/>
      </c>
      <c r="AK542">
        <f>IF(S542&lt;33,0,IF(S542&gt;=80,5,IF(S542&gt;=70,4,IF(S542&gt;=60,3.5,IF(S542&gt;=50,3,IF(S542&gt;=40,2,IF(S542&gt;=33,1,0)))))))</f>
        <v/>
      </c>
      <c r="AL542">
        <f>(AC542+AD542+AE542+AF542+AG542+AH542+AI542+AJ542)/8</f>
        <v/>
      </c>
      <c r="AM542">
        <f>IF(AK542&gt;=2,(AK542-2)/8,0)</f>
        <v/>
      </c>
    </row>
    <row r="543">
      <c r="T543">
        <f>SUM(C543:R543)</f>
        <v/>
      </c>
      <c r="U543" s="6">
        <f>ROUND(T543/11.5,2)</f>
        <v/>
      </c>
      <c r="V543" s="7">
        <f>IF(B543="","",IF(AB543,0,ROUND(AL543,2)))</f>
        <v/>
      </c>
      <c r="W543" s="7">
        <f>IF(B543="","",IF(AB543,0,MIN(5,ROUND(AL543+AM543,2))))</f>
        <v/>
      </c>
      <c r="X543" s="8">
        <f>IF(B543="","",IF(W543&gt;=5,"A+",IF(W543&gt;=4,"A",IF(W543&gt;=3.5,"A-",IF(W543&gt;=3,"B",IF(W543&gt;=2,"C",IF(W543&gt;=1,"D","F")))))))</f>
        <v/>
      </c>
      <c r="Y543">
        <f>NOT(OR(AND(J543&gt;=10,K543&gt;=23,L543&gt;=10,M543&gt;=23),AND(J543+L543&gt;=20,K543+M543&gt;=46)))</f>
        <v/>
      </c>
      <c r="Z543">
        <f>OR(N543&lt;10,O543&lt;23)</f>
        <v/>
      </c>
      <c r="AA543">
        <f>OR(P543&lt;10,Q543&lt;23)</f>
        <v/>
      </c>
      <c r="AB543">
        <f>OR((C543+D543)&lt;66,(E543+F543)&lt;66,G543&lt;33,(H543+I543)&lt;66,Y543,Z543,AA543,R543&lt;8.25)</f>
        <v/>
      </c>
      <c r="AC543">
        <f>IF(C543+D543&lt;66,0,IF((C543+D543)/2&gt;=80,5,IF((C543+D543)/2&gt;=70,4,IF((C543+D543)/2&gt;=60,3.5,IF((C543+D543)/2&gt;=50,3,IF((C543+D543)/2&gt;=40,2,IF((C543+D543)/2&gt;=33,1,0)))))))</f>
        <v/>
      </c>
      <c r="AD543">
        <f>IF(E543+F543&lt;66,0,IF((E543+F543)/2&gt;=80,5,IF((E543+F543)/2&gt;=70,4,IF((E543+F543)/2&gt;=60,3.5,IF((E543+F543)/2&gt;=50,3,IF((E543+F543)/2&gt;=40,2,IF((E543+F543)/2&gt;=33,1,0)))))))</f>
        <v/>
      </c>
      <c r="AE543">
        <f>IF(G543&lt;33,0,IF(G543&gt;=80,5,IF(G543&gt;=70,4,IF(G543&gt;=60,3.5,IF(G543&gt;=50,3,IF(G543&gt;=40,2,IF(G543&gt;=33,1,0)))))))</f>
        <v/>
      </c>
      <c r="AF543">
        <f>IF(H543+I543&lt;66,0,IF((H543+I543)/2&gt;=80,5,IF((H543+I543)/2&gt;=70,4,IF((H543+I543)/2&gt;=60,3.5,IF((H543+I543)/2&gt;=50,3,IF((H543+I543)/2&gt;=40,2,IF((H543+I543)/2&gt;=33,1,0)))))))</f>
        <v/>
      </c>
      <c r="AG543">
        <f>IF(Y543,0,IF((J543+K543+L543+M543)/2&gt;=80,5,IF((J543+K543+L543+M543)/2&gt;=70,4,IF((J543+K543+L543+M543)/2&gt;=60,3.5,IF((J543+K543+L543+M543)/2&gt;=50,3,IF((J543+K543+L543+M543)/2&gt;=40,2,IF((J543+K543+L543+M543)/2&gt;=33,1,0)))))))</f>
        <v/>
      </c>
      <c r="AH543">
        <f>IF(Z543,0,IF(N543+O543&gt;=80,5,IF(N543+O543&gt;=70,4,IF(N543+O543&gt;=60,3.5,IF(N543+O543&gt;=50,3,IF(N543+O543&gt;=40,2,IF(N543+O543&gt;=33,1,0)))))))</f>
        <v/>
      </c>
      <c r="AI543">
        <f>IF(AA543,0,IF(P543+Q543&gt;=80,5,IF(P543+Q543&gt;=70,4,IF(P543+Q543&gt;=60,3.5,IF(P543+Q543&gt;=50,3,IF(P543+Q543&gt;=40,2,IF(P543+Q543&gt;=33,1,0)))))))</f>
        <v/>
      </c>
      <c r="AJ543">
        <f>IF(R543&lt;8.25,0,IF(R543*2&gt;=80,5,IF(R543*2&gt;=70,4,IF(R543*2&gt;=60,3.5,IF(R543*2&gt;=50,3,IF(R543*2&gt;=40,2,IF(R543*2&gt;=33,1,0)))))))</f>
        <v/>
      </c>
      <c r="AK543">
        <f>IF(S543&lt;33,0,IF(S543&gt;=80,5,IF(S543&gt;=70,4,IF(S543&gt;=60,3.5,IF(S543&gt;=50,3,IF(S543&gt;=40,2,IF(S543&gt;=33,1,0)))))))</f>
        <v/>
      </c>
      <c r="AL543">
        <f>(AC543+AD543+AE543+AF543+AG543+AH543+AI543+AJ543)/8</f>
        <v/>
      </c>
      <c r="AM543">
        <f>IF(AK543&gt;=2,(AK543-2)/8,0)</f>
        <v/>
      </c>
    </row>
    <row r="544">
      <c r="T544">
        <f>SUM(C544:R544)</f>
        <v/>
      </c>
      <c r="U544" s="6">
        <f>ROUND(T544/11.5,2)</f>
        <v/>
      </c>
      <c r="V544" s="7">
        <f>IF(B544="","",IF(AB544,0,ROUND(AL544,2)))</f>
        <v/>
      </c>
      <c r="W544" s="7">
        <f>IF(B544="","",IF(AB544,0,MIN(5,ROUND(AL544+AM544,2))))</f>
        <v/>
      </c>
      <c r="X544" s="8">
        <f>IF(B544="","",IF(W544&gt;=5,"A+",IF(W544&gt;=4,"A",IF(W544&gt;=3.5,"A-",IF(W544&gt;=3,"B",IF(W544&gt;=2,"C",IF(W544&gt;=1,"D","F")))))))</f>
        <v/>
      </c>
      <c r="Y544">
        <f>NOT(OR(AND(J544&gt;=10,K544&gt;=23,L544&gt;=10,M544&gt;=23),AND(J544+L544&gt;=20,K544+M544&gt;=46)))</f>
        <v/>
      </c>
      <c r="Z544">
        <f>OR(N544&lt;10,O544&lt;23)</f>
        <v/>
      </c>
      <c r="AA544">
        <f>OR(P544&lt;10,Q544&lt;23)</f>
        <v/>
      </c>
      <c r="AB544">
        <f>OR((C544+D544)&lt;66,(E544+F544)&lt;66,G544&lt;33,(H544+I544)&lt;66,Y544,Z544,AA544,R544&lt;8.25)</f>
        <v/>
      </c>
      <c r="AC544">
        <f>IF(C544+D544&lt;66,0,IF((C544+D544)/2&gt;=80,5,IF((C544+D544)/2&gt;=70,4,IF((C544+D544)/2&gt;=60,3.5,IF((C544+D544)/2&gt;=50,3,IF((C544+D544)/2&gt;=40,2,IF((C544+D544)/2&gt;=33,1,0)))))))</f>
        <v/>
      </c>
      <c r="AD544">
        <f>IF(E544+F544&lt;66,0,IF((E544+F544)/2&gt;=80,5,IF((E544+F544)/2&gt;=70,4,IF((E544+F544)/2&gt;=60,3.5,IF((E544+F544)/2&gt;=50,3,IF((E544+F544)/2&gt;=40,2,IF((E544+F544)/2&gt;=33,1,0)))))))</f>
        <v/>
      </c>
      <c r="AE544">
        <f>IF(G544&lt;33,0,IF(G544&gt;=80,5,IF(G544&gt;=70,4,IF(G544&gt;=60,3.5,IF(G544&gt;=50,3,IF(G544&gt;=40,2,IF(G544&gt;=33,1,0)))))))</f>
        <v/>
      </c>
      <c r="AF544">
        <f>IF(H544+I544&lt;66,0,IF((H544+I544)/2&gt;=80,5,IF((H544+I544)/2&gt;=70,4,IF((H544+I544)/2&gt;=60,3.5,IF((H544+I544)/2&gt;=50,3,IF((H544+I544)/2&gt;=40,2,IF((H544+I544)/2&gt;=33,1,0)))))))</f>
        <v/>
      </c>
      <c r="AG544">
        <f>IF(Y544,0,IF((J544+K544+L544+M544)/2&gt;=80,5,IF((J544+K544+L544+M544)/2&gt;=70,4,IF((J544+K544+L544+M544)/2&gt;=60,3.5,IF((J544+K544+L544+M544)/2&gt;=50,3,IF((J544+K544+L544+M544)/2&gt;=40,2,IF((J544+K544+L544+M544)/2&gt;=33,1,0)))))))</f>
        <v/>
      </c>
      <c r="AH544">
        <f>IF(Z544,0,IF(N544+O544&gt;=80,5,IF(N544+O544&gt;=70,4,IF(N544+O544&gt;=60,3.5,IF(N544+O544&gt;=50,3,IF(N544+O544&gt;=40,2,IF(N544+O544&gt;=33,1,0)))))))</f>
        <v/>
      </c>
      <c r="AI544">
        <f>IF(AA544,0,IF(P544+Q544&gt;=80,5,IF(P544+Q544&gt;=70,4,IF(P544+Q544&gt;=60,3.5,IF(P544+Q544&gt;=50,3,IF(P544+Q544&gt;=40,2,IF(P544+Q544&gt;=33,1,0)))))))</f>
        <v/>
      </c>
      <c r="AJ544">
        <f>IF(R544&lt;8.25,0,IF(R544*2&gt;=80,5,IF(R544*2&gt;=70,4,IF(R544*2&gt;=60,3.5,IF(R544*2&gt;=50,3,IF(R544*2&gt;=40,2,IF(R544*2&gt;=33,1,0)))))))</f>
        <v/>
      </c>
      <c r="AK544">
        <f>IF(S544&lt;33,0,IF(S544&gt;=80,5,IF(S544&gt;=70,4,IF(S544&gt;=60,3.5,IF(S544&gt;=50,3,IF(S544&gt;=40,2,IF(S544&gt;=33,1,0)))))))</f>
        <v/>
      </c>
      <c r="AL544">
        <f>(AC544+AD544+AE544+AF544+AG544+AH544+AI544+AJ544)/8</f>
        <v/>
      </c>
      <c r="AM544">
        <f>IF(AK544&gt;=2,(AK544-2)/8,0)</f>
        <v/>
      </c>
    </row>
    <row r="545">
      <c r="T545">
        <f>SUM(C545:R545)</f>
        <v/>
      </c>
      <c r="U545" s="6">
        <f>ROUND(T545/11.5,2)</f>
        <v/>
      </c>
      <c r="V545" s="7">
        <f>IF(B545="","",IF(AB545,0,ROUND(AL545,2)))</f>
        <v/>
      </c>
      <c r="W545" s="7">
        <f>IF(B545="","",IF(AB545,0,MIN(5,ROUND(AL545+AM545,2))))</f>
        <v/>
      </c>
      <c r="X545" s="8">
        <f>IF(B545="","",IF(W545&gt;=5,"A+",IF(W545&gt;=4,"A",IF(W545&gt;=3.5,"A-",IF(W545&gt;=3,"B",IF(W545&gt;=2,"C",IF(W545&gt;=1,"D","F")))))))</f>
        <v/>
      </c>
      <c r="Y545">
        <f>NOT(OR(AND(J545&gt;=10,K545&gt;=23,L545&gt;=10,M545&gt;=23),AND(J545+L545&gt;=20,K545+M545&gt;=46)))</f>
        <v/>
      </c>
      <c r="Z545">
        <f>OR(N545&lt;10,O545&lt;23)</f>
        <v/>
      </c>
      <c r="AA545">
        <f>OR(P545&lt;10,Q545&lt;23)</f>
        <v/>
      </c>
      <c r="AB545">
        <f>OR((C545+D545)&lt;66,(E545+F545)&lt;66,G545&lt;33,(H545+I545)&lt;66,Y545,Z545,AA545,R545&lt;8.25)</f>
        <v/>
      </c>
      <c r="AC545">
        <f>IF(C545+D545&lt;66,0,IF((C545+D545)/2&gt;=80,5,IF((C545+D545)/2&gt;=70,4,IF((C545+D545)/2&gt;=60,3.5,IF((C545+D545)/2&gt;=50,3,IF((C545+D545)/2&gt;=40,2,IF((C545+D545)/2&gt;=33,1,0)))))))</f>
        <v/>
      </c>
      <c r="AD545">
        <f>IF(E545+F545&lt;66,0,IF((E545+F545)/2&gt;=80,5,IF((E545+F545)/2&gt;=70,4,IF((E545+F545)/2&gt;=60,3.5,IF((E545+F545)/2&gt;=50,3,IF((E545+F545)/2&gt;=40,2,IF((E545+F545)/2&gt;=33,1,0)))))))</f>
        <v/>
      </c>
      <c r="AE545">
        <f>IF(G545&lt;33,0,IF(G545&gt;=80,5,IF(G545&gt;=70,4,IF(G545&gt;=60,3.5,IF(G545&gt;=50,3,IF(G545&gt;=40,2,IF(G545&gt;=33,1,0)))))))</f>
        <v/>
      </c>
      <c r="AF545">
        <f>IF(H545+I545&lt;66,0,IF((H545+I545)/2&gt;=80,5,IF((H545+I545)/2&gt;=70,4,IF((H545+I545)/2&gt;=60,3.5,IF((H545+I545)/2&gt;=50,3,IF((H545+I545)/2&gt;=40,2,IF((H545+I545)/2&gt;=33,1,0)))))))</f>
        <v/>
      </c>
      <c r="AG545">
        <f>IF(Y545,0,IF((J545+K545+L545+M545)/2&gt;=80,5,IF((J545+K545+L545+M545)/2&gt;=70,4,IF((J545+K545+L545+M545)/2&gt;=60,3.5,IF((J545+K545+L545+M545)/2&gt;=50,3,IF((J545+K545+L545+M545)/2&gt;=40,2,IF((J545+K545+L545+M545)/2&gt;=33,1,0)))))))</f>
        <v/>
      </c>
      <c r="AH545">
        <f>IF(Z545,0,IF(N545+O545&gt;=80,5,IF(N545+O545&gt;=70,4,IF(N545+O545&gt;=60,3.5,IF(N545+O545&gt;=50,3,IF(N545+O545&gt;=40,2,IF(N545+O545&gt;=33,1,0)))))))</f>
        <v/>
      </c>
      <c r="AI545">
        <f>IF(AA545,0,IF(P545+Q545&gt;=80,5,IF(P545+Q545&gt;=70,4,IF(P545+Q545&gt;=60,3.5,IF(P545+Q545&gt;=50,3,IF(P545+Q545&gt;=40,2,IF(P545+Q545&gt;=33,1,0)))))))</f>
        <v/>
      </c>
      <c r="AJ545">
        <f>IF(R545&lt;8.25,0,IF(R545*2&gt;=80,5,IF(R545*2&gt;=70,4,IF(R545*2&gt;=60,3.5,IF(R545*2&gt;=50,3,IF(R545*2&gt;=40,2,IF(R545*2&gt;=33,1,0)))))))</f>
        <v/>
      </c>
      <c r="AK545">
        <f>IF(S545&lt;33,0,IF(S545&gt;=80,5,IF(S545&gt;=70,4,IF(S545&gt;=60,3.5,IF(S545&gt;=50,3,IF(S545&gt;=40,2,IF(S545&gt;=33,1,0)))))))</f>
        <v/>
      </c>
      <c r="AL545">
        <f>(AC545+AD545+AE545+AF545+AG545+AH545+AI545+AJ545)/8</f>
        <v/>
      </c>
      <c r="AM545">
        <f>IF(AK545&gt;=2,(AK545-2)/8,0)</f>
        <v/>
      </c>
    </row>
    <row r="546">
      <c r="T546">
        <f>SUM(C546:R546)</f>
        <v/>
      </c>
      <c r="U546" s="6">
        <f>ROUND(T546/11.5,2)</f>
        <v/>
      </c>
      <c r="V546" s="7">
        <f>IF(B546="","",IF(AB546,0,ROUND(AL546,2)))</f>
        <v/>
      </c>
      <c r="W546" s="7">
        <f>IF(B546="","",IF(AB546,0,MIN(5,ROUND(AL546+AM546,2))))</f>
        <v/>
      </c>
      <c r="X546" s="8">
        <f>IF(B546="","",IF(W546&gt;=5,"A+",IF(W546&gt;=4,"A",IF(W546&gt;=3.5,"A-",IF(W546&gt;=3,"B",IF(W546&gt;=2,"C",IF(W546&gt;=1,"D","F")))))))</f>
        <v/>
      </c>
      <c r="Y546">
        <f>NOT(OR(AND(J546&gt;=10,K546&gt;=23,L546&gt;=10,M546&gt;=23),AND(J546+L546&gt;=20,K546+M546&gt;=46)))</f>
        <v/>
      </c>
      <c r="Z546">
        <f>OR(N546&lt;10,O546&lt;23)</f>
        <v/>
      </c>
      <c r="AA546">
        <f>OR(P546&lt;10,Q546&lt;23)</f>
        <v/>
      </c>
      <c r="AB546">
        <f>OR((C546+D546)&lt;66,(E546+F546)&lt;66,G546&lt;33,(H546+I546)&lt;66,Y546,Z546,AA546,R546&lt;8.25)</f>
        <v/>
      </c>
      <c r="AC546">
        <f>IF(C546+D546&lt;66,0,IF((C546+D546)/2&gt;=80,5,IF((C546+D546)/2&gt;=70,4,IF((C546+D546)/2&gt;=60,3.5,IF((C546+D546)/2&gt;=50,3,IF((C546+D546)/2&gt;=40,2,IF((C546+D546)/2&gt;=33,1,0)))))))</f>
        <v/>
      </c>
      <c r="AD546">
        <f>IF(E546+F546&lt;66,0,IF((E546+F546)/2&gt;=80,5,IF((E546+F546)/2&gt;=70,4,IF((E546+F546)/2&gt;=60,3.5,IF((E546+F546)/2&gt;=50,3,IF((E546+F546)/2&gt;=40,2,IF((E546+F546)/2&gt;=33,1,0)))))))</f>
        <v/>
      </c>
      <c r="AE546">
        <f>IF(G546&lt;33,0,IF(G546&gt;=80,5,IF(G546&gt;=70,4,IF(G546&gt;=60,3.5,IF(G546&gt;=50,3,IF(G546&gt;=40,2,IF(G546&gt;=33,1,0)))))))</f>
        <v/>
      </c>
      <c r="AF546">
        <f>IF(H546+I546&lt;66,0,IF((H546+I546)/2&gt;=80,5,IF((H546+I546)/2&gt;=70,4,IF((H546+I546)/2&gt;=60,3.5,IF((H546+I546)/2&gt;=50,3,IF((H546+I546)/2&gt;=40,2,IF((H546+I546)/2&gt;=33,1,0)))))))</f>
        <v/>
      </c>
      <c r="AG546">
        <f>IF(Y546,0,IF((J546+K546+L546+M546)/2&gt;=80,5,IF((J546+K546+L546+M546)/2&gt;=70,4,IF((J546+K546+L546+M546)/2&gt;=60,3.5,IF((J546+K546+L546+M546)/2&gt;=50,3,IF((J546+K546+L546+M546)/2&gt;=40,2,IF((J546+K546+L546+M546)/2&gt;=33,1,0)))))))</f>
        <v/>
      </c>
      <c r="AH546">
        <f>IF(Z546,0,IF(N546+O546&gt;=80,5,IF(N546+O546&gt;=70,4,IF(N546+O546&gt;=60,3.5,IF(N546+O546&gt;=50,3,IF(N546+O546&gt;=40,2,IF(N546+O546&gt;=33,1,0)))))))</f>
        <v/>
      </c>
      <c r="AI546">
        <f>IF(AA546,0,IF(P546+Q546&gt;=80,5,IF(P546+Q546&gt;=70,4,IF(P546+Q546&gt;=60,3.5,IF(P546+Q546&gt;=50,3,IF(P546+Q546&gt;=40,2,IF(P546+Q546&gt;=33,1,0)))))))</f>
        <v/>
      </c>
      <c r="AJ546">
        <f>IF(R546&lt;8.25,0,IF(R546*2&gt;=80,5,IF(R546*2&gt;=70,4,IF(R546*2&gt;=60,3.5,IF(R546*2&gt;=50,3,IF(R546*2&gt;=40,2,IF(R546*2&gt;=33,1,0)))))))</f>
        <v/>
      </c>
      <c r="AK546">
        <f>IF(S546&lt;33,0,IF(S546&gt;=80,5,IF(S546&gt;=70,4,IF(S546&gt;=60,3.5,IF(S546&gt;=50,3,IF(S546&gt;=40,2,IF(S546&gt;=33,1,0)))))))</f>
        <v/>
      </c>
      <c r="AL546">
        <f>(AC546+AD546+AE546+AF546+AG546+AH546+AI546+AJ546)/8</f>
        <v/>
      </c>
      <c r="AM546">
        <f>IF(AK546&gt;=2,(AK546-2)/8,0)</f>
        <v/>
      </c>
    </row>
    <row r="547">
      <c r="T547">
        <f>SUM(C547:R547)</f>
        <v/>
      </c>
      <c r="U547" s="6">
        <f>ROUND(T547/11.5,2)</f>
        <v/>
      </c>
      <c r="V547" s="7">
        <f>IF(B547="","",IF(AB547,0,ROUND(AL547,2)))</f>
        <v/>
      </c>
      <c r="W547" s="7">
        <f>IF(B547="","",IF(AB547,0,MIN(5,ROUND(AL547+AM547,2))))</f>
        <v/>
      </c>
      <c r="X547" s="8">
        <f>IF(B547="","",IF(W547&gt;=5,"A+",IF(W547&gt;=4,"A",IF(W547&gt;=3.5,"A-",IF(W547&gt;=3,"B",IF(W547&gt;=2,"C",IF(W547&gt;=1,"D","F")))))))</f>
        <v/>
      </c>
      <c r="Y547">
        <f>NOT(OR(AND(J547&gt;=10,K547&gt;=23,L547&gt;=10,M547&gt;=23),AND(J547+L547&gt;=20,K547+M547&gt;=46)))</f>
        <v/>
      </c>
      <c r="Z547">
        <f>OR(N547&lt;10,O547&lt;23)</f>
        <v/>
      </c>
      <c r="AA547">
        <f>OR(P547&lt;10,Q547&lt;23)</f>
        <v/>
      </c>
      <c r="AB547">
        <f>OR((C547+D547)&lt;66,(E547+F547)&lt;66,G547&lt;33,(H547+I547)&lt;66,Y547,Z547,AA547,R547&lt;8.25)</f>
        <v/>
      </c>
      <c r="AC547">
        <f>IF(C547+D547&lt;66,0,IF((C547+D547)/2&gt;=80,5,IF((C547+D547)/2&gt;=70,4,IF((C547+D547)/2&gt;=60,3.5,IF((C547+D547)/2&gt;=50,3,IF((C547+D547)/2&gt;=40,2,IF((C547+D547)/2&gt;=33,1,0)))))))</f>
        <v/>
      </c>
      <c r="AD547">
        <f>IF(E547+F547&lt;66,0,IF((E547+F547)/2&gt;=80,5,IF((E547+F547)/2&gt;=70,4,IF((E547+F547)/2&gt;=60,3.5,IF((E547+F547)/2&gt;=50,3,IF((E547+F547)/2&gt;=40,2,IF((E547+F547)/2&gt;=33,1,0)))))))</f>
        <v/>
      </c>
      <c r="AE547">
        <f>IF(G547&lt;33,0,IF(G547&gt;=80,5,IF(G547&gt;=70,4,IF(G547&gt;=60,3.5,IF(G547&gt;=50,3,IF(G547&gt;=40,2,IF(G547&gt;=33,1,0)))))))</f>
        <v/>
      </c>
      <c r="AF547">
        <f>IF(H547+I547&lt;66,0,IF((H547+I547)/2&gt;=80,5,IF((H547+I547)/2&gt;=70,4,IF((H547+I547)/2&gt;=60,3.5,IF((H547+I547)/2&gt;=50,3,IF((H547+I547)/2&gt;=40,2,IF((H547+I547)/2&gt;=33,1,0)))))))</f>
        <v/>
      </c>
      <c r="AG547">
        <f>IF(Y547,0,IF((J547+K547+L547+M547)/2&gt;=80,5,IF((J547+K547+L547+M547)/2&gt;=70,4,IF((J547+K547+L547+M547)/2&gt;=60,3.5,IF((J547+K547+L547+M547)/2&gt;=50,3,IF((J547+K547+L547+M547)/2&gt;=40,2,IF((J547+K547+L547+M547)/2&gt;=33,1,0)))))))</f>
        <v/>
      </c>
      <c r="AH547">
        <f>IF(Z547,0,IF(N547+O547&gt;=80,5,IF(N547+O547&gt;=70,4,IF(N547+O547&gt;=60,3.5,IF(N547+O547&gt;=50,3,IF(N547+O547&gt;=40,2,IF(N547+O547&gt;=33,1,0)))))))</f>
        <v/>
      </c>
      <c r="AI547">
        <f>IF(AA547,0,IF(P547+Q547&gt;=80,5,IF(P547+Q547&gt;=70,4,IF(P547+Q547&gt;=60,3.5,IF(P547+Q547&gt;=50,3,IF(P547+Q547&gt;=40,2,IF(P547+Q547&gt;=33,1,0)))))))</f>
        <v/>
      </c>
      <c r="AJ547">
        <f>IF(R547&lt;8.25,0,IF(R547*2&gt;=80,5,IF(R547*2&gt;=70,4,IF(R547*2&gt;=60,3.5,IF(R547*2&gt;=50,3,IF(R547*2&gt;=40,2,IF(R547*2&gt;=33,1,0)))))))</f>
        <v/>
      </c>
      <c r="AK547">
        <f>IF(S547&lt;33,0,IF(S547&gt;=80,5,IF(S547&gt;=70,4,IF(S547&gt;=60,3.5,IF(S547&gt;=50,3,IF(S547&gt;=40,2,IF(S547&gt;=33,1,0)))))))</f>
        <v/>
      </c>
      <c r="AL547">
        <f>(AC547+AD547+AE547+AF547+AG547+AH547+AI547+AJ547)/8</f>
        <v/>
      </c>
      <c r="AM547">
        <f>IF(AK547&gt;=2,(AK547-2)/8,0)</f>
        <v/>
      </c>
    </row>
    <row r="548">
      <c r="T548">
        <f>SUM(C548:R548)</f>
        <v/>
      </c>
      <c r="U548" s="6">
        <f>ROUND(T548/11.5,2)</f>
        <v/>
      </c>
      <c r="V548" s="7">
        <f>IF(B548="","",IF(AB548,0,ROUND(AL548,2)))</f>
        <v/>
      </c>
      <c r="W548" s="7">
        <f>IF(B548="","",IF(AB548,0,MIN(5,ROUND(AL548+AM548,2))))</f>
        <v/>
      </c>
      <c r="X548" s="8">
        <f>IF(B548="","",IF(W548&gt;=5,"A+",IF(W548&gt;=4,"A",IF(W548&gt;=3.5,"A-",IF(W548&gt;=3,"B",IF(W548&gt;=2,"C",IF(W548&gt;=1,"D","F")))))))</f>
        <v/>
      </c>
      <c r="Y548">
        <f>NOT(OR(AND(J548&gt;=10,K548&gt;=23,L548&gt;=10,M548&gt;=23),AND(J548+L548&gt;=20,K548+M548&gt;=46)))</f>
        <v/>
      </c>
      <c r="Z548">
        <f>OR(N548&lt;10,O548&lt;23)</f>
        <v/>
      </c>
      <c r="AA548">
        <f>OR(P548&lt;10,Q548&lt;23)</f>
        <v/>
      </c>
      <c r="AB548">
        <f>OR((C548+D548)&lt;66,(E548+F548)&lt;66,G548&lt;33,(H548+I548)&lt;66,Y548,Z548,AA548,R548&lt;8.25)</f>
        <v/>
      </c>
      <c r="AC548">
        <f>IF(C548+D548&lt;66,0,IF((C548+D548)/2&gt;=80,5,IF((C548+D548)/2&gt;=70,4,IF((C548+D548)/2&gt;=60,3.5,IF((C548+D548)/2&gt;=50,3,IF((C548+D548)/2&gt;=40,2,IF((C548+D548)/2&gt;=33,1,0)))))))</f>
        <v/>
      </c>
      <c r="AD548">
        <f>IF(E548+F548&lt;66,0,IF((E548+F548)/2&gt;=80,5,IF((E548+F548)/2&gt;=70,4,IF((E548+F548)/2&gt;=60,3.5,IF((E548+F548)/2&gt;=50,3,IF((E548+F548)/2&gt;=40,2,IF((E548+F548)/2&gt;=33,1,0)))))))</f>
        <v/>
      </c>
      <c r="AE548">
        <f>IF(G548&lt;33,0,IF(G548&gt;=80,5,IF(G548&gt;=70,4,IF(G548&gt;=60,3.5,IF(G548&gt;=50,3,IF(G548&gt;=40,2,IF(G548&gt;=33,1,0)))))))</f>
        <v/>
      </c>
      <c r="AF548">
        <f>IF(H548+I548&lt;66,0,IF((H548+I548)/2&gt;=80,5,IF((H548+I548)/2&gt;=70,4,IF((H548+I548)/2&gt;=60,3.5,IF((H548+I548)/2&gt;=50,3,IF((H548+I548)/2&gt;=40,2,IF((H548+I548)/2&gt;=33,1,0)))))))</f>
        <v/>
      </c>
      <c r="AG548">
        <f>IF(Y548,0,IF((J548+K548+L548+M548)/2&gt;=80,5,IF((J548+K548+L548+M548)/2&gt;=70,4,IF((J548+K548+L548+M548)/2&gt;=60,3.5,IF((J548+K548+L548+M548)/2&gt;=50,3,IF((J548+K548+L548+M548)/2&gt;=40,2,IF((J548+K548+L548+M548)/2&gt;=33,1,0)))))))</f>
        <v/>
      </c>
      <c r="AH548">
        <f>IF(Z548,0,IF(N548+O548&gt;=80,5,IF(N548+O548&gt;=70,4,IF(N548+O548&gt;=60,3.5,IF(N548+O548&gt;=50,3,IF(N548+O548&gt;=40,2,IF(N548+O548&gt;=33,1,0)))))))</f>
        <v/>
      </c>
      <c r="AI548">
        <f>IF(AA548,0,IF(P548+Q548&gt;=80,5,IF(P548+Q548&gt;=70,4,IF(P548+Q548&gt;=60,3.5,IF(P548+Q548&gt;=50,3,IF(P548+Q548&gt;=40,2,IF(P548+Q548&gt;=33,1,0)))))))</f>
        <v/>
      </c>
      <c r="AJ548">
        <f>IF(R548&lt;8.25,0,IF(R548*2&gt;=80,5,IF(R548*2&gt;=70,4,IF(R548*2&gt;=60,3.5,IF(R548*2&gt;=50,3,IF(R548*2&gt;=40,2,IF(R548*2&gt;=33,1,0)))))))</f>
        <v/>
      </c>
      <c r="AK548">
        <f>IF(S548&lt;33,0,IF(S548&gt;=80,5,IF(S548&gt;=70,4,IF(S548&gt;=60,3.5,IF(S548&gt;=50,3,IF(S548&gt;=40,2,IF(S548&gt;=33,1,0)))))))</f>
        <v/>
      </c>
      <c r="AL548">
        <f>(AC548+AD548+AE548+AF548+AG548+AH548+AI548+AJ548)/8</f>
        <v/>
      </c>
      <c r="AM548">
        <f>IF(AK548&gt;=2,(AK548-2)/8,0)</f>
        <v/>
      </c>
    </row>
    <row r="549">
      <c r="T549">
        <f>SUM(C549:R549)</f>
        <v/>
      </c>
      <c r="U549" s="6">
        <f>ROUND(T549/11.5,2)</f>
        <v/>
      </c>
      <c r="V549" s="7">
        <f>IF(B549="","",IF(AB549,0,ROUND(AL549,2)))</f>
        <v/>
      </c>
      <c r="W549" s="7">
        <f>IF(B549="","",IF(AB549,0,MIN(5,ROUND(AL549+AM549,2))))</f>
        <v/>
      </c>
      <c r="X549" s="8">
        <f>IF(B549="","",IF(W549&gt;=5,"A+",IF(W549&gt;=4,"A",IF(W549&gt;=3.5,"A-",IF(W549&gt;=3,"B",IF(W549&gt;=2,"C",IF(W549&gt;=1,"D","F")))))))</f>
        <v/>
      </c>
      <c r="Y549">
        <f>NOT(OR(AND(J549&gt;=10,K549&gt;=23,L549&gt;=10,M549&gt;=23),AND(J549+L549&gt;=20,K549+M549&gt;=46)))</f>
        <v/>
      </c>
      <c r="Z549">
        <f>OR(N549&lt;10,O549&lt;23)</f>
        <v/>
      </c>
      <c r="AA549">
        <f>OR(P549&lt;10,Q549&lt;23)</f>
        <v/>
      </c>
      <c r="AB549">
        <f>OR((C549+D549)&lt;66,(E549+F549)&lt;66,G549&lt;33,(H549+I549)&lt;66,Y549,Z549,AA549,R549&lt;8.25)</f>
        <v/>
      </c>
      <c r="AC549">
        <f>IF(C549+D549&lt;66,0,IF((C549+D549)/2&gt;=80,5,IF((C549+D549)/2&gt;=70,4,IF((C549+D549)/2&gt;=60,3.5,IF((C549+D549)/2&gt;=50,3,IF((C549+D549)/2&gt;=40,2,IF((C549+D549)/2&gt;=33,1,0)))))))</f>
        <v/>
      </c>
      <c r="AD549">
        <f>IF(E549+F549&lt;66,0,IF((E549+F549)/2&gt;=80,5,IF((E549+F549)/2&gt;=70,4,IF((E549+F549)/2&gt;=60,3.5,IF((E549+F549)/2&gt;=50,3,IF((E549+F549)/2&gt;=40,2,IF((E549+F549)/2&gt;=33,1,0)))))))</f>
        <v/>
      </c>
      <c r="AE549">
        <f>IF(G549&lt;33,0,IF(G549&gt;=80,5,IF(G549&gt;=70,4,IF(G549&gt;=60,3.5,IF(G549&gt;=50,3,IF(G549&gt;=40,2,IF(G549&gt;=33,1,0)))))))</f>
        <v/>
      </c>
      <c r="AF549">
        <f>IF(H549+I549&lt;66,0,IF((H549+I549)/2&gt;=80,5,IF((H549+I549)/2&gt;=70,4,IF((H549+I549)/2&gt;=60,3.5,IF((H549+I549)/2&gt;=50,3,IF((H549+I549)/2&gt;=40,2,IF((H549+I549)/2&gt;=33,1,0)))))))</f>
        <v/>
      </c>
      <c r="AG549">
        <f>IF(Y549,0,IF((J549+K549+L549+M549)/2&gt;=80,5,IF((J549+K549+L549+M549)/2&gt;=70,4,IF((J549+K549+L549+M549)/2&gt;=60,3.5,IF((J549+K549+L549+M549)/2&gt;=50,3,IF((J549+K549+L549+M549)/2&gt;=40,2,IF((J549+K549+L549+M549)/2&gt;=33,1,0)))))))</f>
        <v/>
      </c>
      <c r="AH549">
        <f>IF(Z549,0,IF(N549+O549&gt;=80,5,IF(N549+O549&gt;=70,4,IF(N549+O549&gt;=60,3.5,IF(N549+O549&gt;=50,3,IF(N549+O549&gt;=40,2,IF(N549+O549&gt;=33,1,0)))))))</f>
        <v/>
      </c>
      <c r="AI549">
        <f>IF(AA549,0,IF(P549+Q549&gt;=80,5,IF(P549+Q549&gt;=70,4,IF(P549+Q549&gt;=60,3.5,IF(P549+Q549&gt;=50,3,IF(P549+Q549&gt;=40,2,IF(P549+Q549&gt;=33,1,0)))))))</f>
        <v/>
      </c>
      <c r="AJ549">
        <f>IF(R549&lt;8.25,0,IF(R549*2&gt;=80,5,IF(R549*2&gt;=70,4,IF(R549*2&gt;=60,3.5,IF(R549*2&gt;=50,3,IF(R549*2&gt;=40,2,IF(R549*2&gt;=33,1,0)))))))</f>
        <v/>
      </c>
      <c r="AK549">
        <f>IF(S549&lt;33,0,IF(S549&gt;=80,5,IF(S549&gt;=70,4,IF(S549&gt;=60,3.5,IF(S549&gt;=50,3,IF(S549&gt;=40,2,IF(S549&gt;=33,1,0)))))))</f>
        <v/>
      </c>
      <c r="AL549">
        <f>(AC549+AD549+AE549+AF549+AG549+AH549+AI549+AJ549)/8</f>
        <v/>
      </c>
      <c r="AM549">
        <f>IF(AK549&gt;=2,(AK549-2)/8,0)</f>
        <v/>
      </c>
    </row>
    <row r="550">
      <c r="T550">
        <f>SUM(C550:R550)</f>
        <v/>
      </c>
      <c r="U550" s="6">
        <f>ROUND(T550/11.5,2)</f>
        <v/>
      </c>
      <c r="V550" s="7">
        <f>IF(B550="","",IF(AB550,0,ROUND(AL550,2)))</f>
        <v/>
      </c>
      <c r="W550" s="7">
        <f>IF(B550="","",IF(AB550,0,MIN(5,ROUND(AL550+AM550,2))))</f>
        <v/>
      </c>
      <c r="X550" s="8">
        <f>IF(B550="","",IF(W550&gt;=5,"A+",IF(W550&gt;=4,"A",IF(W550&gt;=3.5,"A-",IF(W550&gt;=3,"B",IF(W550&gt;=2,"C",IF(W550&gt;=1,"D","F")))))))</f>
        <v/>
      </c>
      <c r="Y550">
        <f>NOT(OR(AND(J550&gt;=10,K550&gt;=23,L550&gt;=10,M550&gt;=23),AND(J550+L550&gt;=20,K550+M550&gt;=46)))</f>
        <v/>
      </c>
      <c r="Z550">
        <f>OR(N550&lt;10,O550&lt;23)</f>
        <v/>
      </c>
      <c r="AA550">
        <f>OR(P550&lt;10,Q550&lt;23)</f>
        <v/>
      </c>
      <c r="AB550">
        <f>OR((C550+D550)&lt;66,(E550+F550)&lt;66,G550&lt;33,(H550+I550)&lt;66,Y550,Z550,AA550,R550&lt;8.25)</f>
        <v/>
      </c>
      <c r="AC550">
        <f>IF(C550+D550&lt;66,0,IF((C550+D550)/2&gt;=80,5,IF((C550+D550)/2&gt;=70,4,IF((C550+D550)/2&gt;=60,3.5,IF((C550+D550)/2&gt;=50,3,IF((C550+D550)/2&gt;=40,2,IF((C550+D550)/2&gt;=33,1,0)))))))</f>
        <v/>
      </c>
      <c r="AD550">
        <f>IF(E550+F550&lt;66,0,IF((E550+F550)/2&gt;=80,5,IF((E550+F550)/2&gt;=70,4,IF((E550+F550)/2&gt;=60,3.5,IF((E550+F550)/2&gt;=50,3,IF((E550+F550)/2&gt;=40,2,IF((E550+F550)/2&gt;=33,1,0)))))))</f>
        <v/>
      </c>
      <c r="AE550">
        <f>IF(G550&lt;33,0,IF(G550&gt;=80,5,IF(G550&gt;=70,4,IF(G550&gt;=60,3.5,IF(G550&gt;=50,3,IF(G550&gt;=40,2,IF(G550&gt;=33,1,0)))))))</f>
        <v/>
      </c>
      <c r="AF550">
        <f>IF(H550+I550&lt;66,0,IF((H550+I550)/2&gt;=80,5,IF((H550+I550)/2&gt;=70,4,IF((H550+I550)/2&gt;=60,3.5,IF((H550+I550)/2&gt;=50,3,IF((H550+I550)/2&gt;=40,2,IF((H550+I550)/2&gt;=33,1,0)))))))</f>
        <v/>
      </c>
      <c r="AG550">
        <f>IF(Y550,0,IF((J550+K550+L550+M550)/2&gt;=80,5,IF((J550+K550+L550+M550)/2&gt;=70,4,IF((J550+K550+L550+M550)/2&gt;=60,3.5,IF((J550+K550+L550+M550)/2&gt;=50,3,IF((J550+K550+L550+M550)/2&gt;=40,2,IF((J550+K550+L550+M550)/2&gt;=33,1,0)))))))</f>
        <v/>
      </c>
      <c r="AH550">
        <f>IF(Z550,0,IF(N550+O550&gt;=80,5,IF(N550+O550&gt;=70,4,IF(N550+O550&gt;=60,3.5,IF(N550+O550&gt;=50,3,IF(N550+O550&gt;=40,2,IF(N550+O550&gt;=33,1,0)))))))</f>
        <v/>
      </c>
      <c r="AI550">
        <f>IF(AA550,0,IF(P550+Q550&gt;=80,5,IF(P550+Q550&gt;=70,4,IF(P550+Q550&gt;=60,3.5,IF(P550+Q550&gt;=50,3,IF(P550+Q550&gt;=40,2,IF(P550+Q550&gt;=33,1,0)))))))</f>
        <v/>
      </c>
      <c r="AJ550">
        <f>IF(R550&lt;8.25,0,IF(R550*2&gt;=80,5,IF(R550*2&gt;=70,4,IF(R550*2&gt;=60,3.5,IF(R550*2&gt;=50,3,IF(R550*2&gt;=40,2,IF(R550*2&gt;=33,1,0)))))))</f>
        <v/>
      </c>
      <c r="AK550">
        <f>IF(S550&lt;33,0,IF(S550&gt;=80,5,IF(S550&gt;=70,4,IF(S550&gt;=60,3.5,IF(S550&gt;=50,3,IF(S550&gt;=40,2,IF(S550&gt;=33,1,0)))))))</f>
        <v/>
      </c>
      <c r="AL550">
        <f>(AC550+AD550+AE550+AF550+AG550+AH550+AI550+AJ550)/8</f>
        <v/>
      </c>
      <c r="AM550">
        <f>IF(AK550&gt;=2,(AK550-2)/8,0)</f>
        <v/>
      </c>
    </row>
    <row r="551">
      <c r="T551">
        <f>SUM(C551:R551)</f>
        <v/>
      </c>
      <c r="U551" s="6">
        <f>ROUND(T551/11.5,2)</f>
        <v/>
      </c>
      <c r="V551" s="7">
        <f>IF(B551="","",IF(AB551,0,ROUND(AL551,2)))</f>
        <v/>
      </c>
      <c r="W551" s="7">
        <f>IF(B551="","",IF(AB551,0,MIN(5,ROUND(AL551+AM551,2))))</f>
        <v/>
      </c>
      <c r="X551" s="8">
        <f>IF(B551="","",IF(W551&gt;=5,"A+",IF(W551&gt;=4,"A",IF(W551&gt;=3.5,"A-",IF(W551&gt;=3,"B",IF(W551&gt;=2,"C",IF(W551&gt;=1,"D","F")))))))</f>
        <v/>
      </c>
      <c r="Y551">
        <f>NOT(OR(AND(J551&gt;=10,K551&gt;=23,L551&gt;=10,M551&gt;=23),AND(J551+L551&gt;=20,K551+M551&gt;=46)))</f>
        <v/>
      </c>
      <c r="Z551">
        <f>OR(N551&lt;10,O551&lt;23)</f>
        <v/>
      </c>
      <c r="AA551">
        <f>OR(P551&lt;10,Q551&lt;23)</f>
        <v/>
      </c>
      <c r="AB551">
        <f>OR((C551+D551)&lt;66,(E551+F551)&lt;66,G551&lt;33,(H551+I551)&lt;66,Y551,Z551,AA551,R551&lt;8.25)</f>
        <v/>
      </c>
      <c r="AC551">
        <f>IF(C551+D551&lt;66,0,IF((C551+D551)/2&gt;=80,5,IF((C551+D551)/2&gt;=70,4,IF((C551+D551)/2&gt;=60,3.5,IF((C551+D551)/2&gt;=50,3,IF((C551+D551)/2&gt;=40,2,IF((C551+D551)/2&gt;=33,1,0)))))))</f>
        <v/>
      </c>
      <c r="AD551">
        <f>IF(E551+F551&lt;66,0,IF((E551+F551)/2&gt;=80,5,IF((E551+F551)/2&gt;=70,4,IF((E551+F551)/2&gt;=60,3.5,IF((E551+F551)/2&gt;=50,3,IF((E551+F551)/2&gt;=40,2,IF((E551+F551)/2&gt;=33,1,0)))))))</f>
        <v/>
      </c>
      <c r="AE551">
        <f>IF(G551&lt;33,0,IF(G551&gt;=80,5,IF(G551&gt;=70,4,IF(G551&gt;=60,3.5,IF(G551&gt;=50,3,IF(G551&gt;=40,2,IF(G551&gt;=33,1,0)))))))</f>
        <v/>
      </c>
      <c r="AF551">
        <f>IF(H551+I551&lt;66,0,IF((H551+I551)/2&gt;=80,5,IF((H551+I551)/2&gt;=70,4,IF((H551+I551)/2&gt;=60,3.5,IF((H551+I551)/2&gt;=50,3,IF((H551+I551)/2&gt;=40,2,IF((H551+I551)/2&gt;=33,1,0)))))))</f>
        <v/>
      </c>
      <c r="AG551">
        <f>IF(Y551,0,IF((J551+K551+L551+M551)/2&gt;=80,5,IF((J551+K551+L551+M551)/2&gt;=70,4,IF((J551+K551+L551+M551)/2&gt;=60,3.5,IF((J551+K551+L551+M551)/2&gt;=50,3,IF((J551+K551+L551+M551)/2&gt;=40,2,IF((J551+K551+L551+M551)/2&gt;=33,1,0)))))))</f>
        <v/>
      </c>
      <c r="AH551">
        <f>IF(Z551,0,IF(N551+O551&gt;=80,5,IF(N551+O551&gt;=70,4,IF(N551+O551&gt;=60,3.5,IF(N551+O551&gt;=50,3,IF(N551+O551&gt;=40,2,IF(N551+O551&gt;=33,1,0)))))))</f>
        <v/>
      </c>
      <c r="AI551">
        <f>IF(AA551,0,IF(P551+Q551&gt;=80,5,IF(P551+Q551&gt;=70,4,IF(P551+Q551&gt;=60,3.5,IF(P551+Q551&gt;=50,3,IF(P551+Q551&gt;=40,2,IF(P551+Q551&gt;=33,1,0)))))))</f>
        <v/>
      </c>
      <c r="AJ551">
        <f>IF(R551&lt;8.25,0,IF(R551*2&gt;=80,5,IF(R551*2&gt;=70,4,IF(R551*2&gt;=60,3.5,IF(R551*2&gt;=50,3,IF(R551*2&gt;=40,2,IF(R551*2&gt;=33,1,0)))))))</f>
        <v/>
      </c>
      <c r="AK551">
        <f>IF(S551&lt;33,0,IF(S551&gt;=80,5,IF(S551&gt;=70,4,IF(S551&gt;=60,3.5,IF(S551&gt;=50,3,IF(S551&gt;=40,2,IF(S551&gt;=33,1,0)))))))</f>
        <v/>
      </c>
      <c r="AL551">
        <f>(AC551+AD551+AE551+AF551+AG551+AH551+AI551+AJ551)/8</f>
        <v/>
      </c>
      <c r="AM551">
        <f>IF(AK551&gt;=2,(AK551-2)/8,0)</f>
        <v/>
      </c>
    </row>
    <row r="552">
      <c r="T552">
        <f>SUM(C552:R552)</f>
        <v/>
      </c>
      <c r="U552" s="6">
        <f>ROUND(T552/11.5,2)</f>
        <v/>
      </c>
      <c r="V552" s="7">
        <f>IF(B552="","",IF(AB552,0,ROUND(AL552,2)))</f>
        <v/>
      </c>
      <c r="W552" s="7">
        <f>IF(B552="","",IF(AB552,0,MIN(5,ROUND(AL552+AM552,2))))</f>
        <v/>
      </c>
      <c r="X552" s="8">
        <f>IF(B552="","",IF(W552&gt;=5,"A+",IF(W552&gt;=4,"A",IF(W552&gt;=3.5,"A-",IF(W552&gt;=3,"B",IF(W552&gt;=2,"C",IF(W552&gt;=1,"D","F")))))))</f>
        <v/>
      </c>
      <c r="Y552">
        <f>NOT(OR(AND(J552&gt;=10,K552&gt;=23,L552&gt;=10,M552&gt;=23),AND(J552+L552&gt;=20,K552+M552&gt;=46)))</f>
        <v/>
      </c>
      <c r="Z552">
        <f>OR(N552&lt;10,O552&lt;23)</f>
        <v/>
      </c>
      <c r="AA552">
        <f>OR(P552&lt;10,Q552&lt;23)</f>
        <v/>
      </c>
      <c r="AB552">
        <f>OR((C552+D552)&lt;66,(E552+F552)&lt;66,G552&lt;33,(H552+I552)&lt;66,Y552,Z552,AA552,R552&lt;8.25)</f>
        <v/>
      </c>
      <c r="AC552">
        <f>IF(C552+D552&lt;66,0,IF((C552+D552)/2&gt;=80,5,IF((C552+D552)/2&gt;=70,4,IF((C552+D552)/2&gt;=60,3.5,IF((C552+D552)/2&gt;=50,3,IF((C552+D552)/2&gt;=40,2,IF((C552+D552)/2&gt;=33,1,0)))))))</f>
        <v/>
      </c>
      <c r="AD552">
        <f>IF(E552+F552&lt;66,0,IF((E552+F552)/2&gt;=80,5,IF((E552+F552)/2&gt;=70,4,IF((E552+F552)/2&gt;=60,3.5,IF((E552+F552)/2&gt;=50,3,IF((E552+F552)/2&gt;=40,2,IF((E552+F552)/2&gt;=33,1,0)))))))</f>
        <v/>
      </c>
      <c r="AE552">
        <f>IF(G552&lt;33,0,IF(G552&gt;=80,5,IF(G552&gt;=70,4,IF(G552&gt;=60,3.5,IF(G552&gt;=50,3,IF(G552&gt;=40,2,IF(G552&gt;=33,1,0)))))))</f>
        <v/>
      </c>
      <c r="AF552">
        <f>IF(H552+I552&lt;66,0,IF((H552+I552)/2&gt;=80,5,IF((H552+I552)/2&gt;=70,4,IF((H552+I552)/2&gt;=60,3.5,IF((H552+I552)/2&gt;=50,3,IF((H552+I552)/2&gt;=40,2,IF((H552+I552)/2&gt;=33,1,0)))))))</f>
        <v/>
      </c>
      <c r="AG552">
        <f>IF(Y552,0,IF((J552+K552+L552+M552)/2&gt;=80,5,IF((J552+K552+L552+M552)/2&gt;=70,4,IF((J552+K552+L552+M552)/2&gt;=60,3.5,IF((J552+K552+L552+M552)/2&gt;=50,3,IF((J552+K552+L552+M552)/2&gt;=40,2,IF((J552+K552+L552+M552)/2&gt;=33,1,0)))))))</f>
        <v/>
      </c>
      <c r="AH552">
        <f>IF(Z552,0,IF(N552+O552&gt;=80,5,IF(N552+O552&gt;=70,4,IF(N552+O552&gt;=60,3.5,IF(N552+O552&gt;=50,3,IF(N552+O552&gt;=40,2,IF(N552+O552&gt;=33,1,0)))))))</f>
        <v/>
      </c>
      <c r="AI552">
        <f>IF(AA552,0,IF(P552+Q552&gt;=80,5,IF(P552+Q552&gt;=70,4,IF(P552+Q552&gt;=60,3.5,IF(P552+Q552&gt;=50,3,IF(P552+Q552&gt;=40,2,IF(P552+Q552&gt;=33,1,0)))))))</f>
        <v/>
      </c>
      <c r="AJ552">
        <f>IF(R552&lt;8.25,0,IF(R552*2&gt;=80,5,IF(R552*2&gt;=70,4,IF(R552*2&gt;=60,3.5,IF(R552*2&gt;=50,3,IF(R552*2&gt;=40,2,IF(R552*2&gt;=33,1,0)))))))</f>
        <v/>
      </c>
      <c r="AK552">
        <f>IF(S552&lt;33,0,IF(S552&gt;=80,5,IF(S552&gt;=70,4,IF(S552&gt;=60,3.5,IF(S552&gt;=50,3,IF(S552&gt;=40,2,IF(S552&gt;=33,1,0)))))))</f>
        <v/>
      </c>
      <c r="AL552">
        <f>(AC552+AD552+AE552+AF552+AG552+AH552+AI552+AJ552)/8</f>
        <v/>
      </c>
      <c r="AM552">
        <f>IF(AK552&gt;=2,(AK552-2)/8,0)</f>
        <v/>
      </c>
    </row>
    <row r="553">
      <c r="T553">
        <f>SUM(C553:R553)</f>
        <v/>
      </c>
      <c r="U553" s="6">
        <f>ROUND(T553/11.5,2)</f>
        <v/>
      </c>
      <c r="V553" s="7">
        <f>IF(B553="","",IF(AB553,0,ROUND(AL553,2)))</f>
        <v/>
      </c>
      <c r="W553" s="7">
        <f>IF(B553="","",IF(AB553,0,MIN(5,ROUND(AL553+AM553,2))))</f>
        <v/>
      </c>
      <c r="X553" s="8">
        <f>IF(B553="","",IF(W553&gt;=5,"A+",IF(W553&gt;=4,"A",IF(W553&gt;=3.5,"A-",IF(W553&gt;=3,"B",IF(W553&gt;=2,"C",IF(W553&gt;=1,"D","F")))))))</f>
        <v/>
      </c>
      <c r="Y553">
        <f>NOT(OR(AND(J553&gt;=10,K553&gt;=23,L553&gt;=10,M553&gt;=23),AND(J553+L553&gt;=20,K553+M553&gt;=46)))</f>
        <v/>
      </c>
      <c r="Z553">
        <f>OR(N553&lt;10,O553&lt;23)</f>
        <v/>
      </c>
      <c r="AA553">
        <f>OR(P553&lt;10,Q553&lt;23)</f>
        <v/>
      </c>
      <c r="AB553">
        <f>OR((C553+D553)&lt;66,(E553+F553)&lt;66,G553&lt;33,(H553+I553)&lt;66,Y553,Z553,AA553,R553&lt;8.25)</f>
        <v/>
      </c>
      <c r="AC553">
        <f>IF(C553+D553&lt;66,0,IF((C553+D553)/2&gt;=80,5,IF((C553+D553)/2&gt;=70,4,IF((C553+D553)/2&gt;=60,3.5,IF((C553+D553)/2&gt;=50,3,IF((C553+D553)/2&gt;=40,2,IF((C553+D553)/2&gt;=33,1,0)))))))</f>
        <v/>
      </c>
      <c r="AD553">
        <f>IF(E553+F553&lt;66,0,IF((E553+F553)/2&gt;=80,5,IF((E553+F553)/2&gt;=70,4,IF((E553+F553)/2&gt;=60,3.5,IF((E553+F553)/2&gt;=50,3,IF((E553+F553)/2&gt;=40,2,IF((E553+F553)/2&gt;=33,1,0)))))))</f>
        <v/>
      </c>
      <c r="AE553">
        <f>IF(G553&lt;33,0,IF(G553&gt;=80,5,IF(G553&gt;=70,4,IF(G553&gt;=60,3.5,IF(G553&gt;=50,3,IF(G553&gt;=40,2,IF(G553&gt;=33,1,0)))))))</f>
        <v/>
      </c>
      <c r="AF553">
        <f>IF(H553+I553&lt;66,0,IF((H553+I553)/2&gt;=80,5,IF((H553+I553)/2&gt;=70,4,IF((H553+I553)/2&gt;=60,3.5,IF((H553+I553)/2&gt;=50,3,IF((H553+I553)/2&gt;=40,2,IF((H553+I553)/2&gt;=33,1,0)))))))</f>
        <v/>
      </c>
      <c r="AG553">
        <f>IF(Y553,0,IF((J553+K553+L553+M553)/2&gt;=80,5,IF((J553+K553+L553+M553)/2&gt;=70,4,IF((J553+K553+L553+M553)/2&gt;=60,3.5,IF((J553+K553+L553+M553)/2&gt;=50,3,IF((J553+K553+L553+M553)/2&gt;=40,2,IF((J553+K553+L553+M553)/2&gt;=33,1,0)))))))</f>
        <v/>
      </c>
      <c r="AH553">
        <f>IF(Z553,0,IF(N553+O553&gt;=80,5,IF(N553+O553&gt;=70,4,IF(N553+O553&gt;=60,3.5,IF(N553+O553&gt;=50,3,IF(N553+O553&gt;=40,2,IF(N553+O553&gt;=33,1,0)))))))</f>
        <v/>
      </c>
      <c r="AI553">
        <f>IF(AA553,0,IF(P553+Q553&gt;=80,5,IF(P553+Q553&gt;=70,4,IF(P553+Q553&gt;=60,3.5,IF(P553+Q553&gt;=50,3,IF(P553+Q553&gt;=40,2,IF(P553+Q553&gt;=33,1,0)))))))</f>
        <v/>
      </c>
      <c r="AJ553">
        <f>IF(R553&lt;8.25,0,IF(R553*2&gt;=80,5,IF(R553*2&gt;=70,4,IF(R553*2&gt;=60,3.5,IF(R553*2&gt;=50,3,IF(R553*2&gt;=40,2,IF(R553*2&gt;=33,1,0)))))))</f>
        <v/>
      </c>
      <c r="AK553">
        <f>IF(S553&lt;33,0,IF(S553&gt;=80,5,IF(S553&gt;=70,4,IF(S553&gt;=60,3.5,IF(S553&gt;=50,3,IF(S553&gt;=40,2,IF(S553&gt;=33,1,0)))))))</f>
        <v/>
      </c>
      <c r="AL553">
        <f>(AC553+AD553+AE553+AF553+AG553+AH553+AI553+AJ553)/8</f>
        <v/>
      </c>
      <c r="AM553">
        <f>IF(AK553&gt;=2,(AK553-2)/8,0)</f>
        <v/>
      </c>
    </row>
    <row r="554">
      <c r="T554">
        <f>SUM(C554:R554)</f>
        <v/>
      </c>
      <c r="U554" s="6">
        <f>ROUND(T554/11.5,2)</f>
        <v/>
      </c>
      <c r="V554" s="7">
        <f>IF(B554="","",IF(AB554,0,ROUND(AL554,2)))</f>
        <v/>
      </c>
      <c r="W554" s="7">
        <f>IF(B554="","",IF(AB554,0,MIN(5,ROUND(AL554+AM554,2))))</f>
        <v/>
      </c>
      <c r="X554" s="8">
        <f>IF(B554="","",IF(W554&gt;=5,"A+",IF(W554&gt;=4,"A",IF(W554&gt;=3.5,"A-",IF(W554&gt;=3,"B",IF(W554&gt;=2,"C",IF(W554&gt;=1,"D","F")))))))</f>
        <v/>
      </c>
      <c r="Y554">
        <f>NOT(OR(AND(J554&gt;=10,K554&gt;=23,L554&gt;=10,M554&gt;=23),AND(J554+L554&gt;=20,K554+M554&gt;=46)))</f>
        <v/>
      </c>
      <c r="Z554">
        <f>OR(N554&lt;10,O554&lt;23)</f>
        <v/>
      </c>
      <c r="AA554">
        <f>OR(P554&lt;10,Q554&lt;23)</f>
        <v/>
      </c>
      <c r="AB554">
        <f>OR((C554+D554)&lt;66,(E554+F554)&lt;66,G554&lt;33,(H554+I554)&lt;66,Y554,Z554,AA554,R554&lt;8.25)</f>
        <v/>
      </c>
      <c r="AC554">
        <f>IF(C554+D554&lt;66,0,IF((C554+D554)/2&gt;=80,5,IF((C554+D554)/2&gt;=70,4,IF((C554+D554)/2&gt;=60,3.5,IF((C554+D554)/2&gt;=50,3,IF((C554+D554)/2&gt;=40,2,IF((C554+D554)/2&gt;=33,1,0)))))))</f>
        <v/>
      </c>
      <c r="AD554">
        <f>IF(E554+F554&lt;66,0,IF((E554+F554)/2&gt;=80,5,IF((E554+F554)/2&gt;=70,4,IF((E554+F554)/2&gt;=60,3.5,IF((E554+F554)/2&gt;=50,3,IF((E554+F554)/2&gt;=40,2,IF((E554+F554)/2&gt;=33,1,0)))))))</f>
        <v/>
      </c>
      <c r="AE554">
        <f>IF(G554&lt;33,0,IF(G554&gt;=80,5,IF(G554&gt;=70,4,IF(G554&gt;=60,3.5,IF(G554&gt;=50,3,IF(G554&gt;=40,2,IF(G554&gt;=33,1,0)))))))</f>
        <v/>
      </c>
      <c r="AF554">
        <f>IF(H554+I554&lt;66,0,IF((H554+I554)/2&gt;=80,5,IF((H554+I554)/2&gt;=70,4,IF((H554+I554)/2&gt;=60,3.5,IF((H554+I554)/2&gt;=50,3,IF((H554+I554)/2&gt;=40,2,IF((H554+I554)/2&gt;=33,1,0)))))))</f>
        <v/>
      </c>
      <c r="AG554">
        <f>IF(Y554,0,IF((J554+K554+L554+M554)/2&gt;=80,5,IF((J554+K554+L554+M554)/2&gt;=70,4,IF((J554+K554+L554+M554)/2&gt;=60,3.5,IF((J554+K554+L554+M554)/2&gt;=50,3,IF((J554+K554+L554+M554)/2&gt;=40,2,IF((J554+K554+L554+M554)/2&gt;=33,1,0)))))))</f>
        <v/>
      </c>
      <c r="AH554">
        <f>IF(Z554,0,IF(N554+O554&gt;=80,5,IF(N554+O554&gt;=70,4,IF(N554+O554&gt;=60,3.5,IF(N554+O554&gt;=50,3,IF(N554+O554&gt;=40,2,IF(N554+O554&gt;=33,1,0)))))))</f>
        <v/>
      </c>
      <c r="AI554">
        <f>IF(AA554,0,IF(P554+Q554&gt;=80,5,IF(P554+Q554&gt;=70,4,IF(P554+Q554&gt;=60,3.5,IF(P554+Q554&gt;=50,3,IF(P554+Q554&gt;=40,2,IF(P554+Q554&gt;=33,1,0)))))))</f>
        <v/>
      </c>
      <c r="AJ554">
        <f>IF(R554&lt;8.25,0,IF(R554*2&gt;=80,5,IF(R554*2&gt;=70,4,IF(R554*2&gt;=60,3.5,IF(R554*2&gt;=50,3,IF(R554*2&gt;=40,2,IF(R554*2&gt;=33,1,0)))))))</f>
        <v/>
      </c>
      <c r="AK554">
        <f>IF(S554&lt;33,0,IF(S554&gt;=80,5,IF(S554&gt;=70,4,IF(S554&gt;=60,3.5,IF(S554&gt;=50,3,IF(S554&gt;=40,2,IF(S554&gt;=33,1,0)))))))</f>
        <v/>
      </c>
      <c r="AL554">
        <f>(AC554+AD554+AE554+AF554+AG554+AH554+AI554+AJ554)/8</f>
        <v/>
      </c>
      <c r="AM554">
        <f>IF(AK554&gt;=2,(AK554-2)/8,0)</f>
        <v/>
      </c>
    </row>
    <row r="555">
      <c r="T555">
        <f>SUM(C555:R555)</f>
        <v/>
      </c>
      <c r="U555" s="6">
        <f>ROUND(T555/11.5,2)</f>
        <v/>
      </c>
      <c r="V555" s="7">
        <f>IF(B555="","",IF(AB555,0,ROUND(AL555,2)))</f>
        <v/>
      </c>
      <c r="W555" s="7">
        <f>IF(B555="","",IF(AB555,0,MIN(5,ROUND(AL555+AM555,2))))</f>
        <v/>
      </c>
      <c r="X555" s="8">
        <f>IF(B555="","",IF(W555&gt;=5,"A+",IF(W555&gt;=4,"A",IF(W555&gt;=3.5,"A-",IF(W555&gt;=3,"B",IF(W555&gt;=2,"C",IF(W555&gt;=1,"D","F")))))))</f>
        <v/>
      </c>
      <c r="Y555">
        <f>NOT(OR(AND(J555&gt;=10,K555&gt;=23,L555&gt;=10,M555&gt;=23),AND(J555+L555&gt;=20,K555+M555&gt;=46)))</f>
        <v/>
      </c>
      <c r="Z555">
        <f>OR(N555&lt;10,O555&lt;23)</f>
        <v/>
      </c>
      <c r="AA555">
        <f>OR(P555&lt;10,Q555&lt;23)</f>
        <v/>
      </c>
      <c r="AB555">
        <f>OR((C555+D555)&lt;66,(E555+F555)&lt;66,G555&lt;33,(H555+I555)&lt;66,Y555,Z555,AA555,R555&lt;8.25)</f>
        <v/>
      </c>
      <c r="AC555">
        <f>IF(C555+D555&lt;66,0,IF((C555+D555)/2&gt;=80,5,IF((C555+D555)/2&gt;=70,4,IF((C555+D555)/2&gt;=60,3.5,IF((C555+D555)/2&gt;=50,3,IF((C555+D555)/2&gt;=40,2,IF((C555+D555)/2&gt;=33,1,0)))))))</f>
        <v/>
      </c>
      <c r="AD555">
        <f>IF(E555+F555&lt;66,0,IF((E555+F555)/2&gt;=80,5,IF((E555+F555)/2&gt;=70,4,IF((E555+F555)/2&gt;=60,3.5,IF((E555+F555)/2&gt;=50,3,IF((E555+F555)/2&gt;=40,2,IF((E555+F555)/2&gt;=33,1,0)))))))</f>
        <v/>
      </c>
      <c r="AE555">
        <f>IF(G555&lt;33,0,IF(G555&gt;=80,5,IF(G555&gt;=70,4,IF(G555&gt;=60,3.5,IF(G555&gt;=50,3,IF(G555&gt;=40,2,IF(G555&gt;=33,1,0)))))))</f>
        <v/>
      </c>
      <c r="AF555">
        <f>IF(H555+I555&lt;66,0,IF((H555+I555)/2&gt;=80,5,IF((H555+I555)/2&gt;=70,4,IF((H555+I555)/2&gt;=60,3.5,IF((H555+I555)/2&gt;=50,3,IF((H555+I555)/2&gt;=40,2,IF((H555+I555)/2&gt;=33,1,0)))))))</f>
        <v/>
      </c>
      <c r="AG555">
        <f>IF(Y555,0,IF((J555+K555+L555+M555)/2&gt;=80,5,IF((J555+K555+L555+M555)/2&gt;=70,4,IF((J555+K555+L555+M555)/2&gt;=60,3.5,IF((J555+K555+L555+M555)/2&gt;=50,3,IF((J555+K555+L555+M555)/2&gt;=40,2,IF((J555+K555+L555+M555)/2&gt;=33,1,0)))))))</f>
        <v/>
      </c>
      <c r="AH555">
        <f>IF(Z555,0,IF(N555+O555&gt;=80,5,IF(N555+O555&gt;=70,4,IF(N555+O555&gt;=60,3.5,IF(N555+O555&gt;=50,3,IF(N555+O555&gt;=40,2,IF(N555+O555&gt;=33,1,0)))))))</f>
        <v/>
      </c>
      <c r="AI555">
        <f>IF(AA555,0,IF(P555+Q555&gt;=80,5,IF(P555+Q555&gt;=70,4,IF(P555+Q555&gt;=60,3.5,IF(P555+Q555&gt;=50,3,IF(P555+Q555&gt;=40,2,IF(P555+Q555&gt;=33,1,0)))))))</f>
        <v/>
      </c>
      <c r="AJ555">
        <f>IF(R555&lt;8.25,0,IF(R555*2&gt;=80,5,IF(R555*2&gt;=70,4,IF(R555*2&gt;=60,3.5,IF(R555*2&gt;=50,3,IF(R555*2&gt;=40,2,IF(R555*2&gt;=33,1,0)))))))</f>
        <v/>
      </c>
      <c r="AK555">
        <f>IF(S555&lt;33,0,IF(S555&gt;=80,5,IF(S555&gt;=70,4,IF(S555&gt;=60,3.5,IF(S555&gt;=50,3,IF(S555&gt;=40,2,IF(S555&gt;=33,1,0)))))))</f>
        <v/>
      </c>
      <c r="AL555">
        <f>(AC555+AD555+AE555+AF555+AG555+AH555+AI555+AJ555)/8</f>
        <v/>
      </c>
      <c r="AM555">
        <f>IF(AK555&gt;=2,(AK555-2)/8,0)</f>
        <v/>
      </c>
    </row>
    <row r="556">
      <c r="T556">
        <f>SUM(C556:R556)</f>
        <v/>
      </c>
      <c r="U556" s="6">
        <f>ROUND(T556/11.5,2)</f>
        <v/>
      </c>
      <c r="V556" s="7">
        <f>IF(B556="","",IF(AB556,0,ROUND(AL556,2)))</f>
        <v/>
      </c>
      <c r="W556" s="7">
        <f>IF(B556="","",IF(AB556,0,MIN(5,ROUND(AL556+AM556,2))))</f>
        <v/>
      </c>
      <c r="X556" s="8">
        <f>IF(B556="","",IF(W556&gt;=5,"A+",IF(W556&gt;=4,"A",IF(W556&gt;=3.5,"A-",IF(W556&gt;=3,"B",IF(W556&gt;=2,"C",IF(W556&gt;=1,"D","F")))))))</f>
        <v/>
      </c>
      <c r="Y556">
        <f>NOT(OR(AND(J556&gt;=10,K556&gt;=23,L556&gt;=10,M556&gt;=23),AND(J556+L556&gt;=20,K556+M556&gt;=46)))</f>
        <v/>
      </c>
      <c r="Z556">
        <f>OR(N556&lt;10,O556&lt;23)</f>
        <v/>
      </c>
      <c r="AA556">
        <f>OR(P556&lt;10,Q556&lt;23)</f>
        <v/>
      </c>
      <c r="AB556">
        <f>OR((C556+D556)&lt;66,(E556+F556)&lt;66,G556&lt;33,(H556+I556)&lt;66,Y556,Z556,AA556,R556&lt;8.25)</f>
        <v/>
      </c>
      <c r="AC556">
        <f>IF(C556+D556&lt;66,0,IF((C556+D556)/2&gt;=80,5,IF((C556+D556)/2&gt;=70,4,IF((C556+D556)/2&gt;=60,3.5,IF((C556+D556)/2&gt;=50,3,IF((C556+D556)/2&gt;=40,2,IF((C556+D556)/2&gt;=33,1,0)))))))</f>
        <v/>
      </c>
      <c r="AD556">
        <f>IF(E556+F556&lt;66,0,IF((E556+F556)/2&gt;=80,5,IF((E556+F556)/2&gt;=70,4,IF((E556+F556)/2&gt;=60,3.5,IF((E556+F556)/2&gt;=50,3,IF((E556+F556)/2&gt;=40,2,IF((E556+F556)/2&gt;=33,1,0)))))))</f>
        <v/>
      </c>
      <c r="AE556">
        <f>IF(G556&lt;33,0,IF(G556&gt;=80,5,IF(G556&gt;=70,4,IF(G556&gt;=60,3.5,IF(G556&gt;=50,3,IF(G556&gt;=40,2,IF(G556&gt;=33,1,0)))))))</f>
        <v/>
      </c>
      <c r="AF556">
        <f>IF(H556+I556&lt;66,0,IF((H556+I556)/2&gt;=80,5,IF((H556+I556)/2&gt;=70,4,IF((H556+I556)/2&gt;=60,3.5,IF((H556+I556)/2&gt;=50,3,IF((H556+I556)/2&gt;=40,2,IF((H556+I556)/2&gt;=33,1,0)))))))</f>
        <v/>
      </c>
      <c r="AG556">
        <f>IF(Y556,0,IF((J556+K556+L556+M556)/2&gt;=80,5,IF((J556+K556+L556+M556)/2&gt;=70,4,IF((J556+K556+L556+M556)/2&gt;=60,3.5,IF((J556+K556+L556+M556)/2&gt;=50,3,IF((J556+K556+L556+M556)/2&gt;=40,2,IF((J556+K556+L556+M556)/2&gt;=33,1,0)))))))</f>
        <v/>
      </c>
      <c r="AH556">
        <f>IF(Z556,0,IF(N556+O556&gt;=80,5,IF(N556+O556&gt;=70,4,IF(N556+O556&gt;=60,3.5,IF(N556+O556&gt;=50,3,IF(N556+O556&gt;=40,2,IF(N556+O556&gt;=33,1,0)))))))</f>
        <v/>
      </c>
      <c r="AI556">
        <f>IF(AA556,0,IF(P556+Q556&gt;=80,5,IF(P556+Q556&gt;=70,4,IF(P556+Q556&gt;=60,3.5,IF(P556+Q556&gt;=50,3,IF(P556+Q556&gt;=40,2,IF(P556+Q556&gt;=33,1,0)))))))</f>
        <v/>
      </c>
      <c r="AJ556">
        <f>IF(R556&lt;8.25,0,IF(R556*2&gt;=80,5,IF(R556*2&gt;=70,4,IF(R556*2&gt;=60,3.5,IF(R556*2&gt;=50,3,IF(R556*2&gt;=40,2,IF(R556*2&gt;=33,1,0)))))))</f>
        <v/>
      </c>
      <c r="AK556">
        <f>IF(S556&lt;33,0,IF(S556&gt;=80,5,IF(S556&gt;=70,4,IF(S556&gt;=60,3.5,IF(S556&gt;=50,3,IF(S556&gt;=40,2,IF(S556&gt;=33,1,0)))))))</f>
        <v/>
      </c>
      <c r="AL556">
        <f>(AC556+AD556+AE556+AF556+AG556+AH556+AI556+AJ556)/8</f>
        <v/>
      </c>
      <c r="AM556">
        <f>IF(AK556&gt;=2,(AK556-2)/8,0)</f>
        <v/>
      </c>
    </row>
    <row r="557">
      <c r="T557">
        <f>SUM(C557:R557)</f>
        <v/>
      </c>
      <c r="U557" s="6">
        <f>ROUND(T557/11.5,2)</f>
        <v/>
      </c>
      <c r="V557" s="7">
        <f>IF(B557="","",IF(AB557,0,ROUND(AL557,2)))</f>
        <v/>
      </c>
      <c r="W557" s="7">
        <f>IF(B557="","",IF(AB557,0,MIN(5,ROUND(AL557+AM557,2))))</f>
        <v/>
      </c>
      <c r="X557" s="8">
        <f>IF(B557="","",IF(W557&gt;=5,"A+",IF(W557&gt;=4,"A",IF(W557&gt;=3.5,"A-",IF(W557&gt;=3,"B",IF(W557&gt;=2,"C",IF(W557&gt;=1,"D","F")))))))</f>
        <v/>
      </c>
      <c r="Y557">
        <f>NOT(OR(AND(J557&gt;=10,K557&gt;=23,L557&gt;=10,M557&gt;=23),AND(J557+L557&gt;=20,K557+M557&gt;=46)))</f>
        <v/>
      </c>
      <c r="Z557">
        <f>OR(N557&lt;10,O557&lt;23)</f>
        <v/>
      </c>
      <c r="AA557">
        <f>OR(P557&lt;10,Q557&lt;23)</f>
        <v/>
      </c>
      <c r="AB557">
        <f>OR((C557+D557)&lt;66,(E557+F557)&lt;66,G557&lt;33,(H557+I557)&lt;66,Y557,Z557,AA557,R557&lt;8.25)</f>
        <v/>
      </c>
      <c r="AC557">
        <f>IF(C557+D557&lt;66,0,IF((C557+D557)/2&gt;=80,5,IF((C557+D557)/2&gt;=70,4,IF((C557+D557)/2&gt;=60,3.5,IF((C557+D557)/2&gt;=50,3,IF((C557+D557)/2&gt;=40,2,IF((C557+D557)/2&gt;=33,1,0)))))))</f>
        <v/>
      </c>
      <c r="AD557">
        <f>IF(E557+F557&lt;66,0,IF((E557+F557)/2&gt;=80,5,IF((E557+F557)/2&gt;=70,4,IF((E557+F557)/2&gt;=60,3.5,IF((E557+F557)/2&gt;=50,3,IF((E557+F557)/2&gt;=40,2,IF((E557+F557)/2&gt;=33,1,0)))))))</f>
        <v/>
      </c>
      <c r="AE557">
        <f>IF(G557&lt;33,0,IF(G557&gt;=80,5,IF(G557&gt;=70,4,IF(G557&gt;=60,3.5,IF(G557&gt;=50,3,IF(G557&gt;=40,2,IF(G557&gt;=33,1,0)))))))</f>
        <v/>
      </c>
      <c r="AF557">
        <f>IF(H557+I557&lt;66,0,IF((H557+I557)/2&gt;=80,5,IF((H557+I557)/2&gt;=70,4,IF((H557+I557)/2&gt;=60,3.5,IF((H557+I557)/2&gt;=50,3,IF((H557+I557)/2&gt;=40,2,IF((H557+I557)/2&gt;=33,1,0)))))))</f>
        <v/>
      </c>
      <c r="AG557">
        <f>IF(Y557,0,IF((J557+K557+L557+M557)/2&gt;=80,5,IF((J557+K557+L557+M557)/2&gt;=70,4,IF((J557+K557+L557+M557)/2&gt;=60,3.5,IF((J557+K557+L557+M557)/2&gt;=50,3,IF((J557+K557+L557+M557)/2&gt;=40,2,IF((J557+K557+L557+M557)/2&gt;=33,1,0)))))))</f>
        <v/>
      </c>
      <c r="AH557">
        <f>IF(Z557,0,IF(N557+O557&gt;=80,5,IF(N557+O557&gt;=70,4,IF(N557+O557&gt;=60,3.5,IF(N557+O557&gt;=50,3,IF(N557+O557&gt;=40,2,IF(N557+O557&gt;=33,1,0)))))))</f>
        <v/>
      </c>
      <c r="AI557">
        <f>IF(AA557,0,IF(P557+Q557&gt;=80,5,IF(P557+Q557&gt;=70,4,IF(P557+Q557&gt;=60,3.5,IF(P557+Q557&gt;=50,3,IF(P557+Q557&gt;=40,2,IF(P557+Q557&gt;=33,1,0)))))))</f>
        <v/>
      </c>
      <c r="AJ557">
        <f>IF(R557&lt;8.25,0,IF(R557*2&gt;=80,5,IF(R557*2&gt;=70,4,IF(R557*2&gt;=60,3.5,IF(R557*2&gt;=50,3,IF(R557*2&gt;=40,2,IF(R557*2&gt;=33,1,0)))))))</f>
        <v/>
      </c>
      <c r="AK557">
        <f>IF(S557&lt;33,0,IF(S557&gt;=80,5,IF(S557&gt;=70,4,IF(S557&gt;=60,3.5,IF(S557&gt;=50,3,IF(S557&gt;=40,2,IF(S557&gt;=33,1,0)))))))</f>
        <v/>
      </c>
      <c r="AL557">
        <f>(AC557+AD557+AE557+AF557+AG557+AH557+AI557+AJ557)/8</f>
        <v/>
      </c>
      <c r="AM557">
        <f>IF(AK557&gt;=2,(AK557-2)/8,0)</f>
        <v/>
      </c>
    </row>
    <row r="558">
      <c r="T558">
        <f>SUM(C558:R558)</f>
        <v/>
      </c>
      <c r="U558" s="6">
        <f>ROUND(T558/11.5,2)</f>
        <v/>
      </c>
      <c r="V558" s="7">
        <f>IF(B558="","",IF(AB558,0,ROUND(AL558,2)))</f>
        <v/>
      </c>
      <c r="W558" s="7">
        <f>IF(B558="","",IF(AB558,0,MIN(5,ROUND(AL558+AM558,2))))</f>
        <v/>
      </c>
      <c r="X558" s="8">
        <f>IF(B558="","",IF(W558&gt;=5,"A+",IF(W558&gt;=4,"A",IF(W558&gt;=3.5,"A-",IF(W558&gt;=3,"B",IF(W558&gt;=2,"C",IF(W558&gt;=1,"D","F")))))))</f>
        <v/>
      </c>
      <c r="Y558">
        <f>NOT(OR(AND(J558&gt;=10,K558&gt;=23,L558&gt;=10,M558&gt;=23),AND(J558+L558&gt;=20,K558+M558&gt;=46)))</f>
        <v/>
      </c>
      <c r="Z558">
        <f>OR(N558&lt;10,O558&lt;23)</f>
        <v/>
      </c>
      <c r="AA558">
        <f>OR(P558&lt;10,Q558&lt;23)</f>
        <v/>
      </c>
      <c r="AB558">
        <f>OR((C558+D558)&lt;66,(E558+F558)&lt;66,G558&lt;33,(H558+I558)&lt;66,Y558,Z558,AA558,R558&lt;8.25)</f>
        <v/>
      </c>
      <c r="AC558">
        <f>IF(C558+D558&lt;66,0,IF((C558+D558)/2&gt;=80,5,IF((C558+D558)/2&gt;=70,4,IF((C558+D558)/2&gt;=60,3.5,IF((C558+D558)/2&gt;=50,3,IF((C558+D558)/2&gt;=40,2,IF((C558+D558)/2&gt;=33,1,0)))))))</f>
        <v/>
      </c>
      <c r="AD558">
        <f>IF(E558+F558&lt;66,0,IF((E558+F558)/2&gt;=80,5,IF((E558+F558)/2&gt;=70,4,IF((E558+F558)/2&gt;=60,3.5,IF((E558+F558)/2&gt;=50,3,IF((E558+F558)/2&gt;=40,2,IF((E558+F558)/2&gt;=33,1,0)))))))</f>
        <v/>
      </c>
      <c r="AE558">
        <f>IF(G558&lt;33,0,IF(G558&gt;=80,5,IF(G558&gt;=70,4,IF(G558&gt;=60,3.5,IF(G558&gt;=50,3,IF(G558&gt;=40,2,IF(G558&gt;=33,1,0)))))))</f>
        <v/>
      </c>
      <c r="AF558">
        <f>IF(H558+I558&lt;66,0,IF((H558+I558)/2&gt;=80,5,IF((H558+I558)/2&gt;=70,4,IF((H558+I558)/2&gt;=60,3.5,IF((H558+I558)/2&gt;=50,3,IF((H558+I558)/2&gt;=40,2,IF((H558+I558)/2&gt;=33,1,0)))))))</f>
        <v/>
      </c>
      <c r="AG558">
        <f>IF(Y558,0,IF((J558+K558+L558+M558)/2&gt;=80,5,IF((J558+K558+L558+M558)/2&gt;=70,4,IF((J558+K558+L558+M558)/2&gt;=60,3.5,IF((J558+K558+L558+M558)/2&gt;=50,3,IF((J558+K558+L558+M558)/2&gt;=40,2,IF((J558+K558+L558+M558)/2&gt;=33,1,0)))))))</f>
        <v/>
      </c>
      <c r="AH558">
        <f>IF(Z558,0,IF(N558+O558&gt;=80,5,IF(N558+O558&gt;=70,4,IF(N558+O558&gt;=60,3.5,IF(N558+O558&gt;=50,3,IF(N558+O558&gt;=40,2,IF(N558+O558&gt;=33,1,0)))))))</f>
        <v/>
      </c>
      <c r="AI558">
        <f>IF(AA558,0,IF(P558+Q558&gt;=80,5,IF(P558+Q558&gt;=70,4,IF(P558+Q558&gt;=60,3.5,IF(P558+Q558&gt;=50,3,IF(P558+Q558&gt;=40,2,IF(P558+Q558&gt;=33,1,0)))))))</f>
        <v/>
      </c>
      <c r="AJ558">
        <f>IF(R558&lt;8.25,0,IF(R558*2&gt;=80,5,IF(R558*2&gt;=70,4,IF(R558*2&gt;=60,3.5,IF(R558*2&gt;=50,3,IF(R558*2&gt;=40,2,IF(R558*2&gt;=33,1,0)))))))</f>
        <v/>
      </c>
      <c r="AK558">
        <f>IF(S558&lt;33,0,IF(S558&gt;=80,5,IF(S558&gt;=70,4,IF(S558&gt;=60,3.5,IF(S558&gt;=50,3,IF(S558&gt;=40,2,IF(S558&gt;=33,1,0)))))))</f>
        <v/>
      </c>
      <c r="AL558">
        <f>(AC558+AD558+AE558+AF558+AG558+AH558+AI558+AJ558)/8</f>
        <v/>
      </c>
      <c r="AM558">
        <f>IF(AK558&gt;=2,(AK558-2)/8,0)</f>
        <v/>
      </c>
    </row>
    <row r="559">
      <c r="T559">
        <f>SUM(C559:R559)</f>
        <v/>
      </c>
      <c r="U559" s="6">
        <f>ROUND(T559/11.5,2)</f>
        <v/>
      </c>
      <c r="V559" s="7">
        <f>IF(B559="","",IF(AB559,0,ROUND(AL559,2)))</f>
        <v/>
      </c>
      <c r="W559" s="7">
        <f>IF(B559="","",IF(AB559,0,MIN(5,ROUND(AL559+AM559,2))))</f>
        <v/>
      </c>
      <c r="X559" s="8">
        <f>IF(B559="","",IF(W559&gt;=5,"A+",IF(W559&gt;=4,"A",IF(W559&gt;=3.5,"A-",IF(W559&gt;=3,"B",IF(W559&gt;=2,"C",IF(W559&gt;=1,"D","F")))))))</f>
        <v/>
      </c>
      <c r="Y559">
        <f>NOT(OR(AND(J559&gt;=10,K559&gt;=23,L559&gt;=10,M559&gt;=23),AND(J559+L559&gt;=20,K559+M559&gt;=46)))</f>
        <v/>
      </c>
      <c r="Z559">
        <f>OR(N559&lt;10,O559&lt;23)</f>
        <v/>
      </c>
      <c r="AA559">
        <f>OR(P559&lt;10,Q559&lt;23)</f>
        <v/>
      </c>
      <c r="AB559">
        <f>OR((C559+D559)&lt;66,(E559+F559)&lt;66,G559&lt;33,(H559+I559)&lt;66,Y559,Z559,AA559,R559&lt;8.25)</f>
        <v/>
      </c>
      <c r="AC559">
        <f>IF(C559+D559&lt;66,0,IF((C559+D559)/2&gt;=80,5,IF((C559+D559)/2&gt;=70,4,IF((C559+D559)/2&gt;=60,3.5,IF((C559+D559)/2&gt;=50,3,IF((C559+D559)/2&gt;=40,2,IF((C559+D559)/2&gt;=33,1,0)))))))</f>
        <v/>
      </c>
      <c r="AD559">
        <f>IF(E559+F559&lt;66,0,IF((E559+F559)/2&gt;=80,5,IF((E559+F559)/2&gt;=70,4,IF((E559+F559)/2&gt;=60,3.5,IF((E559+F559)/2&gt;=50,3,IF((E559+F559)/2&gt;=40,2,IF((E559+F559)/2&gt;=33,1,0)))))))</f>
        <v/>
      </c>
      <c r="AE559">
        <f>IF(G559&lt;33,0,IF(G559&gt;=80,5,IF(G559&gt;=70,4,IF(G559&gt;=60,3.5,IF(G559&gt;=50,3,IF(G559&gt;=40,2,IF(G559&gt;=33,1,0)))))))</f>
        <v/>
      </c>
      <c r="AF559">
        <f>IF(H559+I559&lt;66,0,IF((H559+I559)/2&gt;=80,5,IF((H559+I559)/2&gt;=70,4,IF((H559+I559)/2&gt;=60,3.5,IF((H559+I559)/2&gt;=50,3,IF((H559+I559)/2&gt;=40,2,IF((H559+I559)/2&gt;=33,1,0)))))))</f>
        <v/>
      </c>
      <c r="AG559">
        <f>IF(Y559,0,IF((J559+K559+L559+M559)/2&gt;=80,5,IF((J559+K559+L559+M559)/2&gt;=70,4,IF((J559+K559+L559+M559)/2&gt;=60,3.5,IF((J559+K559+L559+M559)/2&gt;=50,3,IF((J559+K559+L559+M559)/2&gt;=40,2,IF((J559+K559+L559+M559)/2&gt;=33,1,0)))))))</f>
        <v/>
      </c>
      <c r="AH559">
        <f>IF(Z559,0,IF(N559+O559&gt;=80,5,IF(N559+O559&gt;=70,4,IF(N559+O559&gt;=60,3.5,IF(N559+O559&gt;=50,3,IF(N559+O559&gt;=40,2,IF(N559+O559&gt;=33,1,0)))))))</f>
        <v/>
      </c>
      <c r="AI559">
        <f>IF(AA559,0,IF(P559+Q559&gt;=80,5,IF(P559+Q559&gt;=70,4,IF(P559+Q559&gt;=60,3.5,IF(P559+Q559&gt;=50,3,IF(P559+Q559&gt;=40,2,IF(P559+Q559&gt;=33,1,0)))))))</f>
        <v/>
      </c>
      <c r="AJ559">
        <f>IF(R559&lt;8.25,0,IF(R559*2&gt;=80,5,IF(R559*2&gt;=70,4,IF(R559*2&gt;=60,3.5,IF(R559*2&gt;=50,3,IF(R559*2&gt;=40,2,IF(R559*2&gt;=33,1,0)))))))</f>
        <v/>
      </c>
      <c r="AK559">
        <f>IF(S559&lt;33,0,IF(S559&gt;=80,5,IF(S559&gt;=70,4,IF(S559&gt;=60,3.5,IF(S559&gt;=50,3,IF(S559&gt;=40,2,IF(S559&gt;=33,1,0)))))))</f>
        <v/>
      </c>
      <c r="AL559">
        <f>(AC559+AD559+AE559+AF559+AG559+AH559+AI559+AJ559)/8</f>
        <v/>
      </c>
      <c r="AM559">
        <f>IF(AK559&gt;=2,(AK559-2)/8,0)</f>
        <v/>
      </c>
    </row>
    <row r="560">
      <c r="T560">
        <f>SUM(C560:R560)</f>
        <v/>
      </c>
      <c r="U560" s="6">
        <f>ROUND(T560/11.5,2)</f>
        <v/>
      </c>
      <c r="V560" s="7">
        <f>IF(B560="","",IF(AB560,0,ROUND(AL560,2)))</f>
        <v/>
      </c>
      <c r="W560" s="7">
        <f>IF(B560="","",IF(AB560,0,MIN(5,ROUND(AL560+AM560,2))))</f>
        <v/>
      </c>
      <c r="X560" s="8">
        <f>IF(B560="","",IF(W560&gt;=5,"A+",IF(W560&gt;=4,"A",IF(W560&gt;=3.5,"A-",IF(W560&gt;=3,"B",IF(W560&gt;=2,"C",IF(W560&gt;=1,"D","F")))))))</f>
        <v/>
      </c>
      <c r="Y560">
        <f>NOT(OR(AND(J560&gt;=10,K560&gt;=23,L560&gt;=10,M560&gt;=23),AND(J560+L560&gt;=20,K560+M560&gt;=46)))</f>
        <v/>
      </c>
      <c r="Z560">
        <f>OR(N560&lt;10,O560&lt;23)</f>
        <v/>
      </c>
      <c r="AA560">
        <f>OR(P560&lt;10,Q560&lt;23)</f>
        <v/>
      </c>
      <c r="AB560">
        <f>OR((C560+D560)&lt;66,(E560+F560)&lt;66,G560&lt;33,(H560+I560)&lt;66,Y560,Z560,AA560,R560&lt;8.25)</f>
        <v/>
      </c>
      <c r="AC560">
        <f>IF(C560+D560&lt;66,0,IF((C560+D560)/2&gt;=80,5,IF((C560+D560)/2&gt;=70,4,IF((C560+D560)/2&gt;=60,3.5,IF((C560+D560)/2&gt;=50,3,IF((C560+D560)/2&gt;=40,2,IF((C560+D560)/2&gt;=33,1,0)))))))</f>
        <v/>
      </c>
      <c r="AD560">
        <f>IF(E560+F560&lt;66,0,IF((E560+F560)/2&gt;=80,5,IF((E560+F560)/2&gt;=70,4,IF((E560+F560)/2&gt;=60,3.5,IF((E560+F560)/2&gt;=50,3,IF((E560+F560)/2&gt;=40,2,IF((E560+F560)/2&gt;=33,1,0)))))))</f>
        <v/>
      </c>
      <c r="AE560">
        <f>IF(G560&lt;33,0,IF(G560&gt;=80,5,IF(G560&gt;=70,4,IF(G560&gt;=60,3.5,IF(G560&gt;=50,3,IF(G560&gt;=40,2,IF(G560&gt;=33,1,0)))))))</f>
        <v/>
      </c>
      <c r="AF560">
        <f>IF(H560+I560&lt;66,0,IF((H560+I560)/2&gt;=80,5,IF((H560+I560)/2&gt;=70,4,IF((H560+I560)/2&gt;=60,3.5,IF((H560+I560)/2&gt;=50,3,IF((H560+I560)/2&gt;=40,2,IF((H560+I560)/2&gt;=33,1,0)))))))</f>
        <v/>
      </c>
      <c r="AG560">
        <f>IF(Y560,0,IF((J560+K560+L560+M560)/2&gt;=80,5,IF((J560+K560+L560+M560)/2&gt;=70,4,IF((J560+K560+L560+M560)/2&gt;=60,3.5,IF((J560+K560+L560+M560)/2&gt;=50,3,IF((J560+K560+L560+M560)/2&gt;=40,2,IF((J560+K560+L560+M560)/2&gt;=33,1,0)))))))</f>
        <v/>
      </c>
      <c r="AH560">
        <f>IF(Z560,0,IF(N560+O560&gt;=80,5,IF(N560+O560&gt;=70,4,IF(N560+O560&gt;=60,3.5,IF(N560+O560&gt;=50,3,IF(N560+O560&gt;=40,2,IF(N560+O560&gt;=33,1,0)))))))</f>
        <v/>
      </c>
      <c r="AI560">
        <f>IF(AA560,0,IF(P560+Q560&gt;=80,5,IF(P560+Q560&gt;=70,4,IF(P560+Q560&gt;=60,3.5,IF(P560+Q560&gt;=50,3,IF(P560+Q560&gt;=40,2,IF(P560+Q560&gt;=33,1,0)))))))</f>
        <v/>
      </c>
      <c r="AJ560">
        <f>IF(R560&lt;8.25,0,IF(R560*2&gt;=80,5,IF(R560*2&gt;=70,4,IF(R560*2&gt;=60,3.5,IF(R560*2&gt;=50,3,IF(R560*2&gt;=40,2,IF(R560*2&gt;=33,1,0)))))))</f>
        <v/>
      </c>
      <c r="AK560">
        <f>IF(S560&lt;33,0,IF(S560&gt;=80,5,IF(S560&gt;=70,4,IF(S560&gt;=60,3.5,IF(S560&gt;=50,3,IF(S560&gt;=40,2,IF(S560&gt;=33,1,0)))))))</f>
        <v/>
      </c>
      <c r="AL560">
        <f>(AC560+AD560+AE560+AF560+AG560+AH560+AI560+AJ560)/8</f>
        <v/>
      </c>
      <c r="AM560">
        <f>IF(AK560&gt;=2,(AK560-2)/8,0)</f>
        <v/>
      </c>
    </row>
    <row r="561">
      <c r="T561">
        <f>SUM(C561:R561)</f>
        <v/>
      </c>
      <c r="U561" s="6">
        <f>ROUND(T561/11.5,2)</f>
        <v/>
      </c>
      <c r="V561" s="7">
        <f>IF(B561="","",IF(AB561,0,ROUND(AL561,2)))</f>
        <v/>
      </c>
      <c r="W561" s="7">
        <f>IF(B561="","",IF(AB561,0,MIN(5,ROUND(AL561+AM561,2))))</f>
        <v/>
      </c>
      <c r="X561" s="8">
        <f>IF(B561="","",IF(W561&gt;=5,"A+",IF(W561&gt;=4,"A",IF(W561&gt;=3.5,"A-",IF(W561&gt;=3,"B",IF(W561&gt;=2,"C",IF(W561&gt;=1,"D","F")))))))</f>
        <v/>
      </c>
      <c r="Y561">
        <f>NOT(OR(AND(J561&gt;=10,K561&gt;=23,L561&gt;=10,M561&gt;=23),AND(J561+L561&gt;=20,K561+M561&gt;=46)))</f>
        <v/>
      </c>
      <c r="Z561">
        <f>OR(N561&lt;10,O561&lt;23)</f>
        <v/>
      </c>
      <c r="AA561">
        <f>OR(P561&lt;10,Q561&lt;23)</f>
        <v/>
      </c>
      <c r="AB561">
        <f>OR((C561+D561)&lt;66,(E561+F561)&lt;66,G561&lt;33,(H561+I561)&lt;66,Y561,Z561,AA561,R561&lt;8.25)</f>
        <v/>
      </c>
      <c r="AC561">
        <f>IF(C561+D561&lt;66,0,IF((C561+D561)/2&gt;=80,5,IF((C561+D561)/2&gt;=70,4,IF((C561+D561)/2&gt;=60,3.5,IF((C561+D561)/2&gt;=50,3,IF((C561+D561)/2&gt;=40,2,IF((C561+D561)/2&gt;=33,1,0)))))))</f>
        <v/>
      </c>
      <c r="AD561">
        <f>IF(E561+F561&lt;66,0,IF((E561+F561)/2&gt;=80,5,IF((E561+F561)/2&gt;=70,4,IF((E561+F561)/2&gt;=60,3.5,IF((E561+F561)/2&gt;=50,3,IF((E561+F561)/2&gt;=40,2,IF((E561+F561)/2&gt;=33,1,0)))))))</f>
        <v/>
      </c>
      <c r="AE561">
        <f>IF(G561&lt;33,0,IF(G561&gt;=80,5,IF(G561&gt;=70,4,IF(G561&gt;=60,3.5,IF(G561&gt;=50,3,IF(G561&gt;=40,2,IF(G561&gt;=33,1,0)))))))</f>
        <v/>
      </c>
      <c r="AF561">
        <f>IF(H561+I561&lt;66,0,IF((H561+I561)/2&gt;=80,5,IF((H561+I561)/2&gt;=70,4,IF((H561+I561)/2&gt;=60,3.5,IF((H561+I561)/2&gt;=50,3,IF((H561+I561)/2&gt;=40,2,IF((H561+I561)/2&gt;=33,1,0)))))))</f>
        <v/>
      </c>
      <c r="AG561">
        <f>IF(Y561,0,IF((J561+K561+L561+M561)/2&gt;=80,5,IF((J561+K561+L561+M561)/2&gt;=70,4,IF((J561+K561+L561+M561)/2&gt;=60,3.5,IF((J561+K561+L561+M561)/2&gt;=50,3,IF((J561+K561+L561+M561)/2&gt;=40,2,IF((J561+K561+L561+M561)/2&gt;=33,1,0)))))))</f>
        <v/>
      </c>
      <c r="AH561">
        <f>IF(Z561,0,IF(N561+O561&gt;=80,5,IF(N561+O561&gt;=70,4,IF(N561+O561&gt;=60,3.5,IF(N561+O561&gt;=50,3,IF(N561+O561&gt;=40,2,IF(N561+O561&gt;=33,1,0)))))))</f>
        <v/>
      </c>
      <c r="AI561">
        <f>IF(AA561,0,IF(P561+Q561&gt;=80,5,IF(P561+Q561&gt;=70,4,IF(P561+Q561&gt;=60,3.5,IF(P561+Q561&gt;=50,3,IF(P561+Q561&gt;=40,2,IF(P561+Q561&gt;=33,1,0)))))))</f>
        <v/>
      </c>
      <c r="AJ561">
        <f>IF(R561&lt;8.25,0,IF(R561*2&gt;=80,5,IF(R561*2&gt;=70,4,IF(R561*2&gt;=60,3.5,IF(R561*2&gt;=50,3,IF(R561*2&gt;=40,2,IF(R561*2&gt;=33,1,0)))))))</f>
        <v/>
      </c>
      <c r="AK561">
        <f>IF(S561&lt;33,0,IF(S561&gt;=80,5,IF(S561&gt;=70,4,IF(S561&gt;=60,3.5,IF(S561&gt;=50,3,IF(S561&gt;=40,2,IF(S561&gt;=33,1,0)))))))</f>
        <v/>
      </c>
      <c r="AL561">
        <f>(AC561+AD561+AE561+AF561+AG561+AH561+AI561+AJ561)/8</f>
        <v/>
      </c>
      <c r="AM561">
        <f>IF(AK561&gt;=2,(AK561-2)/8,0)</f>
        <v/>
      </c>
    </row>
    <row r="562">
      <c r="T562">
        <f>SUM(C562:R562)</f>
        <v/>
      </c>
      <c r="U562" s="6">
        <f>ROUND(T562/11.5,2)</f>
        <v/>
      </c>
      <c r="V562" s="7">
        <f>IF(B562="","",IF(AB562,0,ROUND(AL562,2)))</f>
        <v/>
      </c>
      <c r="W562" s="7">
        <f>IF(B562="","",IF(AB562,0,MIN(5,ROUND(AL562+AM562,2))))</f>
        <v/>
      </c>
      <c r="X562" s="8">
        <f>IF(B562="","",IF(W562&gt;=5,"A+",IF(W562&gt;=4,"A",IF(W562&gt;=3.5,"A-",IF(W562&gt;=3,"B",IF(W562&gt;=2,"C",IF(W562&gt;=1,"D","F")))))))</f>
        <v/>
      </c>
      <c r="Y562">
        <f>NOT(OR(AND(J562&gt;=10,K562&gt;=23,L562&gt;=10,M562&gt;=23),AND(J562+L562&gt;=20,K562+M562&gt;=46)))</f>
        <v/>
      </c>
      <c r="Z562">
        <f>OR(N562&lt;10,O562&lt;23)</f>
        <v/>
      </c>
      <c r="AA562">
        <f>OR(P562&lt;10,Q562&lt;23)</f>
        <v/>
      </c>
      <c r="AB562">
        <f>OR((C562+D562)&lt;66,(E562+F562)&lt;66,G562&lt;33,(H562+I562)&lt;66,Y562,Z562,AA562,R562&lt;8.25)</f>
        <v/>
      </c>
      <c r="AC562">
        <f>IF(C562+D562&lt;66,0,IF((C562+D562)/2&gt;=80,5,IF((C562+D562)/2&gt;=70,4,IF((C562+D562)/2&gt;=60,3.5,IF((C562+D562)/2&gt;=50,3,IF((C562+D562)/2&gt;=40,2,IF((C562+D562)/2&gt;=33,1,0)))))))</f>
        <v/>
      </c>
      <c r="AD562">
        <f>IF(E562+F562&lt;66,0,IF((E562+F562)/2&gt;=80,5,IF((E562+F562)/2&gt;=70,4,IF((E562+F562)/2&gt;=60,3.5,IF((E562+F562)/2&gt;=50,3,IF((E562+F562)/2&gt;=40,2,IF((E562+F562)/2&gt;=33,1,0)))))))</f>
        <v/>
      </c>
      <c r="AE562">
        <f>IF(G562&lt;33,0,IF(G562&gt;=80,5,IF(G562&gt;=70,4,IF(G562&gt;=60,3.5,IF(G562&gt;=50,3,IF(G562&gt;=40,2,IF(G562&gt;=33,1,0)))))))</f>
        <v/>
      </c>
      <c r="AF562">
        <f>IF(H562+I562&lt;66,0,IF((H562+I562)/2&gt;=80,5,IF((H562+I562)/2&gt;=70,4,IF((H562+I562)/2&gt;=60,3.5,IF((H562+I562)/2&gt;=50,3,IF((H562+I562)/2&gt;=40,2,IF((H562+I562)/2&gt;=33,1,0)))))))</f>
        <v/>
      </c>
      <c r="AG562">
        <f>IF(Y562,0,IF((J562+K562+L562+M562)/2&gt;=80,5,IF((J562+K562+L562+M562)/2&gt;=70,4,IF((J562+K562+L562+M562)/2&gt;=60,3.5,IF((J562+K562+L562+M562)/2&gt;=50,3,IF((J562+K562+L562+M562)/2&gt;=40,2,IF((J562+K562+L562+M562)/2&gt;=33,1,0)))))))</f>
        <v/>
      </c>
      <c r="AH562">
        <f>IF(Z562,0,IF(N562+O562&gt;=80,5,IF(N562+O562&gt;=70,4,IF(N562+O562&gt;=60,3.5,IF(N562+O562&gt;=50,3,IF(N562+O562&gt;=40,2,IF(N562+O562&gt;=33,1,0)))))))</f>
        <v/>
      </c>
      <c r="AI562">
        <f>IF(AA562,0,IF(P562+Q562&gt;=80,5,IF(P562+Q562&gt;=70,4,IF(P562+Q562&gt;=60,3.5,IF(P562+Q562&gt;=50,3,IF(P562+Q562&gt;=40,2,IF(P562+Q562&gt;=33,1,0)))))))</f>
        <v/>
      </c>
      <c r="AJ562">
        <f>IF(R562&lt;8.25,0,IF(R562*2&gt;=80,5,IF(R562*2&gt;=70,4,IF(R562*2&gt;=60,3.5,IF(R562*2&gt;=50,3,IF(R562*2&gt;=40,2,IF(R562*2&gt;=33,1,0)))))))</f>
        <v/>
      </c>
      <c r="AK562">
        <f>IF(S562&lt;33,0,IF(S562&gt;=80,5,IF(S562&gt;=70,4,IF(S562&gt;=60,3.5,IF(S562&gt;=50,3,IF(S562&gt;=40,2,IF(S562&gt;=33,1,0)))))))</f>
        <v/>
      </c>
      <c r="AL562">
        <f>(AC562+AD562+AE562+AF562+AG562+AH562+AI562+AJ562)/8</f>
        <v/>
      </c>
      <c r="AM562">
        <f>IF(AK562&gt;=2,(AK562-2)/8,0)</f>
        <v/>
      </c>
    </row>
    <row r="563">
      <c r="T563">
        <f>SUM(C563:R563)</f>
        <v/>
      </c>
      <c r="U563" s="6">
        <f>ROUND(T563/11.5,2)</f>
        <v/>
      </c>
      <c r="V563" s="7">
        <f>IF(B563="","",IF(AB563,0,ROUND(AL563,2)))</f>
        <v/>
      </c>
      <c r="W563" s="7">
        <f>IF(B563="","",IF(AB563,0,MIN(5,ROUND(AL563+AM563,2))))</f>
        <v/>
      </c>
      <c r="X563" s="8">
        <f>IF(B563="","",IF(W563&gt;=5,"A+",IF(W563&gt;=4,"A",IF(W563&gt;=3.5,"A-",IF(W563&gt;=3,"B",IF(W563&gt;=2,"C",IF(W563&gt;=1,"D","F")))))))</f>
        <v/>
      </c>
      <c r="Y563">
        <f>NOT(OR(AND(J563&gt;=10,K563&gt;=23,L563&gt;=10,M563&gt;=23),AND(J563+L563&gt;=20,K563+M563&gt;=46)))</f>
        <v/>
      </c>
      <c r="Z563">
        <f>OR(N563&lt;10,O563&lt;23)</f>
        <v/>
      </c>
      <c r="AA563">
        <f>OR(P563&lt;10,Q563&lt;23)</f>
        <v/>
      </c>
      <c r="AB563">
        <f>OR((C563+D563)&lt;66,(E563+F563)&lt;66,G563&lt;33,(H563+I563)&lt;66,Y563,Z563,AA563,R563&lt;8.25)</f>
        <v/>
      </c>
      <c r="AC563">
        <f>IF(C563+D563&lt;66,0,IF((C563+D563)/2&gt;=80,5,IF((C563+D563)/2&gt;=70,4,IF((C563+D563)/2&gt;=60,3.5,IF((C563+D563)/2&gt;=50,3,IF((C563+D563)/2&gt;=40,2,IF((C563+D563)/2&gt;=33,1,0)))))))</f>
        <v/>
      </c>
      <c r="AD563">
        <f>IF(E563+F563&lt;66,0,IF((E563+F563)/2&gt;=80,5,IF((E563+F563)/2&gt;=70,4,IF((E563+F563)/2&gt;=60,3.5,IF((E563+F563)/2&gt;=50,3,IF((E563+F563)/2&gt;=40,2,IF((E563+F563)/2&gt;=33,1,0)))))))</f>
        <v/>
      </c>
      <c r="AE563">
        <f>IF(G563&lt;33,0,IF(G563&gt;=80,5,IF(G563&gt;=70,4,IF(G563&gt;=60,3.5,IF(G563&gt;=50,3,IF(G563&gt;=40,2,IF(G563&gt;=33,1,0)))))))</f>
        <v/>
      </c>
      <c r="AF563">
        <f>IF(H563+I563&lt;66,0,IF((H563+I563)/2&gt;=80,5,IF((H563+I563)/2&gt;=70,4,IF((H563+I563)/2&gt;=60,3.5,IF((H563+I563)/2&gt;=50,3,IF((H563+I563)/2&gt;=40,2,IF((H563+I563)/2&gt;=33,1,0)))))))</f>
        <v/>
      </c>
      <c r="AG563">
        <f>IF(Y563,0,IF((J563+K563+L563+M563)/2&gt;=80,5,IF((J563+K563+L563+M563)/2&gt;=70,4,IF((J563+K563+L563+M563)/2&gt;=60,3.5,IF((J563+K563+L563+M563)/2&gt;=50,3,IF((J563+K563+L563+M563)/2&gt;=40,2,IF((J563+K563+L563+M563)/2&gt;=33,1,0)))))))</f>
        <v/>
      </c>
      <c r="AH563">
        <f>IF(Z563,0,IF(N563+O563&gt;=80,5,IF(N563+O563&gt;=70,4,IF(N563+O563&gt;=60,3.5,IF(N563+O563&gt;=50,3,IF(N563+O563&gt;=40,2,IF(N563+O563&gt;=33,1,0)))))))</f>
        <v/>
      </c>
      <c r="AI563">
        <f>IF(AA563,0,IF(P563+Q563&gt;=80,5,IF(P563+Q563&gt;=70,4,IF(P563+Q563&gt;=60,3.5,IF(P563+Q563&gt;=50,3,IF(P563+Q563&gt;=40,2,IF(P563+Q563&gt;=33,1,0)))))))</f>
        <v/>
      </c>
      <c r="AJ563">
        <f>IF(R563&lt;8.25,0,IF(R563*2&gt;=80,5,IF(R563*2&gt;=70,4,IF(R563*2&gt;=60,3.5,IF(R563*2&gt;=50,3,IF(R563*2&gt;=40,2,IF(R563*2&gt;=33,1,0)))))))</f>
        <v/>
      </c>
      <c r="AK563">
        <f>IF(S563&lt;33,0,IF(S563&gt;=80,5,IF(S563&gt;=70,4,IF(S563&gt;=60,3.5,IF(S563&gt;=50,3,IF(S563&gt;=40,2,IF(S563&gt;=33,1,0)))))))</f>
        <v/>
      </c>
      <c r="AL563">
        <f>(AC563+AD563+AE563+AF563+AG563+AH563+AI563+AJ563)/8</f>
        <v/>
      </c>
      <c r="AM563">
        <f>IF(AK563&gt;=2,(AK563-2)/8,0)</f>
        <v/>
      </c>
    </row>
    <row r="564">
      <c r="T564">
        <f>SUM(C564:R564)</f>
        <v/>
      </c>
      <c r="U564" s="6">
        <f>ROUND(T564/11.5,2)</f>
        <v/>
      </c>
      <c r="V564" s="7">
        <f>IF(B564="","",IF(AB564,0,ROUND(AL564,2)))</f>
        <v/>
      </c>
      <c r="W564" s="7">
        <f>IF(B564="","",IF(AB564,0,MIN(5,ROUND(AL564+AM564,2))))</f>
        <v/>
      </c>
      <c r="X564" s="8">
        <f>IF(B564="","",IF(W564&gt;=5,"A+",IF(W564&gt;=4,"A",IF(W564&gt;=3.5,"A-",IF(W564&gt;=3,"B",IF(W564&gt;=2,"C",IF(W564&gt;=1,"D","F")))))))</f>
        <v/>
      </c>
      <c r="Y564">
        <f>NOT(OR(AND(J564&gt;=10,K564&gt;=23,L564&gt;=10,M564&gt;=23),AND(J564+L564&gt;=20,K564+M564&gt;=46)))</f>
        <v/>
      </c>
      <c r="Z564">
        <f>OR(N564&lt;10,O564&lt;23)</f>
        <v/>
      </c>
      <c r="AA564">
        <f>OR(P564&lt;10,Q564&lt;23)</f>
        <v/>
      </c>
      <c r="AB564">
        <f>OR((C564+D564)&lt;66,(E564+F564)&lt;66,G564&lt;33,(H564+I564)&lt;66,Y564,Z564,AA564,R564&lt;8.25)</f>
        <v/>
      </c>
      <c r="AC564">
        <f>IF(C564+D564&lt;66,0,IF((C564+D564)/2&gt;=80,5,IF((C564+D564)/2&gt;=70,4,IF((C564+D564)/2&gt;=60,3.5,IF((C564+D564)/2&gt;=50,3,IF((C564+D564)/2&gt;=40,2,IF((C564+D564)/2&gt;=33,1,0)))))))</f>
        <v/>
      </c>
      <c r="AD564">
        <f>IF(E564+F564&lt;66,0,IF((E564+F564)/2&gt;=80,5,IF((E564+F564)/2&gt;=70,4,IF((E564+F564)/2&gt;=60,3.5,IF((E564+F564)/2&gt;=50,3,IF((E564+F564)/2&gt;=40,2,IF((E564+F564)/2&gt;=33,1,0)))))))</f>
        <v/>
      </c>
      <c r="AE564">
        <f>IF(G564&lt;33,0,IF(G564&gt;=80,5,IF(G564&gt;=70,4,IF(G564&gt;=60,3.5,IF(G564&gt;=50,3,IF(G564&gt;=40,2,IF(G564&gt;=33,1,0)))))))</f>
        <v/>
      </c>
      <c r="AF564">
        <f>IF(H564+I564&lt;66,0,IF((H564+I564)/2&gt;=80,5,IF((H564+I564)/2&gt;=70,4,IF((H564+I564)/2&gt;=60,3.5,IF((H564+I564)/2&gt;=50,3,IF((H564+I564)/2&gt;=40,2,IF((H564+I564)/2&gt;=33,1,0)))))))</f>
        <v/>
      </c>
      <c r="AG564">
        <f>IF(Y564,0,IF((J564+K564+L564+M564)/2&gt;=80,5,IF((J564+K564+L564+M564)/2&gt;=70,4,IF((J564+K564+L564+M564)/2&gt;=60,3.5,IF((J564+K564+L564+M564)/2&gt;=50,3,IF((J564+K564+L564+M564)/2&gt;=40,2,IF((J564+K564+L564+M564)/2&gt;=33,1,0)))))))</f>
        <v/>
      </c>
      <c r="AH564">
        <f>IF(Z564,0,IF(N564+O564&gt;=80,5,IF(N564+O564&gt;=70,4,IF(N564+O564&gt;=60,3.5,IF(N564+O564&gt;=50,3,IF(N564+O564&gt;=40,2,IF(N564+O564&gt;=33,1,0)))))))</f>
        <v/>
      </c>
      <c r="AI564">
        <f>IF(AA564,0,IF(P564+Q564&gt;=80,5,IF(P564+Q564&gt;=70,4,IF(P564+Q564&gt;=60,3.5,IF(P564+Q564&gt;=50,3,IF(P564+Q564&gt;=40,2,IF(P564+Q564&gt;=33,1,0)))))))</f>
        <v/>
      </c>
      <c r="AJ564">
        <f>IF(R564&lt;8.25,0,IF(R564*2&gt;=80,5,IF(R564*2&gt;=70,4,IF(R564*2&gt;=60,3.5,IF(R564*2&gt;=50,3,IF(R564*2&gt;=40,2,IF(R564*2&gt;=33,1,0)))))))</f>
        <v/>
      </c>
      <c r="AK564">
        <f>IF(S564&lt;33,0,IF(S564&gt;=80,5,IF(S564&gt;=70,4,IF(S564&gt;=60,3.5,IF(S564&gt;=50,3,IF(S564&gt;=40,2,IF(S564&gt;=33,1,0)))))))</f>
        <v/>
      </c>
      <c r="AL564">
        <f>(AC564+AD564+AE564+AF564+AG564+AH564+AI564+AJ564)/8</f>
        <v/>
      </c>
      <c r="AM564">
        <f>IF(AK564&gt;=2,(AK564-2)/8,0)</f>
        <v/>
      </c>
    </row>
    <row r="565">
      <c r="T565">
        <f>SUM(C565:R565)</f>
        <v/>
      </c>
      <c r="U565" s="6">
        <f>ROUND(T565/11.5,2)</f>
        <v/>
      </c>
      <c r="V565" s="7">
        <f>IF(B565="","",IF(AB565,0,ROUND(AL565,2)))</f>
        <v/>
      </c>
      <c r="W565" s="7">
        <f>IF(B565="","",IF(AB565,0,MIN(5,ROUND(AL565+AM565,2))))</f>
        <v/>
      </c>
      <c r="X565" s="8">
        <f>IF(B565="","",IF(W565&gt;=5,"A+",IF(W565&gt;=4,"A",IF(W565&gt;=3.5,"A-",IF(W565&gt;=3,"B",IF(W565&gt;=2,"C",IF(W565&gt;=1,"D","F")))))))</f>
        <v/>
      </c>
      <c r="Y565">
        <f>NOT(OR(AND(J565&gt;=10,K565&gt;=23,L565&gt;=10,M565&gt;=23),AND(J565+L565&gt;=20,K565+M565&gt;=46)))</f>
        <v/>
      </c>
      <c r="Z565">
        <f>OR(N565&lt;10,O565&lt;23)</f>
        <v/>
      </c>
      <c r="AA565">
        <f>OR(P565&lt;10,Q565&lt;23)</f>
        <v/>
      </c>
      <c r="AB565">
        <f>OR((C565+D565)&lt;66,(E565+F565)&lt;66,G565&lt;33,(H565+I565)&lt;66,Y565,Z565,AA565,R565&lt;8.25)</f>
        <v/>
      </c>
      <c r="AC565">
        <f>IF(C565+D565&lt;66,0,IF((C565+D565)/2&gt;=80,5,IF((C565+D565)/2&gt;=70,4,IF((C565+D565)/2&gt;=60,3.5,IF((C565+D565)/2&gt;=50,3,IF((C565+D565)/2&gt;=40,2,IF((C565+D565)/2&gt;=33,1,0)))))))</f>
        <v/>
      </c>
      <c r="AD565">
        <f>IF(E565+F565&lt;66,0,IF((E565+F565)/2&gt;=80,5,IF((E565+F565)/2&gt;=70,4,IF((E565+F565)/2&gt;=60,3.5,IF((E565+F565)/2&gt;=50,3,IF((E565+F565)/2&gt;=40,2,IF((E565+F565)/2&gt;=33,1,0)))))))</f>
        <v/>
      </c>
      <c r="AE565">
        <f>IF(G565&lt;33,0,IF(G565&gt;=80,5,IF(G565&gt;=70,4,IF(G565&gt;=60,3.5,IF(G565&gt;=50,3,IF(G565&gt;=40,2,IF(G565&gt;=33,1,0)))))))</f>
        <v/>
      </c>
      <c r="AF565">
        <f>IF(H565+I565&lt;66,0,IF((H565+I565)/2&gt;=80,5,IF((H565+I565)/2&gt;=70,4,IF((H565+I565)/2&gt;=60,3.5,IF((H565+I565)/2&gt;=50,3,IF((H565+I565)/2&gt;=40,2,IF((H565+I565)/2&gt;=33,1,0)))))))</f>
        <v/>
      </c>
      <c r="AG565">
        <f>IF(Y565,0,IF((J565+K565+L565+M565)/2&gt;=80,5,IF((J565+K565+L565+M565)/2&gt;=70,4,IF((J565+K565+L565+M565)/2&gt;=60,3.5,IF((J565+K565+L565+M565)/2&gt;=50,3,IF((J565+K565+L565+M565)/2&gt;=40,2,IF((J565+K565+L565+M565)/2&gt;=33,1,0)))))))</f>
        <v/>
      </c>
      <c r="AH565">
        <f>IF(Z565,0,IF(N565+O565&gt;=80,5,IF(N565+O565&gt;=70,4,IF(N565+O565&gt;=60,3.5,IF(N565+O565&gt;=50,3,IF(N565+O565&gt;=40,2,IF(N565+O565&gt;=33,1,0)))))))</f>
        <v/>
      </c>
      <c r="AI565">
        <f>IF(AA565,0,IF(P565+Q565&gt;=80,5,IF(P565+Q565&gt;=70,4,IF(P565+Q565&gt;=60,3.5,IF(P565+Q565&gt;=50,3,IF(P565+Q565&gt;=40,2,IF(P565+Q565&gt;=33,1,0)))))))</f>
        <v/>
      </c>
      <c r="AJ565">
        <f>IF(R565&lt;8.25,0,IF(R565*2&gt;=80,5,IF(R565*2&gt;=70,4,IF(R565*2&gt;=60,3.5,IF(R565*2&gt;=50,3,IF(R565*2&gt;=40,2,IF(R565*2&gt;=33,1,0)))))))</f>
        <v/>
      </c>
      <c r="AK565">
        <f>IF(S565&lt;33,0,IF(S565&gt;=80,5,IF(S565&gt;=70,4,IF(S565&gt;=60,3.5,IF(S565&gt;=50,3,IF(S565&gt;=40,2,IF(S565&gt;=33,1,0)))))))</f>
        <v/>
      </c>
      <c r="AL565">
        <f>(AC565+AD565+AE565+AF565+AG565+AH565+AI565+AJ565)/8</f>
        <v/>
      </c>
      <c r="AM565">
        <f>IF(AK565&gt;=2,(AK565-2)/8,0)</f>
        <v/>
      </c>
    </row>
    <row r="566">
      <c r="T566">
        <f>SUM(C566:R566)</f>
        <v/>
      </c>
      <c r="U566" s="6">
        <f>ROUND(T566/11.5,2)</f>
        <v/>
      </c>
      <c r="V566" s="7">
        <f>IF(B566="","",IF(AB566,0,ROUND(AL566,2)))</f>
        <v/>
      </c>
      <c r="W566" s="7">
        <f>IF(B566="","",IF(AB566,0,MIN(5,ROUND(AL566+AM566,2))))</f>
        <v/>
      </c>
      <c r="X566" s="8">
        <f>IF(B566="","",IF(W566&gt;=5,"A+",IF(W566&gt;=4,"A",IF(W566&gt;=3.5,"A-",IF(W566&gt;=3,"B",IF(W566&gt;=2,"C",IF(W566&gt;=1,"D","F")))))))</f>
        <v/>
      </c>
      <c r="Y566">
        <f>NOT(OR(AND(J566&gt;=10,K566&gt;=23,L566&gt;=10,M566&gt;=23),AND(J566+L566&gt;=20,K566+M566&gt;=46)))</f>
        <v/>
      </c>
      <c r="Z566">
        <f>OR(N566&lt;10,O566&lt;23)</f>
        <v/>
      </c>
      <c r="AA566">
        <f>OR(P566&lt;10,Q566&lt;23)</f>
        <v/>
      </c>
      <c r="AB566">
        <f>OR((C566+D566)&lt;66,(E566+F566)&lt;66,G566&lt;33,(H566+I566)&lt;66,Y566,Z566,AA566,R566&lt;8.25)</f>
        <v/>
      </c>
      <c r="AC566">
        <f>IF(C566+D566&lt;66,0,IF((C566+D566)/2&gt;=80,5,IF((C566+D566)/2&gt;=70,4,IF((C566+D566)/2&gt;=60,3.5,IF((C566+D566)/2&gt;=50,3,IF((C566+D566)/2&gt;=40,2,IF((C566+D566)/2&gt;=33,1,0)))))))</f>
        <v/>
      </c>
      <c r="AD566">
        <f>IF(E566+F566&lt;66,0,IF((E566+F566)/2&gt;=80,5,IF((E566+F566)/2&gt;=70,4,IF((E566+F566)/2&gt;=60,3.5,IF((E566+F566)/2&gt;=50,3,IF((E566+F566)/2&gt;=40,2,IF((E566+F566)/2&gt;=33,1,0)))))))</f>
        <v/>
      </c>
      <c r="AE566">
        <f>IF(G566&lt;33,0,IF(G566&gt;=80,5,IF(G566&gt;=70,4,IF(G566&gt;=60,3.5,IF(G566&gt;=50,3,IF(G566&gt;=40,2,IF(G566&gt;=33,1,0)))))))</f>
        <v/>
      </c>
      <c r="AF566">
        <f>IF(H566+I566&lt;66,0,IF((H566+I566)/2&gt;=80,5,IF((H566+I566)/2&gt;=70,4,IF((H566+I566)/2&gt;=60,3.5,IF((H566+I566)/2&gt;=50,3,IF((H566+I566)/2&gt;=40,2,IF((H566+I566)/2&gt;=33,1,0)))))))</f>
        <v/>
      </c>
      <c r="AG566">
        <f>IF(Y566,0,IF((J566+K566+L566+M566)/2&gt;=80,5,IF((J566+K566+L566+M566)/2&gt;=70,4,IF((J566+K566+L566+M566)/2&gt;=60,3.5,IF((J566+K566+L566+M566)/2&gt;=50,3,IF((J566+K566+L566+M566)/2&gt;=40,2,IF((J566+K566+L566+M566)/2&gt;=33,1,0)))))))</f>
        <v/>
      </c>
      <c r="AH566">
        <f>IF(Z566,0,IF(N566+O566&gt;=80,5,IF(N566+O566&gt;=70,4,IF(N566+O566&gt;=60,3.5,IF(N566+O566&gt;=50,3,IF(N566+O566&gt;=40,2,IF(N566+O566&gt;=33,1,0)))))))</f>
        <v/>
      </c>
      <c r="AI566">
        <f>IF(AA566,0,IF(P566+Q566&gt;=80,5,IF(P566+Q566&gt;=70,4,IF(P566+Q566&gt;=60,3.5,IF(P566+Q566&gt;=50,3,IF(P566+Q566&gt;=40,2,IF(P566+Q566&gt;=33,1,0)))))))</f>
        <v/>
      </c>
      <c r="AJ566">
        <f>IF(R566&lt;8.25,0,IF(R566*2&gt;=80,5,IF(R566*2&gt;=70,4,IF(R566*2&gt;=60,3.5,IF(R566*2&gt;=50,3,IF(R566*2&gt;=40,2,IF(R566*2&gt;=33,1,0)))))))</f>
        <v/>
      </c>
      <c r="AK566">
        <f>IF(S566&lt;33,0,IF(S566&gt;=80,5,IF(S566&gt;=70,4,IF(S566&gt;=60,3.5,IF(S566&gt;=50,3,IF(S566&gt;=40,2,IF(S566&gt;=33,1,0)))))))</f>
        <v/>
      </c>
      <c r="AL566">
        <f>(AC566+AD566+AE566+AF566+AG566+AH566+AI566+AJ566)/8</f>
        <v/>
      </c>
      <c r="AM566">
        <f>IF(AK566&gt;=2,(AK566-2)/8,0)</f>
        <v/>
      </c>
    </row>
    <row r="567">
      <c r="T567">
        <f>SUM(C567:R567)</f>
        <v/>
      </c>
      <c r="U567" s="6">
        <f>ROUND(T567/11.5,2)</f>
        <v/>
      </c>
      <c r="V567" s="7">
        <f>IF(B567="","",IF(AB567,0,ROUND(AL567,2)))</f>
        <v/>
      </c>
      <c r="W567" s="7">
        <f>IF(B567="","",IF(AB567,0,MIN(5,ROUND(AL567+AM567,2))))</f>
        <v/>
      </c>
      <c r="X567" s="8">
        <f>IF(B567="","",IF(W567&gt;=5,"A+",IF(W567&gt;=4,"A",IF(W567&gt;=3.5,"A-",IF(W567&gt;=3,"B",IF(W567&gt;=2,"C",IF(W567&gt;=1,"D","F")))))))</f>
        <v/>
      </c>
      <c r="Y567">
        <f>NOT(OR(AND(J567&gt;=10,K567&gt;=23,L567&gt;=10,M567&gt;=23),AND(J567+L567&gt;=20,K567+M567&gt;=46)))</f>
        <v/>
      </c>
      <c r="Z567">
        <f>OR(N567&lt;10,O567&lt;23)</f>
        <v/>
      </c>
      <c r="AA567">
        <f>OR(P567&lt;10,Q567&lt;23)</f>
        <v/>
      </c>
      <c r="AB567">
        <f>OR((C567+D567)&lt;66,(E567+F567)&lt;66,G567&lt;33,(H567+I567)&lt;66,Y567,Z567,AA567,R567&lt;8.25)</f>
        <v/>
      </c>
      <c r="AC567">
        <f>IF(C567+D567&lt;66,0,IF((C567+D567)/2&gt;=80,5,IF((C567+D567)/2&gt;=70,4,IF((C567+D567)/2&gt;=60,3.5,IF((C567+D567)/2&gt;=50,3,IF((C567+D567)/2&gt;=40,2,IF((C567+D567)/2&gt;=33,1,0)))))))</f>
        <v/>
      </c>
      <c r="AD567">
        <f>IF(E567+F567&lt;66,0,IF((E567+F567)/2&gt;=80,5,IF((E567+F567)/2&gt;=70,4,IF((E567+F567)/2&gt;=60,3.5,IF((E567+F567)/2&gt;=50,3,IF((E567+F567)/2&gt;=40,2,IF((E567+F567)/2&gt;=33,1,0)))))))</f>
        <v/>
      </c>
      <c r="AE567">
        <f>IF(G567&lt;33,0,IF(G567&gt;=80,5,IF(G567&gt;=70,4,IF(G567&gt;=60,3.5,IF(G567&gt;=50,3,IF(G567&gt;=40,2,IF(G567&gt;=33,1,0)))))))</f>
        <v/>
      </c>
      <c r="AF567">
        <f>IF(H567+I567&lt;66,0,IF((H567+I567)/2&gt;=80,5,IF((H567+I567)/2&gt;=70,4,IF((H567+I567)/2&gt;=60,3.5,IF((H567+I567)/2&gt;=50,3,IF((H567+I567)/2&gt;=40,2,IF((H567+I567)/2&gt;=33,1,0)))))))</f>
        <v/>
      </c>
      <c r="AG567">
        <f>IF(Y567,0,IF((J567+K567+L567+M567)/2&gt;=80,5,IF((J567+K567+L567+M567)/2&gt;=70,4,IF((J567+K567+L567+M567)/2&gt;=60,3.5,IF((J567+K567+L567+M567)/2&gt;=50,3,IF((J567+K567+L567+M567)/2&gt;=40,2,IF((J567+K567+L567+M567)/2&gt;=33,1,0)))))))</f>
        <v/>
      </c>
      <c r="AH567">
        <f>IF(Z567,0,IF(N567+O567&gt;=80,5,IF(N567+O567&gt;=70,4,IF(N567+O567&gt;=60,3.5,IF(N567+O567&gt;=50,3,IF(N567+O567&gt;=40,2,IF(N567+O567&gt;=33,1,0)))))))</f>
        <v/>
      </c>
      <c r="AI567">
        <f>IF(AA567,0,IF(P567+Q567&gt;=80,5,IF(P567+Q567&gt;=70,4,IF(P567+Q567&gt;=60,3.5,IF(P567+Q567&gt;=50,3,IF(P567+Q567&gt;=40,2,IF(P567+Q567&gt;=33,1,0)))))))</f>
        <v/>
      </c>
      <c r="AJ567">
        <f>IF(R567&lt;8.25,0,IF(R567*2&gt;=80,5,IF(R567*2&gt;=70,4,IF(R567*2&gt;=60,3.5,IF(R567*2&gt;=50,3,IF(R567*2&gt;=40,2,IF(R567*2&gt;=33,1,0)))))))</f>
        <v/>
      </c>
      <c r="AK567">
        <f>IF(S567&lt;33,0,IF(S567&gt;=80,5,IF(S567&gt;=70,4,IF(S567&gt;=60,3.5,IF(S567&gt;=50,3,IF(S567&gt;=40,2,IF(S567&gt;=33,1,0)))))))</f>
        <v/>
      </c>
      <c r="AL567">
        <f>(AC567+AD567+AE567+AF567+AG567+AH567+AI567+AJ567)/8</f>
        <v/>
      </c>
      <c r="AM567">
        <f>IF(AK567&gt;=2,(AK567-2)/8,0)</f>
        <v/>
      </c>
    </row>
    <row r="568">
      <c r="T568">
        <f>SUM(C568:R568)</f>
        <v/>
      </c>
      <c r="U568" s="6">
        <f>ROUND(T568/11.5,2)</f>
        <v/>
      </c>
      <c r="V568" s="7">
        <f>IF(B568="","",IF(AB568,0,ROUND(AL568,2)))</f>
        <v/>
      </c>
      <c r="W568" s="7">
        <f>IF(B568="","",IF(AB568,0,MIN(5,ROUND(AL568+AM568,2))))</f>
        <v/>
      </c>
      <c r="X568" s="8">
        <f>IF(B568="","",IF(W568&gt;=5,"A+",IF(W568&gt;=4,"A",IF(W568&gt;=3.5,"A-",IF(W568&gt;=3,"B",IF(W568&gt;=2,"C",IF(W568&gt;=1,"D","F")))))))</f>
        <v/>
      </c>
      <c r="Y568">
        <f>NOT(OR(AND(J568&gt;=10,K568&gt;=23,L568&gt;=10,M568&gt;=23),AND(J568+L568&gt;=20,K568+M568&gt;=46)))</f>
        <v/>
      </c>
      <c r="Z568">
        <f>OR(N568&lt;10,O568&lt;23)</f>
        <v/>
      </c>
      <c r="AA568">
        <f>OR(P568&lt;10,Q568&lt;23)</f>
        <v/>
      </c>
      <c r="AB568">
        <f>OR((C568+D568)&lt;66,(E568+F568)&lt;66,G568&lt;33,(H568+I568)&lt;66,Y568,Z568,AA568,R568&lt;8.25)</f>
        <v/>
      </c>
      <c r="AC568">
        <f>IF(C568+D568&lt;66,0,IF((C568+D568)/2&gt;=80,5,IF((C568+D568)/2&gt;=70,4,IF((C568+D568)/2&gt;=60,3.5,IF((C568+D568)/2&gt;=50,3,IF((C568+D568)/2&gt;=40,2,IF((C568+D568)/2&gt;=33,1,0)))))))</f>
        <v/>
      </c>
      <c r="AD568">
        <f>IF(E568+F568&lt;66,0,IF((E568+F568)/2&gt;=80,5,IF((E568+F568)/2&gt;=70,4,IF((E568+F568)/2&gt;=60,3.5,IF((E568+F568)/2&gt;=50,3,IF((E568+F568)/2&gt;=40,2,IF((E568+F568)/2&gt;=33,1,0)))))))</f>
        <v/>
      </c>
      <c r="AE568">
        <f>IF(G568&lt;33,0,IF(G568&gt;=80,5,IF(G568&gt;=70,4,IF(G568&gt;=60,3.5,IF(G568&gt;=50,3,IF(G568&gt;=40,2,IF(G568&gt;=33,1,0)))))))</f>
        <v/>
      </c>
      <c r="AF568">
        <f>IF(H568+I568&lt;66,0,IF((H568+I568)/2&gt;=80,5,IF((H568+I568)/2&gt;=70,4,IF((H568+I568)/2&gt;=60,3.5,IF((H568+I568)/2&gt;=50,3,IF((H568+I568)/2&gt;=40,2,IF((H568+I568)/2&gt;=33,1,0)))))))</f>
        <v/>
      </c>
      <c r="AG568">
        <f>IF(Y568,0,IF((J568+K568+L568+M568)/2&gt;=80,5,IF((J568+K568+L568+M568)/2&gt;=70,4,IF((J568+K568+L568+M568)/2&gt;=60,3.5,IF((J568+K568+L568+M568)/2&gt;=50,3,IF((J568+K568+L568+M568)/2&gt;=40,2,IF((J568+K568+L568+M568)/2&gt;=33,1,0)))))))</f>
        <v/>
      </c>
      <c r="AH568">
        <f>IF(Z568,0,IF(N568+O568&gt;=80,5,IF(N568+O568&gt;=70,4,IF(N568+O568&gt;=60,3.5,IF(N568+O568&gt;=50,3,IF(N568+O568&gt;=40,2,IF(N568+O568&gt;=33,1,0)))))))</f>
        <v/>
      </c>
      <c r="AI568">
        <f>IF(AA568,0,IF(P568+Q568&gt;=80,5,IF(P568+Q568&gt;=70,4,IF(P568+Q568&gt;=60,3.5,IF(P568+Q568&gt;=50,3,IF(P568+Q568&gt;=40,2,IF(P568+Q568&gt;=33,1,0)))))))</f>
        <v/>
      </c>
      <c r="AJ568">
        <f>IF(R568&lt;8.25,0,IF(R568*2&gt;=80,5,IF(R568*2&gt;=70,4,IF(R568*2&gt;=60,3.5,IF(R568*2&gt;=50,3,IF(R568*2&gt;=40,2,IF(R568*2&gt;=33,1,0)))))))</f>
        <v/>
      </c>
      <c r="AK568">
        <f>IF(S568&lt;33,0,IF(S568&gt;=80,5,IF(S568&gt;=70,4,IF(S568&gt;=60,3.5,IF(S568&gt;=50,3,IF(S568&gt;=40,2,IF(S568&gt;=33,1,0)))))))</f>
        <v/>
      </c>
      <c r="AL568">
        <f>(AC568+AD568+AE568+AF568+AG568+AH568+AI568+AJ568)/8</f>
        <v/>
      </c>
      <c r="AM568">
        <f>IF(AK568&gt;=2,(AK568-2)/8,0)</f>
        <v/>
      </c>
    </row>
    <row r="569">
      <c r="T569">
        <f>SUM(C569:R569)</f>
        <v/>
      </c>
      <c r="U569" s="6">
        <f>ROUND(T569/11.5,2)</f>
        <v/>
      </c>
      <c r="V569" s="7">
        <f>IF(B569="","",IF(AB569,0,ROUND(AL569,2)))</f>
        <v/>
      </c>
      <c r="W569" s="7">
        <f>IF(B569="","",IF(AB569,0,MIN(5,ROUND(AL569+AM569,2))))</f>
        <v/>
      </c>
      <c r="X569" s="8">
        <f>IF(B569="","",IF(W569&gt;=5,"A+",IF(W569&gt;=4,"A",IF(W569&gt;=3.5,"A-",IF(W569&gt;=3,"B",IF(W569&gt;=2,"C",IF(W569&gt;=1,"D","F")))))))</f>
        <v/>
      </c>
      <c r="Y569">
        <f>NOT(OR(AND(J569&gt;=10,K569&gt;=23,L569&gt;=10,M569&gt;=23),AND(J569+L569&gt;=20,K569+M569&gt;=46)))</f>
        <v/>
      </c>
      <c r="Z569">
        <f>OR(N569&lt;10,O569&lt;23)</f>
        <v/>
      </c>
      <c r="AA569">
        <f>OR(P569&lt;10,Q569&lt;23)</f>
        <v/>
      </c>
      <c r="AB569">
        <f>OR((C569+D569)&lt;66,(E569+F569)&lt;66,G569&lt;33,(H569+I569)&lt;66,Y569,Z569,AA569,R569&lt;8.25)</f>
        <v/>
      </c>
      <c r="AC569">
        <f>IF(C569+D569&lt;66,0,IF((C569+D569)/2&gt;=80,5,IF((C569+D569)/2&gt;=70,4,IF((C569+D569)/2&gt;=60,3.5,IF((C569+D569)/2&gt;=50,3,IF((C569+D569)/2&gt;=40,2,IF((C569+D569)/2&gt;=33,1,0)))))))</f>
        <v/>
      </c>
      <c r="AD569">
        <f>IF(E569+F569&lt;66,0,IF((E569+F569)/2&gt;=80,5,IF((E569+F569)/2&gt;=70,4,IF((E569+F569)/2&gt;=60,3.5,IF((E569+F569)/2&gt;=50,3,IF((E569+F569)/2&gt;=40,2,IF((E569+F569)/2&gt;=33,1,0)))))))</f>
        <v/>
      </c>
      <c r="AE569">
        <f>IF(G569&lt;33,0,IF(G569&gt;=80,5,IF(G569&gt;=70,4,IF(G569&gt;=60,3.5,IF(G569&gt;=50,3,IF(G569&gt;=40,2,IF(G569&gt;=33,1,0)))))))</f>
        <v/>
      </c>
      <c r="AF569">
        <f>IF(H569+I569&lt;66,0,IF((H569+I569)/2&gt;=80,5,IF((H569+I569)/2&gt;=70,4,IF((H569+I569)/2&gt;=60,3.5,IF((H569+I569)/2&gt;=50,3,IF((H569+I569)/2&gt;=40,2,IF((H569+I569)/2&gt;=33,1,0)))))))</f>
        <v/>
      </c>
      <c r="AG569">
        <f>IF(Y569,0,IF((J569+K569+L569+M569)/2&gt;=80,5,IF((J569+K569+L569+M569)/2&gt;=70,4,IF((J569+K569+L569+M569)/2&gt;=60,3.5,IF((J569+K569+L569+M569)/2&gt;=50,3,IF((J569+K569+L569+M569)/2&gt;=40,2,IF((J569+K569+L569+M569)/2&gt;=33,1,0)))))))</f>
        <v/>
      </c>
      <c r="AH569">
        <f>IF(Z569,0,IF(N569+O569&gt;=80,5,IF(N569+O569&gt;=70,4,IF(N569+O569&gt;=60,3.5,IF(N569+O569&gt;=50,3,IF(N569+O569&gt;=40,2,IF(N569+O569&gt;=33,1,0)))))))</f>
        <v/>
      </c>
      <c r="AI569">
        <f>IF(AA569,0,IF(P569+Q569&gt;=80,5,IF(P569+Q569&gt;=70,4,IF(P569+Q569&gt;=60,3.5,IF(P569+Q569&gt;=50,3,IF(P569+Q569&gt;=40,2,IF(P569+Q569&gt;=33,1,0)))))))</f>
        <v/>
      </c>
      <c r="AJ569">
        <f>IF(R569&lt;8.25,0,IF(R569*2&gt;=80,5,IF(R569*2&gt;=70,4,IF(R569*2&gt;=60,3.5,IF(R569*2&gt;=50,3,IF(R569*2&gt;=40,2,IF(R569*2&gt;=33,1,0)))))))</f>
        <v/>
      </c>
      <c r="AK569">
        <f>IF(S569&lt;33,0,IF(S569&gt;=80,5,IF(S569&gt;=70,4,IF(S569&gt;=60,3.5,IF(S569&gt;=50,3,IF(S569&gt;=40,2,IF(S569&gt;=33,1,0)))))))</f>
        <v/>
      </c>
      <c r="AL569">
        <f>(AC569+AD569+AE569+AF569+AG569+AH569+AI569+AJ569)/8</f>
        <v/>
      </c>
      <c r="AM569">
        <f>IF(AK569&gt;=2,(AK569-2)/8,0)</f>
        <v/>
      </c>
    </row>
    <row r="570">
      <c r="T570">
        <f>SUM(C570:R570)</f>
        <v/>
      </c>
      <c r="U570" s="6">
        <f>ROUND(T570/11.5,2)</f>
        <v/>
      </c>
      <c r="V570" s="7">
        <f>IF(B570="","",IF(AB570,0,ROUND(AL570,2)))</f>
        <v/>
      </c>
      <c r="W570" s="7">
        <f>IF(B570="","",IF(AB570,0,MIN(5,ROUND(AL570+AM570,2))))</f>
        <v/>
      </c>
      <c r="X570" s="8">
        <f>IF(B570="","",IF(W570&gt;=5,"A+",IF(W570&gt;=4,"A",IF(W570&gt;=3.5,"A-",IF(W570&gt;=3,"B",IF(W570&gt;=2,"C",IF(W570&gt;=1,"D","F")))))))</f>
        <v/>
      </c>
      <c r="Y570">
        <f>NOT(OR(AND(J570&gt;=10,K570&gt;=23,L570&gt;=10,M570&gt;=23),AND(J570+L570&gt;=20,K570+M570&gt;=46)))</f>
        <v/>
      </c>
      <c r="Z570">
        <f>OR(N570&lt;10,O570&lt;23)</f>
        <v/>
      </c>
      <c r="AA570">
        <f>OR(P570&lt;10,Q570&lt;23)</f>
        <v/>
      </c>
      <c r="AB570">
        <f>OR((C570+D570)&lt;66,(E570+F570)&lt;66,G570&lt;33,(H570+I570)&lt;66,Y570,Z570,AA570,R570&lt;8.25)</f>
        <v/>
      </c>
      <c r="AC570">
        <f>IF(C570+D570&lt;66,0,IF((C570+D570)/2&gt;=80,5,IF((C570+D570)/2&gt;=70,4,IF((C570+D570)/2&gt;=60,3.5,IF((C570+D570)/2&gt;=50,3,IF((C570+D570)/2&gt;=40,2,IF((C570+D570)/2&gt;=33,1,0)))))))</f>
        <v/>
      </c>
      <c r="AD570">
        <f>IF(E570+F570&lt;66,0,IF((E570+F570)/2&gt;=80,5,IF((E570+F570)/2&gt;=70,4,IF((E570+F570)/2&gt;=60,3.5,IF((E570+F570)/2&gt;=50,3,IF((E570+F570)/2&gt;=40,2,IF((E570+F570)/2&gt;=33,1,0)))))))</f>
        <v/>
      </c>
      <c r="AE570">
        <f>IF(G570&lt;33,0,IF(G570&gt;=80,5,IF(G570&gt;=70,4,IF(G570&gt;=60,3.5,IF(G570&gt;=50,3,IF(G570&gt;=40,2,IF(G570&gt;=33,1,0)))))))</f>
        <v/>
      </c>
      <c r="AF570">
        <f>IF(H570+I570&lt;66,0,IF((H570+I570)/2&gt;=80,5,IF((H570+I570)/2&gt;=70,4,IF((H570+I570)/2&gt;=60,3.5,IF((H570+I570)/2&gt;=50,3,IF((H570+I570)/2&gt;=40,2,IF((H570+I570)/2&gt;=33,1,0)))))))</f>
        <v/>
      </c>
      <c r="AG570">
        <f>IF(Y570,0,IF((J570+K570+L570+M570)/2&gt;=80,5,IF((J570+K570+L570+M570)/2&gt;=70,4,IF((J570+K570+L570+M570)/2&gt;=60,3.5,IF((J570+K570+L570+M570)/2&gt;=50,3,IF((J570+K570+L570+M570)/2&gt;=40,2,IF((J570+K570+L570+M570)/2&gt;=33,1,0)))))))</f>
        <v/>
      </c>
      <c r="AH570">
        <f>IF(Z570,0,IF(N570+O570&gt;=80,5,IF(N570+O570&gt;=70,4,IF(N570+O570&gt;=60,3.5,IF(N570+O570&gt;=50,3,IF(N570+O570&gt;=40,2,IF(N570+O570&gt;=33,1,0)))))))</f>
        <v/>
      </c>
      <c r="AI570">
        <f>IF(AA570,0,IF(P570+Q570&gt;=80,5,IF(P570+Q570&gt;=70,4,IF(P570+Q570&gt;=60,3.5,IF(P570+Q570&gt;=50,3,IF(P570+Q570&gt;=40,2,IF(P570+Q570&gt;=33,1,0)))))))</f>
        <v/>
      </c>
      <c r="AJ570">
        <f>IF(R570&lt;8.25,0,IF(R570*2&gt;=80,5,IF(R570*2&gt;=70,4,IF(R570*2&gt;=60,3.5,IF(R570*2&gt;=50,3,IF(R570*2&gt;=40,2,IF(R570*2&gt;=33,1,0)))))))</f>
        <v/>
      </c>
      <c r="AK570">
        <f>IF(S570&lt;33,0,IF(S570&gt;=80,5,IF(S570&gt;=70,4,IF(S570&gt;=60,3.5,IF(S570&gt;=50,3,IF(S570&gt;=40,2,IF(S570&gt;=33,1,0)))))))</f>
        <v/>
      </c>
      <c r="AL570">
        <f>(AC570+AD570+AE570+AF570+AG570+AH570+AI570+AJ570)/8</f>
        <v/>
      </c>
      <c r="AM570">
        <f>IF(AK570&gt;=2,(AK570-2)/8,0)</f>
        <v/>
      </c>
    </row>
    <row r="571">
      <c r="T571">
        <f>SUM(C571:R571)</f>
        <v/>
      </c>
      <c r="U571" s="6">
        <f>ROUND(T571/11.5,2)</f>
        <v/>
      </c>
      <c r="V571" s="7">
        <f>IF(B571="","",IF(AB571,0,ROUND(AL571,2)))</f>
        <v/>
      </c>
      <c r="W571" s="7">
        <f>IF(B571="","",IF(AB571,0,MIN(5,ROUND(AL571+AM571,2))))</f>
        <v/>
      </c>
      <c r="X571" s="8">
        <f>IF(B571="","",IF(W571&gt;=5,"A+",IF(W571&gt;=4,"A",IF(W571&gt;=3.5,"A-",IF(W571&gt;=3,"B",IF(W571&gt;=2,"C",IF(W571&gt;=1,"D","F")))))))</f>
        <v/>
      </c>
      <c r="Y571">
        <f>NOT(OR(AND(J571&gt;=10,K571&gt;=23,L571&gt;=10,M571&gt;=23),AND(J571+L571&gt;=20,K571+M571&gt;=46)))</f>
        <v/>
      </c>
      <c r="Z571">
        <f>OR(N571&lt;10,O571&lt;23)</f>
        <v/>
      </c>
      <c r="AA571">
        <f>OR(P571&lt;10,Q571&lt;23)</f>
        <v/>
      </c>
      <c r="AB571">
        <f>OR((C571+D571)&lt;66,(E571+F571)&lt;66,G571&lt;33,(H571+I571)&lt;66,Y571,Z571,AA571,R571&lt;8.25)</f>
        <v/>
      </c>
      <c r="AC571">
        <f>IF(C571+D571&lt;66,0,IF((C571+D571)/2&gt;=80,5,IF((C571+D571)/2&gt;=70,4,IF((C571+D571)/2&gt;=60,3.5,IF((C571+D571)/2&gt;=50,3,IF((C571+D571)/2&gt;=40,2,IF((C571+D571)/2&gt;=33,1,0)))))))</f>
        <v/>
      </c>
      <c r="AD571">
        <f>IF(E571+F571&lt;66,0,IF((E571+F571)/2&gt;=80,5,IF((E571+F571)/2&gt;=70,4,IF((E571+F571)/2&gt;=60,3.5,IF((E571+F571)/2&gt;=50,3,IF((E571+F571)/2&gt;=40,2,IF((E571+F571)/2&gt;=33,1,0)))))))</f>
        <v/>
      </c>
      <c r="AE571">
        <f>IF(G571&lt;33,0,IF(G571&gt;=80,5,IF(G571&gt;=70,4,IF(G571&gt;=60,3.5,IF(G571&gt;=50,3,IF(G571&gt;=40,2,IF(G571&gt;=33,1,0)))))))</f>
        <v/>
      </c>
      <c r="AF571">
        <f>IF(H571+I571&lt;66,0,IF((H571+I571)/2&gt;=80,5,IF((H571+I571)/2&gt;=70,4,IF((H571+I571)/2&gt;=60,3.5,IF((H571+I571)/2&gt;=50,3,IF((H571+I571)/2&gt;=40,2,IF((H571+I571)/2&gt;=33,1,0)))))))</f>
        <v/>
      </c>
      <c r="AG571">
        <f>IF(Y571,0,IF((J571+K571+L571+M571)/2&gt;=80,5,IF((J571+K571+L571+M571)/2&gt;=70,4,IF((J571+K571+L571+M571)/2&gt;=60,3.5,IF((J571+K571+L571+M571)/2&gt;=50,3,IF((J571+K571+L571+M571)/2&gt;=40,2,IF((J571+K571+L571+M571)/2&gt;=33,1,0)))))))</f>
        <v/>
      </c>
      <c r="AH571">
        <f>IF(Z571,0,IF(N571+O571&gt;=80,5,IF(N571+O571&gt;=70,4,IF(N571+O571&gt;=60,3.5,IF(N571+O571&gt;=50,3,IF(N571+O571&gt;=40,2,IF(N571+O571&gt;=33,1,0)))))))</f>
        <v/>
      </c>
      <c r="AI571">
        <f>IF(AA571,0,IF(P571+Q571&gt;=80,5,IF(P571+Q571&gt;=70,4,IF(P571+Q571&gt;=60,3.5,IF(P571+Q571&gt;=50,3,IF(P571+Q571&gt;=40,2,IF(P571+Q571&gt;=33,1,0)))))))</f>
        <v/>
      </c>
      <c r="AJ571">
        <f>IF(R571&lt;8.25,0,IF(R571*2&gt;=80,5,IF(R571*2&gt;=70,4,IF(R571*2&gt;=60,3.5,IF(R571*2&gt;=50,3,IF(R571*2&gt;=40,2,IF(R571*2&gt;=33,1,0)))))))</f>
        <v/>
      </c>
      <c r="AK571">
        <f>IF(S571&lt;33,0,IF(S571&gt;=80,5,IF(S571&gt;=70,4,IF(S571&gt;=60,3.5,IF(S571&gt;=50,3,IF(S571&gt;=40,2,IF(S571&gt;=33,1,0)))))))</f>
        <v/>
      </c>
      <c r="AL571">
        <f>(AC571+AD571+AE571+AF571+AG571+AH571+AI571+AJ571)/8</f>
        <v/>
      </c>
      <c r="AM571">
        <f>IF(AK571&gt;=2,(AK571-2)/8,0)</f>
        <v/>
      </c>
    </row>
    <row r="572">
      <c r="T572">
        <f>SUM(C572:R572)</f>
        <v/>
      </c>
      <c r="U572" s="6">
        <f>ROUND(T572/11.5,2)</f>
        <v/>
      </c>
      <c r="V572" s="7">
        <f>IF(B572="","",IF(AB572,0,ROUND(AL572,2)))</f>
        <v/>
      </c>
      <c r="W572" s="7">
        <f>IF(B572="","",IF(AB572,0,MIN(5,ROUND(AL572+AM572,2))))</f>
        <v/>
      </c>
      <c r="X572" s="8">
        <f>IF(B572="","",IF(W572&gt;=5,"A+",IF(W572&gt;=4,"A",IF(W572&gt;=3.5,"A-",IF(W572&gt;=3,"B",IF(W572&gt;=2,"C",IF(W572&gt;=1,"D","F")))))))</f>
        <v/>
      </c>
      <c r="Y572">
        <f>NOT(OR(AND(J572&gt;=10,K572&gt;=23,L572&gt;=10,M572&gt;=23),AND(J572+L572&gt;=20,K572+M572&gt;=46)))</f>
        <v/>
      </c>
      <c r="Z572">
        <f>OR(N572&lt;10,O572&lt;23)</f>
        <v/>
      </c>
      <c r="AA572">
        <f>OR(P572&lt;10,Q572&lt;23)</f>
        <v/>
      </c>
      <c r="AB572">
        <f>OR((C572+D572)&lt;66,(E572+F572)&lt;66,G572&lt;33,(H572+I572)&lt;66,Y572,Z572,AA572,R572&lt;8.25)</f>
        <v/>
      </c>
      <c r="AC572">
        <f>IF(C572+D572&lt;66,0,IF((C572+D572)/2&gt;=80,5,IF((C572+D572)/2&gt;=70,4,IF((C572+D572)/2&gt;=60,3.5,IF((C572+D572)/2&gt;=50,3,IF((C572+D572)/2&gt;=40,2,IF((C572+D572)/2&gt;=33,1,0)))))))</f>
        <v/>
      </c>
      <c r="AD572">
        <f>IF(E572+F572&lt;66,0,IF((E572+F572)/2&gt;=80,5,IF((E572+F572)/2&gt;=70,4,IF((E572+F572)/2&gt;=60,3.5,IF((E572+F572)/2&gt;=50,3,IF((E572+F572)/2&gt;=40,2,IF((E572+F572)/2&gt;=33,1,0)))))))</f>
        <v/>
      </c>
      <c r="AE572">
        <f>IF(G572&lt;33,0,IF(G572&gt;=80,5,IF(G572&gt;=70,4,IF(G572&gt;=60,3.5,IF(G572&gt;=50,3,IF(G572&gt;=40,2,IF(G572&gt;=33,1,0)))))))</f>
        <v/>
      </c>
      <c r="AF572">
        <f>IF(H572+I572&lt;66,0,IF((H572+I572)/2&gt;=80,5,IF((H572+I572)/2&gt;=70,4,IF((H572+I572)/2&gt;=60,3.5,IF((H572+I572)/2&gt;=50,3,IF((H572+I572)/2&gt;=40,2,IF((H572+I572)/2&gt;=33,1,0)))))))</f>
        <v/>
      </c>
      <c r="AG572">
        <f>IF(Y572,0,IF((J572+K572+L572+M572)/2&gt;=80,5,IF((J572+K572+L572+M572)/2&gt;=70,4,IF((J572+K572+L572+M572)/2&gt;=60,3.5,IF((J572+K572+L572+M572)/2&gt;=50,3,IF((J572+K572+L572+M572)/2&gt;=40,2,IF((J572+K572+L572+M572)/2&gt;=33,1,0)))))))</f>
        <v/>
      </c>
      <c r="AH572">
        <f>IF(Z572,0,IF(N572+O572&gt;=80,5,IF(N572+O572&gt;=70,4,IF(N572+O572&gt;=60,3.5,IF(N572+O572&gt;=50,3,IF(N572+O572&gt;=40,2,IF(N572+O572&gt;=33,1,0)))))))</f>
        <v/>
      </c>
      <c r="AI572">
        <f>IF(AA572,0,IF(P572+Q572&gt;=80,5,IF(P572+Q572&gt;=70,4,IF(P572+Q572&gt;=60,3.5,IF(P572+Q572&gt;=50,3,IF(P572+Q572&gt;=40,2,IF(P572+Q572&gt;=33,1,0)))))))</f>
        <v/>
      </c>
      <c r="AJ572">
        <f>IF(R572&lt;8.25,0,IF(R572*2&gt;=80,5,IF(R572*2&gt;=70,4,IF(R572*2&gt;=60,3.5,IF(R572*2&gt;=50,3,IF(R572*2&gt;=40,2,IF(R572*2&gt;=33,1,0)))))))</f>
        <v/>
      </c>
      <c r="AK572">
        <f>IF(S572&lt;33,0,IF(S572&gt;=80,5,IF(S572&gt;=70,4,IF(S572&gt;=60,3.5,IF(S572&gt;=50,3,IF(S572&gt;=40,2,IF(S572&gt;=33,1,0)))))))</f>
        <v/>
      </c>
      <c r="AL572">
        <f>(AC572+AD572+AE572+AF572+AG572+AH572+AI572+AJ572)/8</f>
        <v/>
      </c>
      <c r="AM572">
        <f>IF(AK572&gt;=2,(AK572-2)/8,0)</f>
        <v/>
      </c>
    </row>
    <row r="573">
      <c r="T573">
        <f>SUM(C573:R573)</f>
        <v/>
      </c>
      <c r="U573" s="6">
        <f>ROUND(T573/11.5,2)</f>
        <v/>
      </c>
      <c r="V573" s="7">
        <f>IF(B573="","",IF(AB573,0,ROUND(AL573,2)))</f>
        <v/>
      </c>
      <c r="W573" s="7">
        <f>IF(B573="","",IF(AB573,0,MIN(5,ROUND(AL573+AM573,2))))</f>
        <v/>
      </c>
      <c r="X573" s="8">
        <f>IF(B573="","",IF(W573&gt;=5,"A+",IF(W573&gt;=4,"A",IF(W573&gt;=3.5,"A-",IF(W573&gt;=3,"B",IF(W573&gt;=2,"C",IF(W573&gt;=1,"D","F")))))))</f>
        <v/>
      </c>
      <c r="Y573">
        <f>NOT(OR(AND(J573&gt;=10,K573&gt;=23,L573&gt;=10,M573&gt;=23),AND(J573+L573&gt;=20,K573+M573&gt;=46)))</f>
        <v/>
      </c>
      <c r="Z573">
        <f>OR(N573&lt;10,O573&lt;23)</f>
        <v/>
      </c>
      <c r="AA573">
        <f>OR(P573&lt;10,Q573&lt;23)</f>
        <v/>
      </c>
      <c r="AB573">
        <f>OR((C573+D573)&lt;66,(E573+F573)&lt;66,G573&lt;33,(H573+I573)&lt;66,Y573,Z573,AA573,R573&lt;8.25)</f>
        <v/>
      </c>
      <c r="AC573">
        <f>IF(C573+D573&lt;66,0,IF((C573+D573)/2&gt;=80,5,IF((C573+D573)/2&gt;=70,4,IF((C573+D573)/2&gt;=60,3.5,IF((C573+D573)/2&gt;=50,3,IF((C573+D573)/2&gt;=40,2,IF((C573+D573)/2&gt;=33,1,0)))))))</f>
        <v/>
      </c>
      <c r="AD573">
        <f>IF(E573+F573&lt;66,0,IF((E573+F573)/2&gt;=80,5,IF((E573+F573)/2&gt;=70,4,IF((E573+F573)/2&gt;=60,3.5,IF((E573+F573)/2&gt;=50,3,IF((E573+F573)/2&gt;=40,2,IF((E573+F573)/2&gt;=33,1,0)))))))</f>
        <v/>
      </c>
      <c r="AE573">
        <f>IF(G573&lt;33,0,IF(G573&gt;=80,5,IF(G573&gt;=70,4,IF(G573&gt;=60,3.5,IF(G573&gt;=50,3,IF(G573&gt;=40,2,IF(G573&gt;=33,1,0)))))))</f>
        <v/>
      </c>
      <c r="AF573">
        <f>IF(H573+I573&lt;66,0,IF((H573+I573)/2&gt;=80,5,IF((H573+I573)/2&gt;=70,4,IF((H573+I573)/2&gt;=60,3.5,IF((H573+I573)/2&gt;=50,3,IF((H573+I573)/2&gt;=40,2,IF((H573+I573)/2&gt;=33,1,0)))))))</f>
        <v/>
      </c>
      <c r="AG573">
        <f>IF(Y573,0,IF((J573+K573+L573+M573)/2&gt;=80,5,IF((J573+K573+L573+M573)/2&gt;=70,4,IF((J573+K573+L573+M573)/2&gt;=60,3.5,IF((J573+K573+L573+M573)/2&gt;=50,3,IF((J573+K573+L573+M573)/2&gt;=40,2,IF((J573+K573+L573+M573)/2&gt;=33,1,0)))))))</f>
        <v/>
      </c>
      <c r="AH573">
        <f>IF(Z573,0,IF(N573+O573&gt;=80,5,IF(N573+O573&gt;=70,4,IF(N573+O573&gt;=60,3.5,IF(N573+O573&gt;=50,3,IF(N573+O573&gt;=40,2,IF(N573+O573&gt;=33,1,0)))))))</f>
        <v/>
      </c>
      <c r="AI573">
        <f>IF(AA573,0,IF(P573+Q573&gt;=80,5,IF(P573+Q573&gt;=70,4,IF(P573+Q573&gt;=60,3.5,IF(P573+Q573&gt;=50,3,IF(P573+Q573&gt;=40,2,IF(P573+Q573&gt;=33,1,0)))))))</f>
        <v/>
      </c>
      <c r="AJ573">
        <f>IF(R573&lt;8.25,0,IF(R573*2&gt;=80,5,IF(R573*2&gt;=70,4,IF(R573*2&gt;=60,3.5,IF(R573*2&gt;=50,3,IF(R573*2&gt;=40,2,IF(R573*2&gt;=33,1,0)))))))</f>
        <v/>
      </c>
      <c r="AK573">
        <f>IF(S573&lt;33,0,IF(S573&gt;=80,5,IF(S573&gt;=70,4,IF(S573&gt;=60,3.5,IF(S573&gt;=50,3,IF(S573&gt;=40,2,IF(S573&gt;=33,1,0)))))))</f>
        <v/>
      </c>
      <c r="AL573">
        <f>(AC573+AD573+AE573+AF573+AG573+AH573+AI573+AJ573)/8</f>
        <v/>
      </c>
      <c r="AM573">
        <f>IF(AK573&gt;=2,(AK573-2)/8,0)</f>
        <v/>
      </c>
    </row>
    <row r="574">
      <c r="T574">
        <f>SUM(C574:R574)</f>
        <v/>
      </c>
      <c r="U574" s="6">
        <f>ROUND(T574/11.5,2)</f>
        <v/>
      </c>
      <c r="V574" s="7">
        <f>IF(B574="","",IF(AB574,0,ROUND(AL574,2)))</f>
        <v/>
      </c>
      <c r="W574" s="7">
        <f>IF(B574="","",IF(AB574,0,MIN(5,ROUND(AL574+AM574,2))))</f>
        <v/>
      </c>
      <c r="X574" s="8">
        <f>IF(B574="","",IF(W574&gt;=5,"A+",IF(W574&gt;=4,"A",IF(W574&gt;=3.5,"A-",IF(W574&gt;=3,"B",IF(W574&gt;=2,"C",IF(W574&gt;=1,"D","F")))))))</f>
        <v/>
      </c>
      <c r="Y574">
        <f>NOT(OR(AND(J574&gt;=10,K574&gt;=23,L574&gt;=10,M574&gt;=23),AND(J574+L574&gt;=20,K574+M574&gt;=46)))</f>
        <v/>
      </c>
      <c r="Z574">
        <f>OR(N574&lt;10,O574&lt;23)</f>
        <v/>
      </c>
      <c r="AA574">
        <f>OR(P574&lt;10,Q574&lt;23)</f>
        <v/>
      </c>
      <c r="AB574">
        <f>OR((C574+D574)&lt;66,(E574+F574)&lt;66,G574&lt;33,(H574+I574)&lt;66,Y574,Z574,AA574,R574&lt;8.25)</f>
        <v/>
      </c>
      <c r="AC574">
        <f>IF(C574+D574&lt;66,0,IF((C574+D574)/2&gt;=80,5,IF((C574+D574)/2&gt;=70,4,IF((C574+D574)/2&gt;=60,3.5,IF((C574+D574)/2&gt;=50,3,IF((C574+D574)/2&gt;=40,2,IF((C574+D574)/2&gt;=33,1,0)))))))</f>
        <v/>
      </c>
      <c r="AD574">
        <f>IF(E574+F574&lt;66,0,IF((E574+F574)/2&gt;=80,5,IF((E574+F574)/2&gt;=70,4,IF((E574+F574)/2&gt;=60,3.5,IF((E574+F574)/2&gt;=50,3,IF((E574+F574)/2&gt;=40,2,IF((E574+F574)/2&gt;=33,1,0)))))))</f>
        <v/>
      </c>
      <c r="AE574">
        <f>IF(G574&lt;33,0,IF(G574&gt;=80,5,IF(G574&gt;=70,4,IF(G574&gt;=60,3.5,IF(G574&gt;=50,3,IF(G574&gt;=40,2,IF(G574&gt;=33,1,0)))))))</f>
        <v/>
      </c>
      <c r="AF574">
        <f>IF(H574+I574&lt;66,0,IF((H574+I574)/2&gt;=80,5,IF((H574+I574)/2&gt;=70,4,IF((H574+I574)/2&gt;=60,3.5,IF((H574+I574)/2&gt;=50,3,IF((H574+I574)/2&gt;=40,2,IF((H574+I574)/2&gt;=33,1,0)))))))</f>
        <v/>
      </c>
      <c r="AG574">
        <f>IF(Y574,0,IF((J574+K574+L574+M574)/2&gt;=80,5,IF((J574+K574+L574+M574)/2&gt;=70,4,IF((J574+K574+L574+M574)/2&gt;=60,3.5,IF((J574+K574+L574+M574)/2&gt;=50,3,IF((J574+K574+L574+M574)/2&gt;=40,2,IF((J574+K574+L574+M574)/2&gt;=33,1,0)))))))</f>
        <v/>
      </c>
      <c r="AH574">
        <f>IF(Z574,0,IF(N574+O574&gt;=80,5,IF(N574+O574&gt;=70,4,IF(N574+O574&gt;=60,3.5,IF(N574+O574&gt;=50,3,IF(N574+O574&gt;=40,2,IF(N574+O574&gt;=33,1,0)))))))</f>
        <v/>
      </c>
      <c r="AI574">
        <f>IF(AA574,0,IF(P574+Q574&gt;=80,5,IF(P574+Q574&gt;=70,4,IF(P574+Q574&gt;=60,3.5,IF(P574+Q574&gt;=50,3,IF(P574+Q574&gt;=40,2,IF(P574+Q574&gt;=33,1,0)))))))</f>
        <v/>
      </c>
      <c r="AJ574">
        <f>IF(R574&lt;8.25,0,IF(R574*2&gt;=80,5,IF(R574*2&gt;=70,4,IF(R574*2&gt;=60,3.5,IF(R574*2&gt;=50,3,IF(R574*2&gt;=40,2,IF(R574*2&gt;=33,1,0)))))))</f>
        <v/>
      </c>
      <c r="AK574">
        <f>IF(S574&lt;33,0,IF(S574&gt;=80,5,IF(S574&gt;=70,4,IF(S574&gt;=60,3.5,IF(S574&gt;=50,3,IF(S574&gt;=40,2,IF(S574&gt;=33,1,0)))))))</f>
        <v/>
      </c>
      <c r="AL574">
        <f>(AC574+AD574+AE574+AF574+AG574+AH574+AI574+AJ574)/8</f>
        <v/>
      </c>
      <c r="AM574">
        <f>IF(AK574&gt;=2,(AK574-2)/8,0)</f>
        <v/>
      </c>
    </row>
    <row r="575">
      <c r="T575">
        <f>SUM(C575:R575)</f>
        <v/>
      </c>
      <c r="U575" s="6">
        <f>ROUND(T575/11.5,2)</f>
        <v/>
      </c>
      <c r="V575" s="7">
        <f>IF(B575="","",IF(AB575,0,ROUND(AL575,2)))</f>
        <v/>
      </c>
      <c r="W575" s="7">
        <f>IF(B575="","",IF(AB575,0,MIN(5,ROUND(AL575+AM575,2))))</f>
        <v/>
      </c>
      <c r="X575" s="8">
        <f>IF(B575="","",IF(W575&gt;=5,"A+",IF(W575&gt;=4,"A",IF(W575&gt;=3.5,"A-",IF(W575&gt;=3,"B",IF(W575&gt;=2,"C",IF(W575&gt;=1,"D","F")))))))</f>
        <v/>
      </c>
      <c r="Y575">
        <f>NOT(OR(AND(J575&gt;=10,K575&gt;=23,L575&gt;=10,M575&gt;=23),AND(J575+L575&gt;=20,K575+M575&gt;=46)))</f>
        <v/>
      </c>
      <c r="Z575">
        <f>OR(N575&lt;10,O575&lt;23)</f>
        <v/>
      </c>
      <c r="AA575">
        <f>OR(P575&lt;10,Q575&lt;23)</f>
        <v/>
      </c>
      <c r="AB575">
        <f>OR((C575+D575)&lt;66,(E575+F575)&lt;66,G575&lt;33,(H575+I575)&lt;66,Y575,Z575,AA575,R575&lt;8.25)</f>
        <v/>
      </c>
      <c r="AC575">
        <f>IF(C575+D575&lt;66,0,IF((C575+D575)/2&gt;=80,5,IF((C575+D575)/2&gt;=70,4,IF((C575+D575)/2&gt;=60,3.5,IF((C575+D575)/2&gt;=50,3,IF((C575+D575)/2&gt;=40,2,IF((C575+D575)/2&gt;=33,1,0)))))))</f>
        <v/>
      </c>
      <c r="AD575">
        <f>IF(E575+F575&lt;66,0,IF((E575+F575)/2&gt;=80,5,IF((E575+F575)/2&gt;=70,4,IF((E575+F575)/2&gt;=60,3.5,IF((E575+F575)/2&gt;=50,3,IF((E575+F575)/2&gt;=40,2,IF((E575+F575)/2&gt;=33,1,0)))))))</f>
        <v/>
      </c>
      <c r="AE575">
        <f>IF(G575&lt;33,0,IF(G575&gt;=80,5,IF(G575&gt;=70,4,IF(G575&gt;=60,3.5,IF(G575&gt;=50,3,IF(G575&gt;=40,2,IF(G575&gt;=33,1,0)))))))</f>
        <v/>
      </c>
      <c r="AF575">
        <f>IF(H575+I575&lt;66,0,IF((H575+I575)/2&gt;=80,5,IF((H575+I575)/2&gt;=70,4,IF((H575+I575)/2&gt;=60,3.5,IF((H575+I575)/2&gt;=50,3,IF((H575+I575)/2&gt;=40,2,IF((H575+I575)/2&gt;=33,1,0)))))))</f>
        <v/>
      </c>
      <c r="AG575">
        <f>IF(Y575,0,IF((J575+K575+L575+M575)/2&gt;=80,5,IF((J575+K575+L575+M575)/2&gt;=70,4,IF((J575+K575+L575+M575)/2&gt;=60,3.5,IF((J575+K575+L575+M575)/2&gt;=50,3,IF((J575+K575+L575+M575)/2&gt;=40,2,IF((J575+K575+L575+M575)/2&gt;=33,1,0)))))))</f>
        <v/>
      </c>
      <c r="AH575">
        <f>IF(Z575,0,IF(N575+O575&gt;=80,5,IF(N575+O575&gt;=70,4,IF(N575+O575&gt;=60,3.5,IF(N575+O575&gt;=50,3,IF(N575+O575&gt;=40,2,IF(N575+O575&gt;=33,1,0)))))))</f>
        <v/>
      </c>
      <c r="AI575">
        <f>IF(AA575,0,IF(P575+Q575&gt;=80,5,IF(P575+Q575&gt;=70,4,IF(P575+Q575&gt;=60,3.5,IF(P575+Q575&gt;=50,3,IF(P575+Q575&gt;=40,2,IF(P575+Q575&gt;=33,1,0)))))))</f>
        <v/>
      </c>
      <c r="AJ575">
        <f>IF(R575&lt;8.25,0,IF(R575*2&gt;=80,5,IF(R575*2&gt;=70,4,IF(R575*2&gt;=60,3.5,IF(R575*2&gt;=50,3,IF(R575*2&gt;=40,2,IF(R575*2&gt;=33,1,0)))))))</f>
        <v/>
      </c>
      <c r="AK575">
        <f>IF(S575&lt;33,0,IF(S575&gt;=80,5,IF(S575&gt;=70,4,IF(S575&gt;=60,3.5,IF(S575&gt;=50,3,IF(S575&gt;=40,2,IF(S575&gt;=33,1,0)))))))</f>
        <v/>
      </c>
      <c r="AL575">
        <f>(AC575+AD575+AE575+AF575+AG575+AH575+AI575+AJ575)/8</f>
        <v/>
      </c>
      <c r="AM575">
        <f>IF(AK575&gt;=2,(AK575-2)/8,0)</f>
        <v/>
      </c>
    </row>
    <row r="576">
      <c r="T576">
        <f>SUM(C576:R576)</f>
        <v/>
      </c>
      <c r="U576" s="6">
        <f>ROUND(T576/11.5,2)</f>
        <v/>
      </c>
      <c r="V576" s="7">
        <f>IF(B576="","",IF(AB576,0,ROUND(AL576,2)))</f>
        <v/>
      </c>
      <c r="W576" s="7">
        <f>IF(B576="","",IF(AB576,0,MIN(5,ROUND(AL576+AM576,2))))</f>
        <v/>
      </c>
      <c r="X576" s="8">
        <f>IF(B576="","",IF(W576&gt;=5,"A+",IF(W576&gt;=4,"A",IF(W576&gt;=3.5,"A-",IF(W576&gt;=3,"B",IF(W576&gt;=2,"C",IF(W576&gt;=1,"D","F")))))))</f>
        <v/>
      </c>
      <c r="Y576">
        <f>NOT(OR(AND(J576&gt;=10,K576&gt;=23,L576&gt;=10,M576&gt;=23),AND(J576+L576&gt;=20,K576+M576&gt;=46)))</f>
        <v/>
      </c>
      <c r="Z576">
        <f>OR(N576&lt;10,O576&lt;23)</f>
        <v/>
      </c>
      <c r="AA576">
        <f>OR(P576&lt;10,Q576&lt;23)</f>
        <v/>
      </c>
      <c r="AB576">
        <f>OR((C576+D576)&lt;66,(E576+F576)&lt;66,G576&lt;33,(H576+I576)&lt;66,Y576,Z576,AA576,R576&lt;8.25)</f>
        <v/>
      </c>
      <c r="AC576">
        <f>IF(C576+D576&lt;66,0,IF((C576+D576)/2&gt;=80,5,IF((C576+D576)/2&gt;=70,4,IF((C576+D576)/2&gt;=60,3.5,IF((C576+D576)/2&gt;=50,3,IF((C576+D576)/2&gt;=40,2,IF((C576+D576)/2&gt;=33,1,0)))))))</f>
        <v/>
      </c>
      <c r="AD576">
        <f>IF(E576+F576&lt;66,0,IF((E576+F576)/2&gt;=80,5,IF((E576+F576)/2&gt;=70,4,IF((E576+F576)/2&gt;=60,3.5,IF((E576+F576)/2&gt;=50,3,IF((E576+F576)/2&gt;=40,2,IF((E576+F576)/2&gt;=33,1,0)))))))</f>
        <v/>
      </c>
      <c r="AE576">
        <f>IF(G576&lt;33,0,IF(G576&gt;=80,5,IF(G576&gt;=70,4,IF(G576&gt;=60,3.5,IF(G576&gt;=50,3,IF(G576&gt;=40,2,IF(G576&gt;=33,1,0)))))))</f>
        <v/>
      </c>
      <c r="AF576">
        <f>IF(H576+I576&lt;66,0,IF((H576+I576)/2&gt;=80,5,IF((H576+I576)/2&gt;=70,4,IF((H576+I576)/2&gt;=60,3.5,IF((H576+I576)/2&gt;=50,3,IF((H576+I576)/2&gt;=40,2,IF((H576+I576)/2&gt;=33,1,0)))))))</f>
        <v/>
      </c>
      <c r="AG576">
        <f>IF(Y576,0,IF((J576+K576+L576+M576)/2&gt;=80,5,IF((J576+K576+L576+M576)/2&gt;=70,4,IF((J576+K576+L576+M576)/2&gt;=60,3.5,IF((J576+K576+L576+M576)/2&gt;=50,3,IF((J576+K576+L576+M576)/2&gt;=40,2,IF((J576+K576+L576+M576)/2&gt;=33,1,0)))))))</f>
        <v/>
      </c>
      <c r="AH576">
        <f>IF(Z576,0,IF(N576+O576&gt;=80,5,IF(N576+O576&gt;=70,4,IF(N576+O576&gt;=60,3.5,IF(N576+O576&gt;=50,3,IF(N576+O576&gt;=40,2,IF(N576+O576&gt;=33,1,0)))))))</f>
        <v/>
      </c>
      <c r="AI576">
        <f>IF(AA576,0,IF(P576+Q576&gt;=80,5,IF(P576+Q576&gt;=70,4,IF(P576+Q576&gt;=60,3.5,IF(P576+Q576&gt;=50,3,IF(P576+Q576&gt;=40,2,IF(P576+Q576&gt;=33,1,0)))))))</f>
        <v/>
      </c>
      <c r="AJ576">
        <f>IF(R576&lt;8.25,0,IF(R576*2&gt;=80,5,IF(R576*2&gt;=70,4,IF(R576*2&gt;=60,3.5,IF(R576*2&gt;=50,3,IF(R576*2&gt;=40,2,IF(R576*2&gt;=33,1,0)))))))</f>
        <v/>
      </c>
      <c r="AK576">
        <f>IF(S576&lt;33,0,IF(S576&gt;=80,5,IF(S576&gt;=70,4,IF(S576&gt;=60,3.5,IF(S576&gt;=50,3,IF(S576&gt;=40,2,IF(S576&gt;=33,1,0)))))))</f>
        <v/>
      </c>
      <c r="AL576">
        <f>(AC576+AD576+AE576+AF576+AG576+AH576+AI576+AJ576)/8</f>
        <v/>
      </c>
      <c r="AM576">
        <f>IF(AK576&gt;=2,(AK576-2)/8,0)</f>
        <v/>
      </c>
    </row>
    <row r="577">
      <c r="T577">
        <f>SUM(C577:R577)</f>
        <v/>
      </c>
      <c r="U577" s="6">
        <f>ROUND(T577/11.5,2)</f>
        <v/>
      </c>
      <c r="V577" s="7">
        <f>IF(B577="","",IF(AB577,0,ROUND(AL577,2)))</f>
        <v/>
      </c>
      <c r="W577" s="7">
        <f>IF(B577="","",IF(AB577,0,MIN(5,ROUND(AL577+AM577,2))))</f>
        <v/>
      </c>
      <c r="X577" s="8">
        <f>IF(B577="","",IF(W577&gt;=5,"A+",IF(W577&gt;=4,"A",IF(W577&gt;=3.5,"A-",IF(W577&gt;=3,"B",IF(W577&gt;=2,"C",IF(W577&gt;=1,"D","F")))))))</f>
        <v/>
      </c>
      <c r="Y577">
        <f>NOT(OR(AND(J577&gt;=10,K577&gt;=23,L577&gt;=10,M577&gt;=23),AND(J577+L577&gt;=20,K577+M577&gt;=46)))</f>
        <v/>
      </c>
      <c r="Z577">
        <f>OR(N577&lt;10,O577&lt;23)</f>
        <v/>
      </c>
      <c r="AA577">
        <f>OR(P577&lt;10,Q577&lt;23)</f>
        <v/>
      </c>
      <c r="AB577">
        <f>OR((C577+D577)&lt;66,(E577+F577)&lt;66,G577&lt;33,(H577+I577)&lt;66,Y577,Z577,AA577,R577&lt;8.25)</f>
        <v/>
      </c>
      <c r="AC577">
        <f>IF(C577+D577&lt;66,0,IF((C577+D577)/2&gt;=80,5,IF((C577+D577)/2&gt;=70,4,IF((C577+D577)/2&gt;=60,3.5,IF((C577+D577)/2&gt;=50,3,IF((C577+D577)/2&gt;=40,2,IF((C577+D577)/2&gt;=33,1,0)))))))</f>
        <v/>
      </c>
      <c r="AD577">
        <f>IF(E577+F577&lt;66,0,IF((E577+F577)/2&gt;=80,5,IF((E577+F577)/2&gt;=70,4,IF((E577+F577)/2&gt;=60,3.5,IF((E577+F577)/2&gt;=50,3,IF((E577+F577)/2&gt;=40,2,IF((E577+F577)/2&gt;=33,1,0)))))))</f>
        <v/>
      </c>
      <c r="AE577">
        <f>IF(G577&lt;33,0,IF(G577&gt;=80,5,IF(G577&gt;=70,4,IF(G577&gt;=60,3.5,IF(G577&gt;=50,3,IF(G577&gt;=40,2,IF(G577&gt;=33,1,0)))))))</f>
        <v/>
      </c>
      <c r="AF577">
        <f>IF(H577+I577&lt;66,0,IF((H577+I577)/2&gt;=80,5,IF((H577+I577)/2&gt;=70,4,IF((H577+I577)/2&gt;=60,3.5,IF((H577+I577)/2&gt;=50,3,IF((H577+I577)/2&gt;=40,2,IF((H577+I577)/2&gt;=33,1,0)))))))</f>
        <v/>
      </c>
      <c r="AG577">
        <f>IF(Y577,0,IF((J577+K577+L577+M577)/2&gt;=80,5,IF((J577+K577+L577+M577)/2&gt;=70,4,IF((J577+K577+L577+M577)/2&gt;=60,3.5,IF((J577+K577+L577+M577)/2&gt;=50,3,IF((J577+K577+L577+M577)/2&gt;=40,2,IF((J577+K577+L577+M577)/2&gt;=33,1,0)))))))</f>
        <v/>
      </c>
      <c r="AH577">
        <f>IF(Z577,0,IF(N577+O577&gt;=80,5,IF(N577+O577&gt;=70,4,IF(N577+O577&gt;=60,3.5,IF(N577+O577&gt;=50,3,IF(N577+O577&gt;=40,2,IF(N577+O577&gt;=33,1,0)))))))</f>
        <v/>
      </c>
      <c r="AI577">
        <f>IF(AA577,0,IF(P577+Q577&gt;=80,5,IF(P577+Q577&gt;=70,4,IF(P577+Q577&gt;=60,3.5,IF(P577+Q577&gt;=50,3,IF(P577+Q577&gt;=40,2,IF(P577+Q577&gt;=33,1,0)))))))</f>
        <v/>
      </c>
      <c r="AJ577">
        <f>IF(R577&lt;8.25,0,IF(R577*2&gt;=80,5,IF(R577*2&gt;=70,4,IF(R577*2&gt;=60,3.5,IF(R577*2&gt;=50,3,IF(R577*2&gt;=40,2,IF(R577*2&gt;=33,1,0)))))))</f>
        <v/>
      </c>
      <c r="AK577">
        <f>IF(S577&lt;33,0,IF(S577&gt;=80,5,IF(S577&gt;=70,4,IF(S577&gt;=60,3.5,IF(S577&gt;=50,3,IF(S577&gt;=40,2,IF(S577&gt;=33,1,0)))))))</f>
        <v/>
      </c>
      <c r="AL577">
        <f>(AC577+AD577+AE577+AF577+AG577+AH577+AI577+AJ577)/8</f>
        <v/>
      </c>
      <c r="AM577">
        <f>IF(AK577&gt;=2,(AK577-2)/8,0)</f>
        <v/>
      </c>
    </row>
    <row r="578">
      <c r="T578">
        <f>SUM(C578:R578)</f>
        <v/>
      </c>
      <c r="U578" s="6">
        <f>ROUND(T578/11.5,2)</f>
        <v/>
      </c>
      <c r="V578" s="7">
        <f>IF(B578="","",IF(AB578,0,ROUND(AL578,2)))</f>
        <v/>
      </c>
      <c r="W578" s="7">
        <f>IF(B578="","",IF(AB578,0,MIN(5,ROUND(AL578+AM578,2))))</f>
        <v/>
      </c>
      <c r="X578" s="8">
        <f>IF(B578="","",IF(W578&gt;=5,"A+",IF(W578&gt;=4,"A",IF(W578&gt;=3.5,"A-",IF(W578&gt;=3,"B",IF(W578&gt;=2,"C",IF(W578&gt;=1,"D","F")))))))</f>
        <v/>
      </c>
      <c r="Y578">
        <f>NOT(OR(AND(J578&gt;=10,K578&gt;=23,L578&gt;=10,M578&gt;=23),AND(J578+L578&gt;=20,K578+M578&gt;=46)))</f>
        <v/>
      </c>
      <c r="Z578">
        <f>OR(N578&lt;10,O578&lt;23)</f>
        <v/>
      </c>
      <c r="AA578">
        <f>OR(P578&lt;10,Q578&lt;23)</f>
        <v/>
      </c>
      <c r="AB578">
        <f>OR((C578+D578)&lt;66,(E578+F578)&lt;66,G578&lt;33,(H578+I578)&lt;66,Y578,Z578,AA578,R578&lt;8.25)</f>
        <v/>
      </c>
      <c r="AC578">
        <f>IF(C578+D578&lt;66,0,IF((C578+D578)/2&gt;=80,5,IF((C578+D578)/2&gt;=70,4,IF((C578+D578)/2&gt;=60,3.5,IF((C578+D578)/2&gt;=50,3,IF((C578+D578)/2&gt;=40,2,IF((C578+D578)/2&gt;=33,1,0)))))))</f>
        <v/>
      </c>
      <c r="AD578">
        <f>IF(E578+F578&lt;66,0,IF((E578+F578)/2&gt;=80,5,IF((E578+F578)/2&gt;=70,4,IF((E578+F578)/2&gt;=60,3.5,IF((E578+F578)/2&gt;=50,3,IF((E578+F578)/2&gt;=40,2,IF((E578+F578)/2&gt;=33,1,0)))))))</f>
        <v/>
      </c>
      <c r="AE578">
        <f>IF(G578&lt;33,0,IF(G578&gt;=80,5,IF(G578&gt;=70,4,IF(G578&gt;=60,3.5,IF(G578&gt;=50,3,IF(G578&gt;=40,2,IF(G578&gt;=33,1,0)))))))</f>
        <v/>
      </c>
      <c r="AF578">
        <f>IF(H578+I578&lt;66,0,IF((H578+I578)/2&gt;=80,5,IF((H578+I578)/2&gt;=70,4,IF((H578+I578)/2&gt;=60,3.5,IF((H578+I578)/2&gt;=50,3,IF((H578+I578)/2&gt;=40,2,IF((H578+I578)/2&gt;=33,1,0)))))))</f>
        <v/>
      </c>
      <c r="AG578">
        <f>IF(Y578,0,IF((J578+K578+L578+M578)/2&gt;=80,5,IF((J578+K578+L578+M578)/2&gt;=70,4,IF((J578+K578+L578+M578)/2&gt;=60,3.5,IF((J578+K578+L578+M578)/2&gt;=50,3,IF((J578+K578+L578+M578)/2&gt;=40,2,IF((J578+K578+L578+M578)/2&gt;=33,1,0)))))))</f>
        <v/>
      </c>
      <c r="AH578">
        <f>IF(Z578,0,IF(N578+O578&gt;=80,5,IF(N578+O578&gt;=70,4,IF(N578+O578&gt;=60,3.5,IF(N578+O578&gt;=50,3,IF(N578+O578&gt;=40,2,IF(N578+O578&gt;=33,1,0)))))))</f>
        <v/>
      </c>
      <c r="AI578">
        <f>IF(AA578,0,IF(P578+Q578&gt;=80,5,IF(P578+Q578&gt;=70,4,IF(P578+Q578&gt;=60,3.5,IF(P578+Q578&gt;=50,3,IF(P578+Q578&gt;=40,2,IF(P578+Q578&gt;=33,1,0)))))))</f>
        <v/>
      </c>
      <c r="AJ578">
        <f>IF(R578&lt;8.25,0,IF(R578*2&gt;=80,5,IF(R578*2&gt;=70,4,IF(R578*2&gt;=60,3.5,IF(R578*2&gt;=50,3,IF(R578*2&gt;=40,2,IF(R578*2&gt;=33,1,0)))))))</f>
        <v/>
      </c>
      <c r="AK578">
        <f>IF(S578&lt;33,0,IF(S578&gt;=80,5,IF(S578&gt;=70,4,IF(S578&gt;=60,3.5,IF(S578&gt;=50,3,IF(S578&gt;=40,2,IF(S578&gt;=33,1,0)))))))</f>
        <v/>
      </c>
      <c r="AL578">
        <f>(AC578+AD578+AE578+AF578+AG578+AH578+AI578+AJ578)/8</f>
        <v/>
      </c>
      <c r="AM578">
        <f>IF(AK578&gt;=2,(AK578-2)/8,0)</f>
        <v/>
      </c>
    </row>
    <row r="579">
      <c r="T579">
        <f>SUM(C579:R579)</f>
        <v/>
      </c>
      <c r="U579" s="6">
        <f>ROUND(T579/11.5,2)</f>
        <v/>
      </c>
      <c r="V579" s="7">
        <f>IF(B579="","",IF(AB579,0,ROUND(AL579,2)))</f>
        <v/>
      </c>
      <c r="W579" s="7">
        <f>IF(B579="","",IF(AB579,0,MIN(5,ROUND(AL579+AM579,2))))</f>
        <v/>
      </c>
      <c r="X579" s="8">
        <f>IF(B579="","",IF(W579&gt;=5,"A+",IF(W579&gt;=4,"A",IF(W579&gt;=3.5,"A-",IF(W579&gt;=3,"B",IF(W579&gt;=2,"C",IF(W579&gt;=1,"D","F")))))))</f>
        <v/>
      </c>
      <c r="Y579">
        <f>NOT(OR(AND(J579&gt;=10,K579&gt;=23,L579&gt;=10,M579&gt;=23),AND(J579+L579&gt;=20,K579+M579&gt;=46)))</f>
        <v/>
      </c>
      <c r="Z579">
        <f>OR(N579&lt;10,O579&lt;23)</f>
        <v/>
      </c>
      <c r="AA579">
        <f>OR(P579&lt;10,Q579&lt;23)</f>
        <v/>
      </c>
      <c r="AB579">
        <f>OR((C579+D579)&lt;66,(E579+F579)&lt;66,G579&lt;33,(H579+I579)&lt;66,Y579,Z579,AA579,R579&lt;8.25)</f>
        <v/>
      </c>
      <c r="AC579">
        <f>IF(C579+D579&lt;66,0,IF((C579+D579)/2&gt;=80,5,IF((C579+D579)/2&gt;=70,4,IF((C579+D579)/2&gt;=60,3.5,IF((C579+D579)/2&gt;=50,3,IF((C579+D579)/2&gt;=40,2,IF((C579+D579)/2&gt;=33,1,0)))))))</f>
        <v/>
      </c>
      <c r="AD579">
        <f>IF(E579+F579&lt;66,0,IF((E579+F579)/2&gt;=80,5,IF((E579+F579)/2&gt;=70,4,IF((E579+F579)/2&gt;=60,3.5,IF((E579+F579)/2&gt;=50,3,IF((E579+F579)/2&gt;=40,2,IF((E579+F579)/2&gt;=33,1,0)))))))</f>
        <v/>
      </c>
      <c r="AE579">
        <f>IF(G579&lt;33,0,IF(G579&gt;=80,5,IF(G579&gt;=70,4,IF(G579&gt;=60,3.5,IF(G579&gt;=50,3,IF(G579&gt;=40,2,IF(G579&gt;=33,1,0)))))))</f>
        <v/>
      </c>
      <c r="AF579">
        <f>IF(H579+I579&lt;66,0,IF((H579+I579)/2&gt;=80,5,IF((H579+I579)/2&gt;=70,4,IF((H579+I579)/2&gt;=60,3.5,IF((H579+I579)/2&gt;=50,3,IF((H579+I579)/2&gt;=40,2,IF((H579+I579)/2&gt;=33,1,0)))))))</f>
        <v/>
      </c>
      <c r="AG579">
        <f>IF(Y579,0,IF((J579+K579+L579+M579)/2&gt;=80,5,IF((J579+K579+L579+M579)/2&gt;=70,4,IF((J579+K579+L579+M579)/2&gt;=60,3.5,IF((J579+K579+L579+M579)/2&gt;=50,3,IF((J579+K579+L579+M579)/2&gt;=40,2,IF((J579+K579+L579+M579)/2&gt;=33,1,0)))))))</f>
        <v/>
      </c>
      <c r="AH579">
        <f>IF(Z579,0,IF(N579+O579&gt;=80,5,IF(N579+O579&gt;=70,4,IF(N579+O579&gt;=60,3.5,IF(N579+O579&gt;=50,3,IF(N579+O579&gt;=40,2,IF(N579+O579&gt;=33,1,0)))))))</f>
        <v/>
      </c>
      <c r="AI579">
        <f>IF(AA579,0,IF(P579+Q579&gt;=80,5,IF(P579+Q579&gt;=70,4,IF(P579+Q579&gt;=60,3.5,IF(P579+Q579&gt;=50,3,IF(P579+Q579&gt;=40,2,IF(P579+Q579&gt;=33,1,0)))))))</f>
        <v/>
      </c>
      <c r="AJ579">
        <f>IF(R579&lt;8.25,0,IF(R579*2&gt;=80,5,IF(R579*2&gt;=70,4,IF(R579*2&gt;=60,3.5,IF(R579*2&gt;=50,3,IF(R579*2&gt;=40,2,IF(R579*2&gt;=33,1,0)))))))</f>
        <v/>
      </c>
      <c r="AK579">
        <f>IF(S579&lt;33,0,IF(S579&gt;=80,5,IF(S579&gt;=70,4,IF(S579&gt;=60,3.5,IF(S579&gt;=50,3,IF(S579&gt;=40,2,IF(S579&gt;=33,1,0)))))))</f>
        <v/>
      </c>
      <c r="AL579">
        <f>(AC579+AD579+AE579+AF579+AG579+AH579+AI579+AJ579)/8</f>
        <v/>
      </c>
      <c r="AM579">
        <f>IF(AK579&gt;=2,(AK579-2)/8,0)</f>
        <v/>
      </c>
    </row>
    <row r="580">
      <c r="T580">
        <f>SUM(C580:R580)</f>
        <v/>
      </c>
      <c r="U580" s="6">
        <f>ROUND(T580/11.5,2)</f>
        <v/>
      </c>
      <c r="V580" s="7">
        <f>IF(B580="","",IF(AB580,0,ROUND(AL580,2)))</f>
        <v/>
      </c>
      <c r="W580" s="7">
        <f>IF(B580="","",IF(AB580,0,MIN(5,ROUND(AL580+AM580,2))))</f>
        <v/>
      </c>
      <c r="X580" s="8">
        <f>IF(B580="","",IF(W580&gt;=5,"A+",IF(W580&gt;=4,"A",IF(W580&gt;=3.5,"A-",IF(W580&gt;=3,"B",IF(W580&gt;=2,"C",IF(W580&gt;=1,"D","F")))))))</f>
        <v/>
      </c>
      <c r="Y580">
        <f>NOT(OR(AND(J580&gt;=10,K580&gt;=23,L580&gt;=10,M580&gt;=23),AND(J580+L580&gt;=20,K580+M580&gt;=46)))</f>
        <v/>
      </c>
      <c r="Z580">
        <f>OR(N580&lt;10,O580&lt;23)</f>
        <v/>
      </c>
      <c r="AA580">
        <f>OR(P580&lt;10,Q580&lt;23)</f>
        <v/>
      </c>
      <c r="AB580">
        <f>OR((C580+D580)&lt;66,(E580+F580)&lt;66,G580&lt;33,(H580+I580)&lt;66,Y580,Z580,AA580,R580&lt;8.25)</f>
        <v/>
      </c>
      <c r="AC580">
        <f>IF(C580+D580&lt;66,0,IF((C580+D580)/2&gt;=80,5,IF((C580+D580)/2&gt;=70,4,IF((C580+D580)/2&gt;=60,3.5,IF((C580+D580)/2&gt;=50,3,IF((C580+D580)/2&gt;=40,2,IF((C580+D580)/2&gt;=33,1,0)))))))</f>
        <v/>
      </c>
      <c r="AD580">
        <f>IF(E580+F580&lt;66,0,IF((E580+F580)/2&gt;=80,5,IF((E580+F580)/2&gt;=70,4,IF((E580+F580)/2&gt;=60,3.5,IF((E580+F580)/2&gt;=50,3,IF((E580+F580)/2&gt;=40,2,IF((E580+F580)/2&gt;=33,1,0)))))))</f>
        <v/>
      </c>
      <c r="AE580">
        <f>IF(G580&lt;33,0,IF(G580&gt;=80,5,IF(G580&gt;=70,4,IF(G580&gt;=60,3.5,IF(G580&gt;=50,3,IF(G580&gt;=40,2,IF(G580&gt;=33,1,0)))))))</f>
        <v/>
      </c>
      <c r="AF580">
        <f>IF(H580+I580&lt;66,0,IF((H580+I580)/2&gt;=80,5,IF((H580+I580)/2&gt;=70,4,IF((H580+I580)/2&gt;=60,3.5,IF((H580+I580)/2&gt;=50,3,IF((H580+I580)/2&gt;=40,2,IF((H580+I580)/2&gt;=33,1,0)))))))</f>
        <v/>
      </c>
      <c r="AG580">
        <f>IF(Y580,0,IF((J580+K580+L580+M580)/2&gt;=80,5,IF((J580+K580+L580+M580)/2&gt;=70,4,IF((J580+K580+L580+M580)/2&gt;=60,3.5,IF((J580+K580+L580+M580)/2&gt;=50,3,IF((J580+K580+L580+M580)/2&gt;=40,2,IF((J580+K580+L580+M580)/2&gt;=33,1,0)))))))</f>
        <v/>
      </c>
      <c r="AH580">
        <f>IF(Z580,0,IF(N580+O580&gt;=80,5,IF(N580+O580&gt;=70,4,IF(N580+O580&gt;=60,3.5,IF(N580+O580&gt;=50,3,IF(N580+O580&gt;=40,2,IF(N580+O580&gt;=33,1,0)))))))</f>
        <v/>
      </c>
      <c r="AI580">
        <f>IF(AA580,0,IF(P580+Q580&gt;=80,5,IF(P580+Q580&gt;=70,4,IF(P580+Q580&gt;=60,3.5,IF(P580+Q580&gt;=50,3,IF(P580+Q580&gt;=40,2,IF(P580+Q580&gt;=33,1,0)))))))</f>
        <v/>
      </c>
      <c r="AJ580">
        <f>IF(R580&lt;8.25,0,IF(R580*2&gt;=80,5,IF(R580*2&gt;=70,4,IF(R580*2&gt;=60,3.5,IF(R580*2&gt;=50,3,IF(R580*2&gt;=40,2,IF(R580*2&gt;=33,1,0)))))))</f>
        <v/>
      </c>
      <c r="AK580">
        <f>IF(S580&lt;33,0,IF(S580&gt;=80,5,IF(S580&gt;=70,4,IF(S580&gt;=60,3.5,IF(S580&gt;=50,3,IF(S580&gt;=40,2,IF(S580&gt;=33,1,0)))))))</f>
        <v/>
      </c>
      <c r="AL580">
        <f>(AC580+AD580+AE580+AF580+AG580+AH580+AI580+AJ580)/8</f>
        <v/>
      </c>
      <c r="AM580">
        <f>IF(AK580&gt;=2,(AK580-2)/8,0)</f>
        <v/>
      </c>
    </row>
    <row r="581">
      <c r="T581">
        <f>SUM(C581:R581)</f>
        <v/>
      </c>
      <c r="U581" s="6">
        <f>ROUND(T581/11.5,2)</f>
        <v/>
      </c>
      <c r="V581" s="7">
        <f>IF(B581="","",IF(AB581,0,ROUND(AL581,2)))</f>
        <v/>
      </c>
      <c r="W581" s="7">
        <f>IF(B581="","",IF(AB581,0,MIN(5,ROUND(AL581+AM581,2))))</f>
        <v/>
      </c>
      <c r="X581" s="8">
        <f>IF(B581="","",IF(W581&gt;=5,"A+",IF(W581&gt;=4,"A",IF(W581&gt;=3.5,"A-",IF(W581&gt;=3,"B",IF(W581&gt;=2,"C",IF(W581&gt;=1,"D","F")))))))</f>
        <v/>
      </c>
      <c r="Y581">
        <f>NOT(OR(AND(J581&gt;=10,K581&gt;=23,L581&gt;=10,M581&gt;=23),AND(J581+L581&gt;=20,K581+M581&gt;=46)))</f>
        <v/>
      </c>
      <c r="Z581">
        <f>OR(N581&lt;10,O581&lt;23)</f>
        <v/>
      </c>
      <c r="AA581">
        <f>OR(P581&lt;10,Q581&lt;23)</f>
        <v/>
      </c>
      <c r="AB581">
        <f>OR((C581+D581)&lt;66,(E581+F581)&lt;66,G581&lt;33,(H581+I581)&lt;66,Y581,Z581,AA581,R581&lt;8.25)</f>
        <v/>
      </c>
      <c r="AC581">
        <f>IF(C581+D581&lt;66,0,IF((C581+D581)/2&gt;=80,5,IF((C581+D581)/2&gt;=70,4,IF((C581+D581)/2&gt;=60,3.5,IF((C581+D581)/2&gt;=50,3,IF((C581+D581)/2&gt;=40,2,IF((C581+D581)/2&gt;=33,1,0)))))))</f>
        <v/>
      </c>
      <c r="AD581">
        <f>IF(E581+F581&lt;66,0,IF((E581+F581)/2&gt;=80,5,IF((E581+F581)/2&gt;=70,4,IF((E581+F581)/2&gt;=60,3.5,IF((E581+F581)/2&gt;=50,3,IF((E581+F581)/2&gt;=40,2,IF((E581+F581)/2&gt;=33,1,0)))))))</f>
        <v/>
      </c>
      <c r="AE581">
        <f>IF(G581&lt;33,0,IF(G581&gt;=80,5,IF(G581&gt;=70,4,IF(G581&gt;=60,3.5,IF(G581&gt;=50,3,IF(G581&gt;=40,2,IF(G581&gt;=33,1,0)))))))</f>
        <v/>
      </c>
      <c r="AF581">
        <f>IF(H581+I581&lt;66,0,IF((H581+I581)/2&gt;=80,5,IF((H581+I581)/2&gt;=70,4,IF((H581+I581)/2&gt;=60,3.5,IF((H581+I581)/2&gt;=50,3,IF((H581+I581)/2&gt;=40,2,IF((H581+I581)/2&gt;=33,1,0)))))))</f>
        <v/>
      </c>
      <c r="AG581">
        <f>IF(Y581,0,IF((J581+K581+L581+M581)/2&gt;=80,5,IF((J581+K581+L581+M581)/2&gt;=70,4,IF((J581+K581+L581+M581)/2&gt;=60,3.5,IF((J581+K581+L581+M581)/2&gt;=50,3,IF((J581+K581+L581+M581)/2&gt;=40,2,IF((J581+K581+L581+M581)/2&gt;=33,1,0)))))))</f>
        <v/>
      </c>
      <c r="AH581">
        <f>IF(Z581,0,IF(N581+O581&gt;=80,5,IF(N581+O581&gt;=70,4,IF(N581+O581&gt;=60,3.5,IF(N581+O581&gt;=50,3,IF(N581+O581&gt;=40,2,IF(N581+O581&gt;=33,1,0)))))))</f>
        <v/>
      </c>
      <c r="AI581">
        <f>IF(AA581,0,IF(P581+Q581&gt;=80,5,IF(P581+Q581&gt;=70,4,IF(P581+Q581&gt;=60,3.5,IF(P581+Q581&gt;=50,3,IF(P581+Q581&gt;=40,2,IF(P581+Q581&gt;=33,1,0)))))))</f>
        <v/>
      </c>
      <c r="AJ581">
        <f>IF(R581&lt;8.25,0,IF(R581*2&gt;=80,5,IF(R581*2&gt;=70,4,IF(R581*2&gt;=60,3.5,IF(R581*2&gt;=50,3,IF(R581*2&gt;=40,2,IF(R581*2&gt;=33,1,0)))))))</f>
        <v/>
      </c>
      <c r="AK581">
        <f>IF(S581&lt;33,0,IF(S581&gt;=80,5,IF(S581&gt;=70,4,IF(S581&gt;=60,3.5,IF(S581&gt;=50,3,IF(S581&gt;=40,2,IF(S581&gt;=33,1,0)))))))</f>
        <v/>
      </c>
      <c r="AL581">
        <f>(AC581+AD581+AE581+AF581+AG581+AH581+AI581+AJ581)/8</f>
        <v/>
      </c>
      <c r="AM581">
        <f>IF(AK581&gt;=2,(AK581-2)/8,0)</f>
        <v/>
      </c>
    </row>
    <row r="582">
      <c r="T582">
        <f>SUM(C582:R582)</f>
        <v/>
      </c>
      <c r="U582" s="6">
        <f>ROUND(T582/11.5,2)</f>
        <v/>
      </c>
      <c r="V582" s="7">
        <f>IF(B582="","",IF(AB582,0,ROUND(AL582,2)))</f>
        <v/>
      </c>
      <c r="W582" s="7">
        <f>IF(B582="","",IF(AB582,0,MIN(5,ROUND(AL582+AM582,2))))</f>
        <v/>
      </c>
      <c r="X582" s="8">
        <f>IF(B582="","",IF(W582&gt;=5,"A+",IF(W582&gt;=4,"A",IF(W582&gt;=3.5,"A-",IF(W582&gt;=3,"B",IF(W582&gt;=2,"C",IF(W582&gt;=1,"D","F")))))))</f>
        <v/>
      </c>
      <c r="Y582">
        <f>NOT(OR(AND(J582&gt;=10,K582&gt;=23,L582&gt;=10,M582&gt;=23),AND(J582+L582&gt;=20,K582+M582&gt;=46)))</f>
        <v/>
      </c>
      <c r="Z582">
        <f>OR(N582&lt;10,O582&lt;23)</f>
        <v/>
      </c>
      <c r="AA582">
        <f>OR(P582&lt;10,Q582&lt;23)</f>
        <v/>
      </c>
      <c r="AB582">
        <f>OR((C582+D582)&lt;66,(E582+F582)&lt;66,G582&lt;33,(H582+I582)&lt;66,Y582,Z582,AA582,R582&lt;8.25)</f>
        <v/>
      </c>
      <c r="AC582">
        <f>IF(C582+D582&lt;66,0,IF((C582+D582)/2&gt;=80,5,IF((C582+D582)/2&gt;=70,4,IF((C582+D582)/2&gt;=60,3.5,IF((C582+D582)/2&gt;=50,3,IF((C582+D582)/2&gt;=40,2,IF((C582+D582)/2&gt;=33,1,0)))))))</f>
        <v/>
      </c>
      <c r="AD582">
        <f>IF(E582+F582&lt;66,0,IF((E582+F582)/2&gt;=80,5,IF((E582+F582)/2&gt;=70,4,IF((E582+F582)/2&gt;=60,3.5,IF((E582+F582)/2&gt;=50,3,IF((E582+F582)/2&gt;=40,2,IF((E582+F582)/2&gt;=33,1,0)))))))</f>
        <v/>
      </c>
      <c r="AE582">
        <f>IF(G582&lt;33,0,IF(G582&gt;=80,5,IF(G582&gt;=70,4,IF(G582&gt;=60,3.5,IF(G582&gt;=50,3,IF(G582&gt;=40,2,IF(G582&gt;=33,1,0)))))))</f>
        <v/>
      </c>
      <c r="AF582">
        <f>IF(H582+I582&lt;66,0,IF((H582+I582)/2&gt;=80,5,IF((H582+I582)/2&gt;=70,4,IF((H582+I582)/2&gt;=60,3.5,IF((H582+I582)/2&gt;=50,3,IF((H582+I582)/2&gt;=40,2,IF((H582+I582)/2&gt;=33,1,0)))))))</f>
        <v/>
      </c>
      <c r="AG582">
        <f>IF(Y582,0,IF((J582+K582+L582+M582)/2&gt;=80,5,IF((J582+K582+L582+M582)/2&gt;=70,4,IF((J582+K582+L582+M582)/2&gt;=60,3.5,IF((J582+K582+L582+M582)/2&gt;=50,3,IF((J582+K582+L582+M582)/2&gt;=40,2,IF((J582+K582+L582+M582)/2&gt;=33,1,0)))))))</f>
        <v/>
      </c>
      <c r="AH582">
        <f>IF(Z582,0,IF(N582+O582&gt;=80,5,IF(N582+O582&gt;=70,4,IF(N582+O582&gt;=60,3.5,IF(N582+O582&gt;=50,3,IF(N582+O582&gt;=40,2,IF(N582+O582&gt;=33,1,0)))))))</f>
        <v/>
      </c>
      <c r="AI582">
        <f>IF(AA582,0,IF(P582+Q582&gt;=80,5,IF(P582+Q582&gt;=70,4,IF(P582+Q582&gt;=60,3.5,IF(P582+Q582&gt;=50,3,IF(P582+Q582&gt;=40,2,IF(P582+Q582&gt;=33,1,0)))))))</f>
        <v/>
      </c>
      <c r="AJ582">
        <f>IF(R582&lt;8.25,0,IF(R582*2&gt;=80,5,IF(R582*2&gt;=70,4,IF(R582*2&gt;=60,3.5,IF(R582*2&gt;=50,3,IF(R582*2&gt;=40,2,IF(R582*2&gt;=33,1,0)))))))</f>
        <v/>
      </c>
      <c r="AK582">
        <f>IF(S582&lt;33,0,IF(S582&gt;=80,5,IF(S582&gt;=70,4,IF(S582&gt;=60,3.5,IF(S582&gt;=50,3,IF(S582&gt;=40,2,IF(S582&gt;=33,1,0)))))))</f>
        <v/>
      </c>
      <c r="AL582">
        <f>(AC582+AD582+AE582+AF582+AG582+AH582+AI582+AJ582)/8</f>
        <v/>
      </c>
      <c r="AM582">
        <f>IF(AK582&gt;=2,(AK582-2)/8,0)</f>
        <v/>
      </c>
    </row>
    <row r="583">
      <c r="T583">
        <f>SUM(C583:R583)</f>
        <v/>
      </c>
      <c r="U583" s="6">
        <f>ROUND(T583/11.5,2)</f>
        <v/>
      </c>
      <c r="V583" s="7">
        <f>IF(B583="","",IF(AB583,0,ROUND(AL583,2)))</f>
        <v/>
      </c>
      <c r="W583" s="7">
        <f>IF(B583="","",IF(AB583,0,MIN(5,ROUND(AL583+AM583,2))))</f>
        <v/>
      </c>
      <c r="X583" s="8">
        <f>IF(B583="","",IF(W583&gt;=5,"A+",IF(W583&gt;=4,"A",IF(W583&gt;=3.5,"A-",IF(W583&gt;=3,"B",IF(W583&gt;=2,"C",IF(W583&gt;=1,"D","F")))))))</f>
        <v/>
      </c>
      <c r="Y583">
        <f>NOT(OR(AND(J583&gt;=10,K583&gt;=23,L583&gt;=10,M583&gt;=23),AND(J583+L583&gt;=20,K583+M583&gt;=46)))</f>
        <v/>
      </c>
      <c r="Z583">
        <f>OR(N583&lt;10,O583&lt;23)</f>
        <v/>
      </c>
      <c r="AA583">
        <f>OR(P583&lt;10,Q583&lt;23)</f>
        <v/>
      </c>
      <c r="AB583">
        <f>OR((C583+D583)&lt;66,(E583+F583)&lt;66,G583&lt;33,(H583+I583)&lt;66,Y583,Z583,AA583,R583&lt;8.25)</f>
        <v/>
      </c>
      <c r="AC583">
        <f>IF(C583+D583&lt;66,0,IF((C583+D583)/2&gt;=80,5,IF((C583+D583)/2&gt;=70,4,IF((C583+D583)/2&gt;=60,3.5,IF((C583+D583)/2&gt;=50,3,IF((C583+D583)/2&gt;=40,2,IF((C583+D583)/2&gt;=33,1,0)))))))</f>
        <v/>
      </c>
      <c r="AD583">
        <f>IF(E583+F583&lt;66,0,IF((E583+F583)/2&gt;=80,5,IF((E583+F583)/2&gt;=70,4,IF((E583+F583)/2&gt;=60,3.5,IF((E583+F583)/2&gt;=50,3,IF((E583+F583)/2&gt;=40,2,IF((E583+F583)/2&gt;=33,1,0)))))))</f>
        <v/>
      </c>
      <c r="AE583">
        <f>IF(G583&lt;33,0,IF(G583&gt;=80,5,IF(G583&gt;=70,4,IF(G583&gt;=60,3.5,IF(G583&gt;=50,3,IF(G583&gt;=40,2,IF(G583&gt;=33,1,0)))))))</f>
        <v/>
      </c>
      <c r="AF583">
        <f>IF(H583+I583&lt;66,0,IF((H583+I583)/2&gt;=80,5,IF((H583+I583)/2&gt;=70,4,IF((H583+I583)/2&gt;=60,3.5,IF((H583+I583)/2&gt;=50,3,IF((H583+I583)/2&gt;=40,2,IF((H583+I583)/2&gt;=33,1,0)))))))</f>
        <v/>
      </c>
      <c r="AG583">
        <f>IF(Y583,0,IF((J583+K583+L583+M583)/2&gt;=80,5,IF((J583+K583+L583+M583)/2&gt;=70,4,IF((J583+K583+L583+M583)/2&gt;=60,3.5,IF((J583+K583+L583+M583)/2&gt;=50,3,IF((J583+K583+L583+M583)/2&gt;=40,2,IF((J583+K583+L583+M583)/2&gt;=33,1,0)))))))</f>
        <v/>
      </c>
      <c r="AH583">
        <f>IF(Z583,0,IF(N583+O583&gt;=80,5,IF(N583+O583&gt;=70,4,IF(N583+O583&gt;=60,3.5,IF(N583+O583&gt;=50,3,IF(N583+O583&gt;=40,2,IF(N583+O583&gt;=33,1,0)))))))</f>
        <v/>
      </c>
      <c r="AI583">
        <f>IF(AA583,0,IF(P583+Q583&gt;=80,5,IF(P583+Q583&gt;=70,4,IF(P583+Q583&gt;=60,3.5,IF(P583+Q583&gt;=50,3,IF(P583+Q583&gt;=40,2,IF(P583+Q583&gt;=33,1,0)))))))</f>
        <v/>
      </c>
      <c r="AJ583">
        <f>IF(R583&lt;8.25,0,IF(R583*2&gt;=80,5,IF(R583*2&gt;=70,4,IF(R583*2&gt;=60,3.5,IF(R583*2&gt;=50,3,IF(R583*2&gt;=40,2,IF(R583*2&gt;=33,1,0)))))))</f>
        <v/>
      </c>
      <c r="AK583">
        <f>IF(S583&lt;33,0,IF(S583&gt;=80,5,IF(S583&gt;=70,4,IF(S583&gt;=60,3.5,IF(S583&gt;=50,3,IF(S583&gt;=40,2,IF(S583&gt;=33,1,0)))))))</f>
        <v/>
      </c>
      <c r="AL583">
        <f>(AC583+AD583+AE583+AF583+AG583+AH583+AI583+AJ583)/8</f>
        <v/>
      </c>
      <c r="AM583">
        <f>IF(AK583&gt;=2,(AK583-2)/8,0)</f>
        <v/>
      </c>
    </row>
    <row r="584">
      <c r="T584">
        <f>SUM(C584:R584)</f>
        <v/>
      </c>
      <c r="U584" s="6">
        <f>ROUND(T584/11.5,2)</f>
        <v/>
      </c>
      <c r="V584" s="7">
        <f>IF(B584="","",IF(AB584,0,ROUND(AL584,2)))</f>
        <v/>
      </c>
      <c r="W584" s="7">
        <f>IF(B584="","",IF(AB584,0,MIN(5,ROUND(AL584+AM584,2))))</f>
        <v/>
      </c>
      <c r="X584" s="8">
        <f>IF(B584="","",IF(W584&gt;=5,"A+",IF(W584&gt;=4,"A",IF(W584&gt;=3.5,"A-",IF(W584&gt;=3,"B",IF(W584&gt;=2,"C",IF(W584&gt;=1,"D","F")))))))</f>
        <v/>
      </c>
      <c r="Y584">
        <f>NOT(OR(AND(J584&gt;=10,K584&gt;=23,L584&gt;=10,M584&gt;=23),AND(J584+L584&gt;=20,K584+M584&gt;=46)))</f>
        <v/>
      </c>
      <c r="Z584">
        <f>OR(N584&lt;10,O584&lt;23)</f>
        <v/>
      </c>
      <c r="AA584">
        <f>OR(P584&lt;10,Q584&lt;23)</f>
        <v/>
      </c>
      <c r="AB584">
        <f>OR((C584+D584)&lt;66,(E584+F584)&lt;66,G584&lt;33,(H584+I584)&lt;66,Y584,Z584,AA584,R584&lt;8.25)</f>
        <v/>
      </c>
      <c r="AC584">
        <f>IF(C584+D584&lt;66,0,IF((C584+D584)/2&gt;=80,5,IF((C584+D584)/2&gt;=70,4,IF((C584+D584)/2&gt;=60,3.5,IF((C584+D584)/2&gt;=50,3,IF((C584+D584)/2&gt;=40,2,IF((C584+D584)/2&gt;=33,1,0)))))))</f>
        <v/>
      </c>
      <c r="AD584">
        <f>IF(E584+F584&lt;66,0,IF((E584+F584)/2&gt;=80,5,IF((E584+F584)/2&gt;=70,4,IF((E584+F584)/2&gt;=60,3.5,IF((E584+F584)/2&gt;=50,3,IF((E584+F584)/2&gt;=40,2,IF((E584+F584)/2&gt;=33,1,0)))))))</f>
        <v/>
      </c>
      <c r="AE584">
        <f>IF(G584&lt;33,0,IF(G584&gt;=80,5,IF(G584&gt;=70,4,IF(G584&gt;=60,3.5,IF(G584&gt;=50,3,IF(G584&gt;=40,2,IF(G584&gt;=33,1,0)))))))</f>
        <v/>
      </c>
      <c r="AF584">
        <f>IF(H584+I584&lt;66,0,IF((H584+I584)/2&gt;=80,5,IF((H584+I584)/2&gt;=70,4,IF((H584+I584)/2&gt;=60,3.5,IF((H584+I584)/2&gt;=50,3,IF((H584+I584)/2&gt;=40,2,IF((H584+I584)/2&gt;=33,1,0)))))))</f>
        <v/>
      </c>
      <c r="AG584">
        <f>IF(Y584,0,IF((J584+K584+L584+M584)/2&gt;=80,5,IF((J584+K584+L584+M584)/2&gt;=70,4,IF((J584+K584+L584+M584)/2&gt;=60,3.5,IF((J584+K584+L584+M584)/2&gt;=50,3,IF((J584+K584+L584+M584)/2&gt;=40,2,IF((J584+K584+L584+M584)/2&gt;=33,1,0)))))))</f>
        <v/>
      </c>
      <c r="AH584">
        <f>IF(Z584,0,IF(N584+O584&gt;=80,5,IF(N584+O584&gt;=70,4,IF(N584+O584&gt;=60,3.5,IF(N584+O584&gt;=50,3,IF(N584+O584&gt;=40,2,IF(N584+O584&gt;=33,1,0)))))))</f>
        <v/>
      </c>
      <c r="AI584">
        <f>IF(AA584,0,IF(P584+Q584&gt;=80,5,IF(P584+Q584&gt;=70,4,IF(P584+Q584&gt;=60,3.5,IF(P584+Q584&gt;=50,3,IF(P584+Q584&gt;=40,2,IF(P584+Q584&gt;=33,1,0)))))))</f>
        <v/>
      </c>
      <c r="AJ584">
        <f>IF(R584&lt;8.25,0,IF(R584*2&gt;=80,5,IF(R584*2&gt;=70,4,IF(R584*2&gt;=60,3.5,IF(R584*2&gt;=50,3,IF(R584*2&gt;=40,2,IF(R584*2&gt;=33,1,0)))))))</f>
        <v/>
      </c>
      <c r="AK584">
        <f>IF(S584&lt;33,0,IF(S584&gt;=80,5,IF(S584&gt;=70,4,IF(S584&gt;=60,3.5,IF(S584&gt;=50,3,IF(S584&gt;=40,2,IF(S584&gt;=33,1,0)))))))</f>
        <v/>
      </c>
      <c r="AL584">
        <f>(AC584+AD584+AE584+AF584+AG584+AH584+AI584+AJ584)/8</f>
        <v/>
      </c>
      <c r="AM584">
        <f>IF(AK584&gt;=2,(AK584-2)/8,0)</f>
        <v/>
      </c>
    </row>
    <row r="585">
      <c r="T585">
        <f>SUM(C585:R585)</f>
        <v/>
      </c>
      <c r="U585" s="6">
        <f>ROUND(T585/11.5,2)</f>
        <v/>
      </c>
      <c r="V585" s="7">
        <f>IF(B585="","",IF(AB585,0,ROUND(AL585,2)))</f>
        <v/>
      </c>
      <c r="W585" s="7">
        <f>IF(B585="","",IF(AB585,0,MIN(5,ROUND(AL585+AM585,2))))</f>
        <v/>
      </c>
      <c r="X585" s="8">
        <f>IF(B585="","",IF(W585&gt;=5,"A+",IF(W585&gt;=4,"A",IF(W585&gt;=3.5,"A-",IF(W585&gt;=3,"B",IF(W585&gt;=2,"C",IF(W585&gt;=1,"D","F")))))))</f>
        <v/>
      </c>
      <c r="Y585">
        <f>NOT(OR(AND(J585&gt;=10,K585&gt;=23,L585&gt;=10,M585&gt;=23),AND(J585+L585&gt;=20,K585+M585&gt;=46)))</f>
        <v/>
      </c>
      <c r="Z585">
        <f>OR(N585&lt;10,O585&lt;23)</f>
        <v/>
      </c>
      <c r="AA585">
        <f>OR(P585&lt;10,Q585&lt;23)</f>
        <v/>
      </c>
      <c r="AB585">
        <f>OR((C585+D585)&lt;66,(E585+F585)&lt;66,G585&lt;33,(H585+I585)&lt;66,Y585,Z585,AA585,R585&lt;8.25)</f>
        <v/>
      </c>
      <c r="AC585">
        <f>IF(C585+D585&lt;66,0,IF((C585+D585)/2&gt;=80,5,IF((C585+D585)/2&gt;=70,4,IF((C585+D585)/2&gt;=60,3.5,IF((C585+D585)/2&gt;=50,3,IF((C585+D585)/2&gt;=40,2,IF((C585+D585)/2&gt;=33,1,0)))))))</f>
        <v/>
      </c>
      <c r="AD585">
        <f>IF(E585+F585&lt;66,0,IF((E585+F585)/2&gt;=80,5,IF((E585+F585)/2&gt;=70,4,IF((E585+F585)/2&gt;=60,3.5,IF((E585+F585)/2&gt;=50,3,IF((E585+F585)/2&gt;=40,2,IF((E585+F585)/2&gt;=33,1,0)))))))</f>
        <v/>
      </c>
      <c r="AE585">
        <f>IF(G585&lt;33,0,IF(G585&gt;=80,5,IF(G585&gt;=70,4,IF(G585&gt;=60,3.5,IF(G585&gt;=50,3,IF(G585&gt;=40,2,IF(G585&gt;=33,1,0)))))))</f>
        <v/>
      </c>
      <c r="AF585">
        <f>IF(H585+I585&lt;66,0,IF((H585+I585)/2&gt;=80,5,IF((H585+I585)/2&gt;=70,4,IF((H585+I585)/2&gt;=60,3.5,IF((H585+I585)/2&gt;=50,3,IF((H585+I585)/2&gt;=40,2,IF((H585+I585)/2&gt;=33,1,0)))))))</f>
        <v/>
      </c>
      <c r="AG585">
        <f>IF(Y585,0,IF((J585+K585+L585+M585)/2&gt;=80,5,IF((J585+K585+L585+M585)/2&gt;=70,4,IF((J585+K585+L585+M585)/2&gt;=60,3.5,IF((J585+K585+L585+M585)/2&gt;=50,3,IF((J585+K585+L585+M585)/2&gt;=40,2,IF((J585+K585+L585+M585)/2&gt;=33,1,0)))))))</f>
        <v/>
      </c>
      <c r="AH585">
        <f>IF(Z585,0,IF(N585+O585&gt;=80,5,IF(N585+O585&gt;=70,4,IF(N585+O585&gt;=60,3.5,IF(N585+O585&gt;=50,3,IF(N585+O585&gt;=40,2,IF(N585+O585&gt;=33,1,0)))))))</f>
        <v/>
      </c>
      <c r="AI585">
        <f>IF(AA585,0,IF(P585+Q585&gt;=80,5,IF(P585+Q585&gt;=70,4,IF(P585+Q585&gt;=60,3.5,IF(P585+Q585&gt;=50,3,IF(P585+Q585&gt;=40,2,IF(P585+Q585&gt;=33,1,0)))))))</f>
        <v/>
      </c>
      <c r="AJ585">
        <f>IF(R585&lt;8.25,0,IF(R585*2&gt;=80,5,IF(R585*2&gt;=70,4,IF(R585*2&gt;=60,3.5,IF(R585*2&gt;=50,3,IF(R585*2&gt;=40,2,IF(R585*2&gt;=33,1,0)))))))</f>
        <v/>
      </c>
      <c r="AK585">
        <f>IF(S585&lt;33,0,IF(S585&gt;=80,5,IF(S585&gt;=70,4,IF(S585&gt;=60,3.5,IF(S585&gt;=50,3,IF(S585&gt;=40,2,IF(S585&gt;=33,1,0)))))))</f>
        <v/>
      </c>
      <c r="AL585">
        <f>(AC585+AD585+AE585+AF585+AG585+AH585+AI585+AJ585)/8</f>
        <v/>
      </c>
      <c r="AM585">
        <f>IF(AK585&gt;=2,(AK585-2)/8,0)</f>
        <v/>
      </c>
    </row>
    <row r="586">
      <c r="T586">
        <f>SUM(C586:R586)</f>
        <v/>
      </c>
      <c r="U586" s="6">
        <f>ROUND(T586/11.5,2)</f>
        <v/>
      </c>
      <c r="V586" s="7">
        <f>IF(B586="","",IF(AB586,0,ROUND(AL586,2)))</f>
        <v/>
      </c>
      <c r="W586" s="7">
        <f>IF(B586="","",IF(AB586,0,MIN(5,ROUND(AL586+AM586,2))))</f>
        <v/>
      </c>
      <c r="X586" s="8">
        <f>IF(B586="","",IF(W586&gt;=5,"A+",IF(W586&gt;=4,"A",IF(W586&gt;=3.5,"A-",IF(W586&gt;=3,"B",IF(W586&gt;=2,"C",IF(W586&gt;=1,"D","F")))))))</f>
        <v/>
      </c>
      <c r="Y586">
        <f>NOT(OR(AND(J586&gt;=10,K586&gt;=23,L586&gt;=10,M586&gt;=23),AND(J586+L586&gt;=20,K586+M586&gt;=46)))</f>
        <v/>
      </c>
      <c r="Z586">
        <f>OR(N586&lt;10,O586&lt;23)</f>
        <v/>
      </c>
      <c r="AA586">
        <f>OR(P586&lt;10,Q586&lt;23)</f>
        <v/>
      </c>
      <c r="AB586">
        <f>OR((C586+D586)&lt;66,(E586+F586)&lt;66,G586&lt;33,(H586+I586)&lt;66,Y586,Z586,AA586,R586&lt;8.25)</f>
        <v/>
      </c>
      <c r="AC586">
        <f>IF(C586+D586&lt;66,0,IF((C586+D586)/2&gt;=80,5,IF((C586+D586)/2&gt;=70,4,IF((C586+D586)/2&gt;=60,3.5,IF((C586+D586)/2&gt;=50,3,IF((C586+D586)/2&gt;=40,2,IF((C586+D586)/2&gt;=33,1,0)))))))</f>
        <v/>
      </c>
      <c r="AD586">
        <f>IF(E586+F586&lt;66,0,IF((E586+F586)/2&gt;=80,5,IF((E586+F586)/2&gt;=70,4,IF((E586+F586)/2&gt;=60,3.5,IF((E586+F586)/2&gt;=50,3,IF((E586+F586)/2&gt;=40,2,IF((E586+F586)/2&gt;=33,1,0)))))))</f>
        <v/>
      </c>
      <c r="AE586">
        <f>IF(G586&lt;33,0,IF(G586&gt;=80,5,IF(G586&gt;=70,4,IF(G586&gt;=60,3.5,IF(G586&gt;=50,3,IF(G586&gt;=40,2,IF(G586&gt;=33,1,0)))))))</f>
        <v/>
      </c>
      <c r="AF586">
        <f>IF(H586+I586&lt;66,0,IF((H586+I586)/2&gt;=80,5,IF((H586+I586)/2&gt;=70,4,IF((H586+I586)/2&gt;=60,3.5,IF((H586+I586)/2&gt;=50,3,IF((H586+I586)/2&gt;=40,2,IF((H586+I586)/2&gt;=33,1,0)))))))</f>
        <v/>
      </c>
      <c r="AG586">
        <f>IF(Y586,0,IF((J586+K586+L586+M586)/2&gt;=80,5,IF((J586+K586+L586+M586)/2&gt;=70,4,IF((J586+K586+L586+M586)/2&gt;=60,3.5,IF((J586+K586+L586+M586)/2&gt;=50,3,IF((J586+K586+L586+M586)/2&gt;=40,2,IF((J586+K586+L586+M586)/2&gt;=33,1,0)))))))</f>
        <v/>
      </c>
      <c r="AH586">
        <f>IF(Z586,0,IF(N586+O586&gt;=80,5,IF(N586+O586&gt;=70,4,IF(N586+O586&gt;=60,3.5,IF(N586+O586&gt;=50,3,IF(N586+O586&gt;=40,2,IF(N586+O586&gt;=33,1,0)))))))</f>
        <v/>
      </c>
      <c r="AI586">
        <f>IF(AA586,0,IF(P586+Q586&gt;=80,5,IF(P586+Q586&gt;=70,4,IF(P586+Q586&gt;=60,3.5,IF(P586+Q586&gt;=50,3,IF(P586+Q586&gt;=40,2,IF(P586+Q586&gt;=33,1,0)))))))</f>
        <v/>
      </c>
      <c r="AJ586">
        <f>IF(R586&lt;8.25,0,IF(R586*2&gt;=80,5,IF(R586*2&gt;=70,4,IF(R586*2&gt;=60,3.5,IF(R586*2&gt;=50,3,IF(R586*2&gt;=40,2,IF(R586*2&gt;=33,1,0)))))))</f>
        <v/>
      </c>
      <c r="AK586">
        <f>IF(S586&lt;33,0,IF(S586&gt;=80,5,IF(S586&gt;=70,4,IF(S586&gt;=60,3.5,IF(S586&gt;=50,3,IF(S586&gt;=40,2,IF(S586&gt;=33,1,0)))))))</f>
        <v/>
      </c>
      <c r="AL586">
        <f>(AC586+AD586+AE586+AF586+AG586+AH586+AI586+AJ586)/8</f>
        <v/>
      </c>
      <c r="AM586">
        <f>IF(AK586&gt;=2,(AK586-2)/8,0)</f>
        <v/>
      </c>
    </row>
    <row r="587">
      <c r="T587">
        <f>SUM(C587:R587)</f>
        <v/>
      </c>
      <c r="U587" s="6">
        <f>ROUND(T587/11.5,2)</f>
        <v/>
      </c>
      <c r="V587" s="7">
        <f>IF(B587="","",IF(AB587,0,ROUND(AL587,2)))</f>
        <v/>
      </c>
      <c r="W587" s="7">
        <f>IF(B587="","",IF(AB587,0,MIN(5,ROUND(AL587+AM587,2))))</f>
        <v/>
      </c>
      <c r="X587" s="8">
        <f>IF(B587="","",IF(W587&gt;=5,"A+",IF(W587&gt;=4,"A",IF(W587&gt;=3.5,"A-",IF(W587&gt;=3,"B",IF(W587&gt;=2,"C",IF(W587&gt;=1,"D","F")))))))</f>
        <v/>
      </c>
      <c r="Y587">
        <f>NOT(OR(AND(J587&gt;=10,K587&gt;=23,L587&gt;=10,M587&gt;=23),AND(J587+L587&gt;=20,K587+M587&gt;=46)))</f>
        <v/>
      </c>
      <c r="Z587">
        <f>OR(N587&lt;10,O587&lt;23)</f>
        <v/>
      </c>
      <c r="AA587">
        <f>OR(P587&lt;10,Q587&lt;23)</f>
        <v/>
      </c>
      <c r="AB587">
        <f>OR((C587+D587)&lt;66,(E587+F587)&lt;66,G587&lt;33,(H587+I587)&lt;66,Y587,Z587,AA587,R587&lt;8.25)</f>
        <v/>
      </c>
      <c r="AC587">
        <f>IF(C587+D587&lt;66,0,IF((C587+D587)/2&gt;=80,5,IF((C587+D587)/2&gt;=70,4,IF((C587+D587)/2&gt;=60,3.5,IF((C587+D587)/2&gt;=50,3,IF((C587+D587)/2&gt;=40,2,IF((C587+D587)/2&gt;=33,1,0)))))))</f>
        <v/>
      </c>
      <c r="AD587">
        <f>IF(E587+F587&lt;66,0,IF((E587+F587)/2&gt;=80,5,IF((E587+F587)/2&gt;=70,4,IF((E587+F587)/2&gt;=60,3.5,IF((E587+F587)/2&gt;=50,3,IF((E587+F587)/2&gt;=40,2,IF((E587+F587)/2&gt;=33,1,0)))))))</f>
        <v/>
      </c>
      <c r="AE587">
        <f>IF(G587&lt;33,0,IF(G587&gt;=80,5,IF(G587&gt;=70,4,IF(G587&gt;=60,3.5,IF(G587&gt;=50,3,IF(G587&gt;=40,2,IF(G587&gt;=33,1,0)))))))</f>
        <v/>
      </c>
      <c r="AF587">
        <f>IF(H587+I587&lt;66,0,IF((H587+I587)/2&gt;=80,5,IF((H587+I587)/2&gt;=70,4,IF((H587+I587)/2&gt;=60,3.5,IF((H587+I587)/2&gt;=50,3,IF((H587+I587)/2&gt;=40,2,IF((H587+I587)/2&gt;=33,1,0)))))))</f>
        <v/>
      </c>
      <c r="AG587">
        <f>IF(Y587,0,IF((J587+K587+L587+M587)/2&gt;=80,5,IF((J587+K587+L587+M587)/2&gt;=70,4,IF((J587+K587+L587+M587)/2&gt;=60,3.5,IF((J587+K587+L587+M587)/2&gt;=50,3,IF((J587+K587+L587+M587)/2&gt;=40,2,IF((J587+K587+L587+M587)/2&gt;=33,1,0)))))))</f>
        <v/>
      </c>
      <c r="AH587">
        <f>IF(Z587,0,IF(N587+O587&gt;=80,5,IF(N587+O587&gt;=70,4,IF(N587+O587&gt;=60,3.5,IF(N587+O587&gt;=50,3,IF(N587+O587&gt;=40,2,IF(N587+O587&gt;=33,1,0)))))))</f>
        <v/>
      </c>
      <c r="AI587">
        <f>IF(AA587,0,IF(P587+Q587&gt;=80,5,IF(P587+Q587&gt;=70,4,IF(P587+Q587&gt;=60,3.5,IF(P587+Q587&gt;=50,3,IF(P587+Q587&gt;=40,2,IF(P587+Q587&gt;=33,1,0)))))))</f>
        <v/>
      </c>
      <c r="AJ587">
        <f>IF(R587&lt;8.25,0,IF(R587*2&gt;=80,5,IF(R587*2&gt;=70,4,IF(R587*2&gt;=60,3.5,IF(R587*2&gt;=50,3,IF(R587*2&gt;=40,2,IF(R587*2&gt;=33,1,0)))))))</f>
        <v/>
      </c>
      <c r="AK587">
        <f>IF(S587&lt;33,0,IF(S587&gt;=80,5,IF(S587&gt;=70,4,IF(S587&gt;=60,3.5,IF(S587&gt;=50,3,IF(S587&gt;=40,2,IF(S587&gt;=33,1,0)))))))</f>
        <v/>
      </c>
      <c r="AL587">
        <f>(AC587+AD587+AE587+AF587+AG587+AH587+AI587+AJ587)/8</f>
        <v/>
      </c>
      <c r="AM587">
        <f>IF(AK587&gt;=2,(AK587-2)/8,0)</f>
        <v/>
      </c>
    </row>
    <row r="588">
      <c r="T588">
        <f>SUM(C588:R588)</f>
        <v/>
      </c>
      <c r="U588" s="6">
        <f>ROUND(T588/11.5,2)</f>
        <v/>
      </c>
      <c r="V588" s="7">
        <f>IF(B588="","",IF(AB588,0,ROUND(AL588,2)))</f>
        <v/>
      </c>
      <c r="W588" s="7">
        <f>IF(B588="","",IF(AB588,0,MIN(5,ROUND(AL588+AM588,2))))</f>
        <v/>
      </c>
      <c r="X588" s="8">
        <f>IF(B588="","",IF(W588&gt;=5,"A+",IF(W588&gt;=4,"A",IF(W588&gt;=3.5,"A-",IF(W588&gt;=3,"B",IF(W588&gt;=2,"C",IF(W588&gt;=1,"D","F")))))))</f>
        <v/>
      </c>
      <c r="Y588">
        <f>NOT(OR(AND(J588&gt;=10,K588&gt;=23,L588&gt;=10,M588&gt;=23),AND(J588+L588&gt;=20,K588+M588&gt;=46)))</f>
        <v/>
      </c>
      <c r="Z588">
        <f>OR(N588&lt;10,O588&lt;23)</f>
        <v/>
      </c>
      <c r="AA588">
        <f>OR(P588&lt;10,Q588&lt;23)</f>
        <v/>
      </c>
      <c r="AB588">
        <f>OR((C588+D588)&lt;66,(E588+F588)&lt;66,G588&lt;33,(H588+I588)&lt;66,Y588,Z588,AA588,R588&lt;8.25)</f>
        <v/>
      </c>
      <c r="AC588">
        <f>IF(C588+D588&lt;66,0,IF((C588+D588)/2&gt;=80,5,IF((C588+D588)/2&gt;=70,4,IF((C588+D588)/2&gt;=60,3.5,IF((C588+D588)/2&gt;=50,3,IF((C588+D588)/2&gt;=40,2,IF((C588+D588)/2&gt;=33,1,0)))))))</f>
        <v/>
      </c>
      <c r="AD588">
        <f>IF(E588+F588&lt;66,0,IF((E588+F588)/2&gt;=80,5,IF((E588+F588)/2&gt;=70,4,IF((E588+F588)/2&gt;=60,3.5,IF((E588+F588)/2&gt;=50,3,IF((E588+F588)/2&gt;=40,2,IF((E588+F588)/2&gt;=33,1,0)))))))</f>
        <v/>
      </c>
      <c r="AE588">
        <f>IF(G588&lt;33,0,IF(G588&gt;=80,5,IF(G588&gt;=70,4,IF(G588&gt;=60,3.5,IF(G588&gt;=50,3,IF(G588&gt;=40,2,IF(G588&gt;=33,1,0)))))))</f>
        <v/>
      </c>
      <c r="AF588">
        <f>IF(H588+I588&lt;66,0,IF((H588+I588)/2&gt;=80,5,IF((H588+I588)/2&gt;=70,4,IF((H588+I588)/2&gt;=60,3.5,IF((H588+I588)/2&gt;=50,3,IF((H588+I588)/2&gt;=40,2,IF((H588+I588)/2&gt;=33,1,0)))))))</f>
        <v/>
      </c>
      <c r="AG588">
        <f>IF(Y588,0,IF((J588+K588+L588+M588)/2&gt;=80,5,IF((J588+K588+L588+M588)/2&gt;=70,4,IF((J588+K588+L588+M588)/2&gt;=60,3.5,IF((J588+K588+L588+M588)/2&gt;=50,3,IF((J588+K588+L588+M588)/2&gt;=40,2,IF((J588+K588+L588+M588)/2&gt;=33,1,0)))))))</f>
        <v/>
      </c>
      <c r="AH588">
        <f>IF(Z588,0,IF(N588+O588&gt;=80,5,IF(N588+O588&gt;=70,4,IF(N588+O588&gt;=60,3.5,IF(N588+O588&gt;=50,3,IF(N588+O588&gt;=40,2,IF(N588+O588&gt;=33,1,0)))))))</f>
        <v/>
      </c>
      <c r="AI588">
        <f>IF(AA588,0,IF(P588+Q588&gt;=80,5,IF(P588+Q588&gt;=70,4,IF(P588+Q588&gt;=60,3.5,IF(P588+Q588&gt;=50,3,IF(P588+Q588&gt;=40,2,IF(P588+Q588&gt;=33,1,0)))))))</f>
        <v/>
      </c>
      <c r="AJ588">
        <f>IF(R588&lt;8.25,0,IF(R588*2&gt;=80,5,IF(R588*2&gt;=70,4,IF(R588*2&gt;=60,3.5,IF(R588*2&gt;=50,3,IF(R588*2&gt;=40,2,IF(R588*2&gt;=33,1,0)))))))</f>
        <v/>
      </c>
      <c r="AK588">
        <f>IF(S588&lt;33,0,IF(S588&gt;=80,5,IF(S588&gt;=70,4,IF(S588&gt;=60,3.5,IF(S588&gt;=50,3,IF(S588&gt;=40,2,IF(S588&gt;=33,1,0)))))))</f>
        <v/>
      </c>
      <c r="AL588">
        <f>(AC588+AD588+AE588+AF588+AG588+AH588+AI588+AJ588)/8</f>
        <v/>
      </c>
      <c r="AM588">
        <f>IF(AK588&gt;=2,(AK588-2)/8,0)</f>
        <v/>
      </c>
    </row>
    <row r="589">
      <c r="T589">
        <f>SUM(C589:R589)</f>
        <v/>
      </c>
      <c r="U589" s="6">
        <f>ROUND(T589/11.5,2)</f>
        <v/>
      </c>
      <c r="V589" s="7">
        <f>IF(B589="","",IF(AB589,0,ROUND(AL589,2)))</f>
        <v/>
      </c>
      <c r="W589" s="7">
        <f>IF(B589="","",IF(AB589,0,MIN(5,ROUND(AL589+AM589,2))))</f>
        <v/>
      </c>
      <c r="X589" s="8">
        <f>IF(B589="","",IF(W589&gt;=5,"A+",IF(W589&gt;=4,"A",IF(W589&gt;=3.5,"A-",IF(W589&gt;=3,"B",IF(W589&gt;=2,"C",IF(W589&gt;=1,"D","F")))))))</f>
        <v/>
      </c>
      <c r="Y589">
        <f>NOT(OR(AND(J589&gt;=10,K589&gt;=23,L589&gt;=10,M589&gt;=23),AND(J589+L589&gt;=20,K589+M589&gt;=46)))</f>
        <v/>
      </c>
      <c r="Z589">
        <f>OR(N589&lt;10,O589&lt;23)</f>
        <v/>
      </c>
      <c r="AA589">
        <f>OR(P589&lt;10,Q589&lt;23)</f>
        <v/>
      </c>
      <c r="AB589">
        <f>OR((C589+D589)&lt;66,(E589+F589)&lt;66,G589&lt;33,(H589+I589)&lt;66,Y589,Z589,AA589,R589&lt;8.25)</f>
        <v/>
      </c>
      <c r="AC589">
        <f>IF(C589+D589&lt;66,0,IF((C589+D589)/2&gt;=80,5,IF((C589+D589)/2&gt;=70,4,IF((C589+D589)/2&gt;=60,3.5,IF((C589+D589)/2&gt;=50,3,IF((C589+D589)/2&gt;=40,2,IF((C589+D589)/2&gt;=33,1,0)))))))</f>
        <v/>
      </c>
      <c r="AD589">
        <f>IF(E589+F589&lt;66,0,IF((E589+F589)/2&gt;=80,5,IF((E589+F589)/2&gt;=70,4,IF((E589+F589)/2&gt;=60,3.5,IF((E589+F589)/2&gt;=50,3,IF((E589+F589)/2&gt;=40,2,IF((E589+F589)/2&gt;=33,1,0)))))))</f>
        <v/>
      </c>
      <c r="AE589">
        <f>IF(G589&lt;33,0,IF(G589&gt;=80,5,IF(G589&gt;=70,4,IF(G589&gt;=60,3.5,IF(G589&gt;=50,3,IF(G589&gt;=40,2,IF(G589&gt;=33,1,0)))))))</f>
        <v/>
      </c>
      <c r="AF589">
        <f>IF(H589+I589&lt;66,0,IF((H589+I589)/2&gt;=80,5,IF((H589+I589)/2&gt;=70,4,IF((H589+I589)/2&gt;=60,3.5,IF((H589+I589)/2&gt;=50,3,IF((H589+I589)/2&gt;=40,2,IF((H589+I589)/2&gt;=33,1,0)))))))</f>
        <v/>
      </c>
      <c r="AG589">
        <f>IF(Y589,0,IF((J589+K589+L589+M589)/2&gt;=80,5,IF((J589+K589+L589+M589)/2&gt;=70,4,IF((J589+K589+L589+M589)/2&gt;=60,3.5,IF((J589+K589+L589+M589)/2&gt;=50,3,IF((J589+K589+L589+M589)/2&gt;=40,2,IF((J589+K589+L589+M589)/2&gt;=33,1,0)))))))</f>
        <v/>
      </c>
      <c r="AH589">
        <f>IF(Z589,0,IF(N589+O589&gt;=80,5,IF(N589+O589&gt;=70,4,IF(N589+O589&gt;=60,3.5,IF(N589+O589&gt;=50,3,IF(N589+O589&gt;=40,2,IF(N589+O589&gt;=33,1,0)))))))</f>
        <v/>
      </c>
      <c r="AI589">
        <f>IF(AA589,0,IF(P589+Q589&gt;=80,5,IF(P589+Q589&gt;=70,4,IF(P589+Q589&gt;=60,3.5,IF(P589+Q589&gt;=50,3,IF(P589+Q589&gt;=40,2,IF(P589+Q589&gt;=33,1,0)))))))</f>
        <v/>
      </c>
      <c r="AJ589">
        <f>IF(R589&lt;8.25,0,IF(R589*2&gt;=80,5,IF(R589*2&gt;=70,4,IF(R589*2&gt;=60,3.5,IF(R589*2&gt;=50,3,IF(R589*2&gt;=40,2,IF(R589*2&gt;=33,1,0)))))))</f>
        <v/>
      </c>
      <c r="AK589">
        <f>IF(S589&lt;33,0,IF(S589&gt;=80,5,IF(S589&gt;=70,4,IF(S589&gt;=60,3.5,IF(S589&gt;=50,3,IF(S589&gt;=40,2,IF(S589&gt;=33,1,0)))))))</f>
        <v/>
      </c>
      <c r="AL589">
        <f>(AC589+AD589+AE589+AF589+AG589+AH589+AI589+AJ589)/8</f>
        <v/>
      </c>
      <c r="AM589">
        <f>IF(AK589&gt;=2,(AK589-2)/8,0)</f>
        <v/>
      </c>
    </row>
    <row r="590">
      <c r="T590">
        <f>SUM(C590:R590)</f>
        <v/>
      </c>
      <c r="U590" s="6">
        <f>ROUND(T590/11.5,2)</f>
        <v/>
      </c>
      <c r="V590" s="7">
        <f>IF(B590="","",IF(AB590,0,ROUND(AL590,2)))</f>
        <v/>
      </c>
      <c r="W590" s="7">
        <f>IF(B590="","",IF(AB590,0,MIN(5,ROUND(AL590+AM590,2))))</f>
        <v/>
      </c>
      <c r="X590" s="8">
        <f>IF(B590="","",IF(W590&gt;=5,"A+",IF(W590&gt;=4,"A",IF(W590&gt;=3.5,"A-",IF(W590&gt;=3,"B",IF(W590&gt;=2,"C",IF(W590&gt;=1,"D","F")))))))</f>
        <v/>
      </c>
      <c r="Y590">
        <f>NOT(OR(AND(J590&gt;=10,K590&gt;=23,L590&gt;=10,M590&gt;=23),AND(J590+L590&gt;=20,K590+M590&gt;=46)))</f>
        <v/>
      </c>
      <c r="Z590">
        <f>OR(N590&lt;10,O590&lt;23)</f>
        <v/>
      </c>
      <c r="AA590">
        <f>OR(P590&lt;10,Q590&lt;23)</f>
        <v/>
      </c>
      <c r="AB590">
        <f>OR((C590+D590)&lt;66,(E590+F590)&lt;66,G590&lt;33,(H590+I590)&lt;66,Y590,Z590,AA590,R590&lt;8.25)</f>
        <v/>
      </c>
      <c r="AC590">
        <f>IF(C590+D590&lt;66,0,IF((C590+D590)/2&gt;=80,5,IF((C590+D590)/2&gt;=70,4,IF((C590+D590)/2&gt;=60,3.5,IF((C590+D590)/2&gt;=50,3,IF((C590+D590)/2&gt;=40,2,IF((C590+D590)/2&gt;=33,1,0)))))))</f>
        <v/>
      </c>
      <c r="AD590">
        <f>IF(E590+F590&lt;66,0,IF((E590+F590)/2&gt;=80,5,IF((E590+F590)/2&gt;=70,4,IF((E590+F590)/2&gt;=60,3.5,IF((E590+F590)/2&gt;=50,3,IF((E590+F590)/2&gt;=40,2,IF((E590+F590)/2&gt;=33,1,0)))))))</f>
        <v/>
      </c>
      <c r="AE590">
        <f>IF(G590&lt;33,0,IF(G590&gt;=80,5,IF(G590&gt;=70,4,IF(G590&gt;=60,3.5,IF(G590&gt;=50,3,IF(G590&gt;=40,2,IF(G590&gt;=33,1,0)))))))</f>
        <v/>
      </c>
      <c r="AF590">
        <f>IF(H590+I590&lt;66,0,IF((H590+I590)/2&gt;=80,5,IF((H590+I590)/2&gt;=70,4,IF((H590+I590)/2&gt;=60,3.5,IF((H590+I590)/2&gt;=50,3,IF((H590+I590)/2&gt;=40,2,IF((H590+I590)/2&gt;=33,1,0)))))))</f>
        <v/>
      </c>
      <c r="AG590">
        <f>IF(Y590,0,IF((J590+K590+L590+M590)/2&gt;=80,5,IF((J590+K590+L590+M590)/2&gt;=70,4,IF((J590+K590+L590+M590)/2&gt;=60,3.5,IF((J590+K590+L590+M590)/2&gt;=50,3,IF((J590+K590+L590+M590)/2&gt;=40,2,IF((J590+K590+L590+M590)/2&gt;=33,1,0)))))))</f>
        <v/>
      </c>
      <c r="AH590">
        <f>IF(Z590,0,IF(N590+O590&gt;=80,5,IF(N590+O590&gt;=70,4,IF(N590+O590&gt;=60,3.5,IF(N590+O590&gt;=50,3,IF(N590+O590&gt;=40,2,IF(N590+O590&gt;=33,1,0)))))))</f>
        <v/>
      </c>
      <c r="AI590">
        <f>IF(AA590,0,IF(P590+Q590&gt;=80,5,IF(P590+Q590&gt;=70,4,IF(P590+Q590&gt;=60,3.5,IF(P590+Q590&gt;=50,3,IF(P590+Q590&gt;=40,2,IF(P590+Q590&gt;=33,1,0)))))))</f>
        <v/>
      </c>
      <c r="AJ590">
        <f>IF(R590&lt;8.25,0,IF(R590*2&gt;=80,5,IF(R590*2&gt;=70,4,IF(R590*2&gt;=60,3.5,IF(R590*2&gt;=50,3,IF(R590*2&gt;=40,2,IF(R590*2&gt;=33,1,0)))))))</f>
        <v/>
      </c>
      <c r="AK590">
        <f>IF(S590&lt;33,0,IF(S590&gt;=80,5,IF(S590&gt;=70,4,IF(S590&gt;=60,3.5,IF(S590&gt;=50,3,IF(S590&gt;=40,2,IF(S590&gt;=33,1,0)))))))</f>
        <v/>
      </c>
      <c r="AL590">
        <f>(AC590+AD590+AE590+AF590+AG590+AH590+AI590+AJ590)/8</f>
        <v/>
      </c>
      <c r="AM590">
        <f>IF(AK590&gt;=2,(AK590-2)/8,0)</f>
        <v/>
      </c>
    </row>
    <row r="591">
      <c r="T591">
        <f>SUM(C591:R591)</f>
        <v/>
      </c>
      <c r="U591" s="6">
        <f>ROUND(T591/11.5,2)</f>
        <v/>
      </c>
      <c r="V591" s="7">
        <f>IF(B591="","",IF(AB591,0,ROUND(AL591,2)))</f>
        <v/>
      </c>
      <c r="W591" s="7">
        <f>IF(B591="","",IF(AB591,0,MIN(5,ROUND(AL591+AM591,2))))</f>
        <v/>
      </c>
      <c r="X591" s="8">
        <f>IF(B591="","",IF(W591&gt;=5,"A+",IF(W591&gt;=4,"A",IF(W591&gt;=3.5,"A-",IF(W591&gt;=3,"B",IF(W591&gt;=2,"C",IF(W591&gt;=1,"D","F")))))))</f>
        <v/>
      </c>
      <c r="Y591">
        <f>NOT(OR(AND(J591&gt;=10,K591&gt;=23,L591&gt;=10,M591&gt;=23),AND(J591+L591&gt;=20,K591+M591&gt;=46)))</f>
        <v/>
      </c>
      <c r="Z591">
        <f>OR(N591&lt;10,O591&lt;23)</f>
        <v/>
      </c>
      <c r="AA591">
        <f>OR(P591&lt;10,Q591&lt;23)</f>
        <v/>
      </c>
      <c r="AB591">
        <f>OR((C591+D591)&lt;66,(E591+F591)&lt;66,G591&lt;33,(H591+I591)&lt;66,Y591,Z591,AA591,R591&lt;8.25)</f>
        <v/>
      </c>
      <c r="AC591">
        <f>IF(C591+D591&lt;66,0,IF((C591+D591)/2&gt;=80,5,IF((C591+D591)/2&gt;=70,4,IF((C591+D591)/2&gt;=60,3.5,IF((C591+D591)/2&gt;=50,3,IF((C591+D591)/2&gt;=40,2,IF((C591+D591)/2&gt;=33,1,0)))))))</f>
        <v/>
      </c>
      <c r="AD591">
        <f>IF(E591+F591&lt;66,0,IF((E591+F591)/2&gt;=80,5,IF((E591+F591)/2&gt;=70,4,IF((E591+F591)/2&gt;=60,3.5,IF((E591+F591)/2&gt;=50,3,IF((E591+F591)/2&gt;=40,2,IF((E591+F591)/2&gt;=33,1,0)))))))</f>
        <v/>
      </c>
      <c r="AE591">
        <f>IF(G591&lt;33,0,IF(G591&gt;=80,5,IF(G591&gt;=70,4,IF(G591&gt;=60,3.5,IF(G591&gt;=50,3,IF(G591&gt;=40,2,IF(G591&gt;=33,1,0)))))))</f>
        <v/>
      </c>
      <c r="AF591">
        <f>IF(H591+I591&lt;66,0,IF((H591+I591)/2&gt;=80,5,IF((H591+I591)/2&gt;=70,4,IF((H591+I591)/2&gt;=60,3.5,IF((H591+I591)/2&gt;=50,3,IF((H591+I591)/2&gt;=40,2,IF((H591+I591)/2&gt;=33,1,0)))))))</f>
        <v/>
      </c>
      <c r="AG591">
        <f>IF(Y591,0,IF((J591+K591+L591+M591)/2&gt;=80,5,IF((J591+K591+L591+M591)/2&gt;=70,4,IF((J591+K591+L591+M591)/2&gt;=60,3.5,IF((J591+K591+L591+M591)/2&gt;=50,3,IF((J591+K591+L591+M591)/2&gt;=40,2,IF((J591+K591+L591+M591)/2&gt;=33,1,0)))))))</f>
        <v/>
      </c>
      <c r="AH591">
        <f>IF(Z591,0,IF(N591+O591&gt;=80,5,IF(N591+O591&gt;=70,4,IF(N591+O591&gt;=60,3.5,IF(N591+O591&gt;=50,3,IF(N591+O591&gt;=40,2,IF(N591+O591&gt;=33,1,0)))))))</f>
        <v/>
      </c>
      <c r="AI591">
        <f>IF(AA591,0,IF(P591+Q591&gt;=80,5,IF(P591+Q591&gt;=70,4,IF(P591+Q591&gt;=60,3.5,IF(P591+Q591&gt;=50,3,IF(P591+Q591&gt;=40,2,IF(P591+Q591&gt;=33,1,0)))))))</f>
        <v/>
      </c>
      <c r="AJ591">
        <f>IF(R591&lt;8.25,0,IF(R591*2&gt;=80,5,IF(R591*2&gt;=70,4,IF(R591*2&gt;=60,3.5,IF(R591*2&gt;=50,3,IF(R591*2&gt;=40,2,IF(R591*2&gt;=33,1,0)))))))</f>
        <v/>
      </c>
      <c r="AK591">
        <f>IF(S591&lt;33,0,IF(S591&gt;=80,5,IF(S591&gt;=70,4,IF(S591&gt;=60,3.5,IF(S591&gt;=50,3,IF(S591&gt;=40,2,IF(S591&gt;=33,1,0)))))))</f>
        <v/>
      </c>
      <c r="AL591">
        <f>(AC591+AD591+AE591+AF591+AG591+AH591+AI591+AJ591)/8</f>
        <v/>
      </c>
      <c r="AM591">
        <f>IF(AK591&gt;=2,(AK591-2)/8,0)</f>
        <v/>
      </c>
    </row>
    <row r="592">
      <c r="T592">
        <f>SUM(C592:R592)</f>
        <v/>
      </c>
      <c r="U592" s="6">
        <f>ROUND(T592/11.5,2)</f>
        <v/>
      </c>
      <c r="V592" s="7">
        <f>IF(B592="","",IF(AB592,0,ROUND(AL592,2)))</f>
        <v/>
      </c>
      <c r="W592" s="7">
        <f>IF(B592="","",IF(AB592,0,MIN(5,ROUND(AL592+AM592,2))))</f>
        <v/>
      </c>
      <c r="X592" s="8">
        <f>IF(B592="","",IF(W592&gt;=5,"A+",IF(W592&gt;=4,"A",IF(W592&gt;=3.5,"A-",IF(W592&gt;=3,"B",IF(W592&gt;=2,"C",IF(W592&gt;=1,"D","F")))))))</f>
        <v/>
      </c>
      <c r="Y592">
        <f>NOT(OR(AND(J592&gt;=10,K592&gt;=23,L592&gt;=10,M592&gt;=23),AND(J592+L592&gt;=20,K592+M592&gt;=46)))</f>
        <v/>
      </c>
      <c r="Z592">
        <f>OR(N592&lt;10,O592&lt;23)</f>
        <v/>
      </c>
      <c r="AA592">
        <f>OR(P592&lt;10,Q592&lt;23)</f>
        <v/>
      </c>
      <c r="AB592">
        <f>OR((C592+D592)&lt;66,(E592+F592)&lt;66,G592&lt;33,(H592+I592)&lt;66,Y592,Z592,AA592,R592&lt;8.25)</f>
        <v/>
      </c>
      <c r="AC592">
        <f>IF(C592+D592&lt;66,0,IF((C592+D592)/2&gt;=80,5,IF((C592+D592)/2&gt;=70,4,IF((C592+D592)/2&gt;=60,3.5,IF((C592+D592)/2&gt;=50,3,IF((C592+D592)/2&gt;=40,2,IF((C592+D592)/2&gt;=33,1,0)))))))</f>
        <v/>
      </c>
      <c r="AD592">
        <f>IF(E592+F592&lt;66,0,IF((E592+F592)/2&gt;=80,5,IF((E592+F592)/2&gt;=70,4,IF((E592+F592)/2&gt;=60,3.5,IF((E592+F592)/2&gt;=50,3,IF((E592+F592)/2&gt;=40,2,IF((E592+F592)/2&gt;=33,1,0)))))))</f>
        <v/>
      </c>
      <c r="AE592">
        <f>IF(G592&lt;33,0,IF(G592&gt;=80,5,IF(G592&gt;=70,4,IF(G592&gt;=60,3.5,IF(G592&gt;=50,3,IF(G592&gt;=40,2,IF(G592&gt;=33,1,0)))))))</f>
        <v/>
      </c>
      <c r="AF592">
        <f>IF(H592+I592&lt;66,0,IF((H592+I592)/2&gt;=80,5,IF((H592+I592)/2&gt;=70,4,IF((H592+I592)/2&gt;=60,3.5,IF((H592+I592)/2&gt;=50,3,IF((H592+I592)/2&gt;=40,2,IF((H592+I592)/2&gt;=33,1,0)))))))</f>
        <v/>
      </c>
      <c r="AG592">
        <f>IF(Y592,0,IF((J592+K592+L592+M592)/2&gt;=80,5,IF((J592+K592+L592+M592)/2&gt;=70,4,IF((J592+K592+L592+M592)/2&gt;=60,3.5,IF((J592+K592+L592+M592)/2&gt;=50,3,IF((J592+K592+L592+M592)/2&gt;=40,2,IF((J592+K592+L592+M592)/2&gt;=33,1,0)))))))</f>
        <v/>
      </c>
      <c r="AH592">
        <f>IF(Z592,0,IF(N592+O592&gt;=80,5,IF(N592+O592&gt;=70,4,IF(N592+O592&gt;=60,3.5,IF(N592+O592&gt;=50,3,IF(N592+O592&gt;=40,2,IF(N592+O592&gt;=33,1,0)))))))</f>
        <v/>
      </c>
      <c r="AI592">
        <f>IF(AA592,0,IF(P592+Q592&gt;=80,5,IF(P592+Q592&gt;=70,4,IF(P592+Q592&gt;=60,3.5,IF(P592+Q592&gt;=50,3,IF(P592+Q592&gt;=40,2,IF(P592+Q592&gt;=33,1,0)))))))</f>
        <v/>
      </c>
      <c r="AJ592">
        <f>IF(R592&lt;8.25,0,IF(R592*2&gt;=80,5,IF(R592*2&gt;=70,4,IF(R592*2&gt;=60,3.5,IF(R592*2&gt;=50,3,IF(R592*2&gt;=40,2,IF(R592*2&gt;=33,1,0)))))))</f>
        <v/>
      </c>
      <c r="AK592">
        <f>IF(S592&lt;33,0,IF(S592&gt;=80,5,IF(S592&gt;=70,4,IF(S592&gt;=60,3.5,IF(S592&gt;=50,3,IF(S592&gt;=40,2,IF(S592&gt;=33,1,0)))))))</f>
        <v/>
      </c>
      <c r="AL592">
        <f>(AC592+AD592+AE592+AF592+AG592+AH592+AI592+AJ592)/8</f>
        <v/>
      </c>
      <c r="AM592">
        <f>IF(AK592&gt;=2,(AK592-2)/8,0)</f>
        <v/>
      </c>
    </row>
    <row r="593">
      <c r="T593">
        <f>SUM(C593:R593)</f>
        <v/>
      </c>
      <c r="U593" s="6">
        <f>ROUND(T593/11.5,2)</f>
        <v/>
      </c>
      <c r="V593" s="7">
        <f>IF(B593="","",IF(AB593,0,ROUND(AL593,2)))</f>
        <v/>
      </c>
      <c r="W593" s="7">
        <f>IF(B593="","",IF(AB593,0,MIN(5,ROUND(AL593+AM593,2))))</f>
        <v/>
      </c>
      <c r="X593" s="8">
        <f>IF(B593="","",IF(W593&gt;=5,"A+",IF(W593&gt;=4,"A",IF(W593&gt;=3.5,"A-",IF(W593&gt;=3,"B",IF(W593&gt;=2,"C",IF(W593&gt;=1,"D","F")))))))</f>
        <v/>
      </c>
      <c r="Y593">
        <f>NOT(OR(AND(J593&gt;=10,K593&gt;=23,L593&gt;=10,M593&gt;=23),AND(J593+L593&gt;=20,K593+M593&gt;=46)))</f>
        <v/>
      </c>
      <c r="Z593">
        <f>OR(N593&lt;10,O593&lt;23)</f>
        <v/>
      </c>
      <c r="AA593">
        <f>OR(P593&lt;10,Q593&lt;23)</f>
        <v/>
      </c>
      <c r="AB593">
        <f>OR((C593+D593)&lt;66,(E593+F593)&lt;66,G593&lt;33,(H593+I593)&lt;66,Y593,Z593,AA593,R593&lt;8.25)</f>
        <v/>
      </c>
      <c r="AC593">
        <f>IF(C593+D593&lt;66,0,IF((C593+D593)/2&gt;=80,5,IF((C593+D593)/2&gt;=70,4,IF((C593+D593)/2&gt;=60,3.5,IF((C593+D593)/2&gt;=50,3,IF((C593+D593)/2&gt;=40,2,IF((C593+D593)/2&gt;=33,1,0)))))))</f>
        <v/>
      </c>
      <c r="AD593">
        <f>IF(E593+F593&lt;66,0,IF((E593+F593)/2&gt;=80,5,IF((E593+F593)/2&gt;=70,4,IF((E593+F593)/2&gt;=60,3.5,IF((E593+F593)/2&gt;=50,3,IF((E593+F593)/2&gt;=40,2,IF((E593+F593)/2&gt;=33,1,0)))))))</f>
        <v/>
      </c>
      <c r="AE593">
        <f>IF(G593&lt;33,0,IF(G593&gt;=80,5,IF(G593&gt;=70,4,IF(G593&gt;=60,3.5,IF(G593&gt;=50,3,IF(G593&gt;=40,2,IF(G593&gt;=33,1,0)))))))</f>
        <v/>
      </c>
      <c r="AF593">
        <f>IF(H593+I593&lt;66,0,IF((H593+I593)/2&gt;=80,5,IF((H593+I593)/2&gt;=70,4,IF((H593+I593)/2&gt;=60,3.5,IF((H593+I593)/2&gt;=50,3,IF((H593+I593)/2&gt;=40,2,IF((H593+I593)/2&gt;=33,1,0)))))))</f>
        <v/>
      </c>
      <c r="AG593">
        <f>IF(Y593,0,IF((J593+K593+L593+M593)/2&gt;=80,5,IF((J593+K593+L593+M593)/2&gt;=70,4,IF((J593+K593+L593+M593)/2&gt;=60,3.5,IF((J593+K593+L593+M593)/2&gt;=50,3,IF((J593+K593+L593+M593)/2&gt;=40,2,IF((J593+K593+L593+M593)/2&gt;=33,1,0)))))))</f>
        <v/>
      </c>
      <c r="AH593">
        <f>IF(Z593,0,IF(N593+O593&gt;=80,5,IF(N593+O593&gt;=70,4,IF(N593+O593&gt;=60,3.5,IF(N593+O593&gt;=50,3,IF(N593+O593&gt;=40,2,IF(N593+O593&gt;=33,1,0)))))))</f>
        <v/>
      </c>
      <c r="AI593">
        <f>IF(AA593,0,IF(P593+Q593&gt;=80,5,IF(P593+Q593&gt;=70,4,IF(P593+Q593&gt;=60,3.5,IF(P593+Q593&gt;=50,3,IF(P593+Q593&gt;=40,2,IF(P593+Q593&gt;=33,1,0)))))))</f>
        <v/>
      </c>
      <c r="AJ593">
        <f>IF(R593&lt;8.25,0,IF(R593*2&gt;=80,5,IF(R593*2&gt;=70,4,IF(R593*2&gt;=60,3.5,IF(R593*2&gt;=50,3,IF(R593*2&gt;=40,2,IF(R593*2&gt;=33,1,0)))))))</f>
        <v/>
      </c>
      <c r="AK593">
        <f>IF(S593&lt;33,0,IF(S593&gt;=80,5,IF(S593&gt;=70,4,IF(S593&gt;=60,3.5,IF(S593&gt;=50,3,IF(S593&gt;=40,2,IF(S593&gt;=33,1,0)))))))</f>
        <v/>
      </c>
      <c r="AL593">
        <f>(AC593+AD593+AE593+AF593+AG593+AH593+AI593+AJ593)/8</f>
        <v/>
      </c>
      <c r="AM593">
        <f>IF(AK593&gt;=2,(AK593-2)/8,0)</f>
        <v/>
      </c>
    </row>
    <row r="594">
      <c r="T594">
        <f>SUM(C594:R594)</f>
        <v/>
      </c>
      <c r="U594" s="6">
        <f>ROUND(T594/11.5,2)</f>
        <v/>
      </c>
      <c r="V594" s="7">
        <f>IF(B594="","",IF(AB594,0,ROUND(AL594,2)))</f>
        <v/>
      </c>
      <c r="W594" s="7">
        <f>IF(B594="","",IF(AB594,0,MIN(5,ROUND(AL594+AM594,2))))</f>
        <v/>
      </c>
      <c r="X594" s="8">
        <f>IF(B594="","",IF(W594&gt;=5,"A+",IF(W594&gt;=4,"A",IF(W594&gt;=3.5,"A-",IF(W594&gt;=3,"B",IF(W594&gt;=2,"C",IF(W594&gt;=1,"D","F")))))))</f>
        <v/>
      </c>
      <c r="Y594">
        <f>NOT(OR(AND(J594&gt;=10,K594&gt;=23,L594&gt;=10,M594&gt;=23),AND(J594+L594&gt;=20,K594+M594&gt;=46)))</f>
        <v/>
      </c>
      <c r="Z594">
        <f>OR(N594&lt;10,O594&lt;23)</f>
        <v/>
      </c>
      <c r="AA594">
        <f>OR(P594&lt;10,Q594&lt;23)</f>
        <v/>
      </c>
      <c r="AB594">
        <f>OR((C594+D594)&lt;66,(E594+F594)&lt;66,G594&lt;33,(H594+I594)&lt;66,Y594,Z594,AA594,R594&lt;8.25)</f>
        <v/>
      </c>
      <c r="AC594">
        <f>IF(C594+D594&lt;66,0,IF((C594+D594)/2&gt;=80,5,IF((C594+D594)/2&gt;=70,4,IF((C594+D594)/2&gt;=60,3.5,IF((C594+D594)/2&gt;=50,3,IF((C594+D594)/2&gt;=40,2,IF((C594+D594)/2&gt;=33,1,0)))))))</f>
        <v/>
      </c>
      <c r="AD594">
        <f>IF(E594+F594&lt;66,0,IF((E594+F594)/2&gt;=80,5,IF((E594+F594)/2&gt;=70,4,IF((E594+F594)/2&gt;=60,3.5,IF((E594+F594)/2&gt;=50,3,IF((E594+F594)/2&gt;=40,2,IF((E594+F594)/2&gt;=33,1,0)))))))</f>
        <v/>
      </c>
      <c r="AE594">
        <f>IF(G594&lt;33,0,IF(G594&gt;=80,5,IF(G594&gt;=70,4,IF(G594&gt;=60,3.5,IF(G594&gt;=50,3,IF(G594&gt;=40,2,IF(G594&gt;=33,1,0)))))))</f>
        <v/>
      </c>
      <c r="AF594">
        <f>IF(H594+I594&lt;66,0,IF((H594+I594)/2&gt;=80,5,IF((H594+I594)/2&gt;=70,4,IF((H594+I594)/2&gt;=60,3.5,IF((H594+I594)/2&gt;=50,3,IF((H594+I594)/2&gt;=40,2,IF((H594+I594)/2&gt;=33,1,0)))))))</f>
        <v/>
      </c>
      <c r="AG594">
        <f>IF(Y594,0,IF((J594+K594+L594+M594)/2&gt;=80,5,IF((J594+K594+L594+M594)/2&gt;=70,4,IF((J594+K594+L594+M594)/2&gt;=60,3.5,IF((J594+K594+L594+M594)/2&gt;=50,3,IF((J594+K594+L594+M594)/2&gt;=40,2,IF((J594+K594+L594+M594)/2&gt;=33,1,0)))))))</f>
        <v/>
      </c>
      <c r="AH594">
        <f>IF(Z594,0,IF(N594+O594&gt;=80,5,IF(N594+O594&gt;=70,4,IF(N594+O594&gt;=60,3.5,IF(N594+O594&gt;=50,3,IF(N594+O594&gt;=40,2,IF(N594+O594&gt;=33,1,0)))))))</f>
        <v/>
      </c>
      <c r="AI594">
        <f>IF(AA594,0,IF(P594+Q594&gt;=80,5,IF(P594+Q594&gt;=70,4,IF(P594+Q594&gt;=60,3.5,IF(P594+Q594&gt;=50,3,IF(P594+Q594&gt;=40,2,IF(P594+Q594&gt;=33,1,0)))))))</f>
        <v/>
      </c>
      <c r="AJ594">
        <f>IF(R594&lt;8.25,0,IF(R594*2&gt;=80,5,IF(R594*2&gt;=70,4,IF(R594*2&gt;=60,3.5,IF(R594*2&gt;=50,3,IF(R594*2&gt;=40,2,IF(R594*2&gt;=33,1,0)))))))</f>
        <v/>
      </c>
      <c r="AK594">
        <f>IF(S594&lt;33,0,IF(S594&gt;=80,5,IF(S594&gt;=70,4,IF(S594&gt;=60,3.5,IF(S594&gt;=50,3,IF(S594&gt;=40,2,IF(S594&gt;=33,1,0)))))))</f>
        <v/>
      </c>
      <c r="AL594">
        <f>(AC594+AD594+AE594+AF594+AG594+AH594+AI594+AJ594)/8</f>
        <v/>
      </c>
      <c r="AM594">
        <f>IF(AK594&gt;=2,(AK594-2)/8,0)</f>
        <v/>
      </c>
    </row>
    <row r="595">
      <c r="T595">
        <f>SUM(C595:R595)</f>
        <v/>
      </c>
      <c r="U595" s="6">
        <f>ROUND(T595/11.5,2)</f>
        <v/>
      </c>
      <c r="V595" s="7">
        <f>IF(B595="","",IF(AB595,0,ROUND(AL595,2)))</f>
        <v/>
      </c>
      <c r="W595" s="7">
        <f>IF(B595="","",IF(AB595,0,MIN(5,ROUND(AL595+AM595,2))))</f>
        <v/>
      </c>
      <c r="X595" s="8">
        <f>IF(B595="","",IF(W595&gt;=5,"A+",IF(W595&gt;=4,"A",IF(W595&gt;=3.5,"A-",IF(W595&gt;=3,"B",IF(W595&gt;=2,"C",IF(W595&gt;=1,"D","F")))))))</f>
        <v/>
      </c>
      <c r="Y595">
        <f>NOT(OR(AND(J595&gt;=10,K595&gt;=23,L595&gt;=10,M595&gt;=23),AND(J595+L595&gt;=20,K595+M595&gt;=46)))</f>
        <v/>
      </c>
      <c r="Z595">
        <f>OR(N595&lt;10,O595&lt;23)</f>
        <v/>
      </c>
      <c r="AA595">
        <f>OR(P595&lt;10,Q595&lt;23)</f>
        <v/>
      </c>
      <c r="AB595">
        <f>OR((C595+D595)&lt;66,(E595+F595)&lt;66,G595&lt;33,(H595+I595)&lt;66,Y595,Z595,AA595,R595&lt;8.25)</f>
        <v/>
      </c>
      <c r="AC595">
        <f>IF(C595+D595&lt;66,0,IF((C595+D595)/2&gt;=80,5,IF((C595+D595)/2&gt;=70,4,IF((C595+D595)/2&gt;=60,3.5,IF((C595+D595)/2&gt;=50,3,IF((C595+D595)/2&gt;=40,2,IF((C595+D595)/2&gt;=33,1,0)))))))</f>
        <v/>
      </c>
      <c r="AD595">
        <f>IF(E595+F595&lt;66,0,IF((E595+F595)/2&gt;=80,5,IF((E595+F595)/2&gt;=70,4,IF((E595+F595)/2&gt;=60,3.5,IF((E595+F595)/2&gt;=50,3,IF((E595+F595)/2&gt;=40,2,IF((E595+F595)/2&gt;=33,1,0)))))))</f>
        <v/>
      </c>
      <c r="AE595">
        <f>IF(G595&lt;33,0,IF(G595&gt;=80,5,IF(G595&gt;=70,4,IF(G595&gt;=60,3.5,IF(G595&gt;=50,3,IF(G595&gt;=40,2,IF(G595&gt;=33,1,0)))))))</f>
        <v/>
      </c>
      <c r="AF595">
        <f>IF(H595+I595&lt;66,0,IF((H595+I595)/2&gt;=80,5,IF((H595+I595)/2&gt;=70,4,IF((H595+I595)/2&gt;=60,3.5,IF((H595+I595)/2&gt;=50,3,IF((H595+I595)/2&gt;=40,2,IF((H595+I595)/2&gt;=33,1,0)))))))</f>
        <v/>
      </c>
      <c r="AG595">
        <f>IF(Y595,0,IF((J595+K595+L595+M595)/2&gt;=80,5,IF((J595+K595+L595+M595)/2&gt;=70,4,IF((J595+K595+L595+M595)/2&gt;=60,3.5,IF((J595+K595+L595+M595)/2&gt;=50,3,IF((J595+K595+L595+M595)/2&gt;=40,2,IF((J595+K595+L595+M595)/2&gt;=33,1,0)))))))</f>
        <v/>
      </c>
      <c r="AH595">
        <f>IF(Z595,0,IF(N595+O595&gt;=80,5,IF(N595+O595&gt;=70,4,IF(N595+O595&gt;=60,3.5,IF(N595+O595&gt;=50,3,IF(N595+O595&gt;=40,2,IF(N595+O595&gt;=33,1,0)))))))</f>
        <v/>
      </c>
      <c r="AI595">
        <f>IF(AA595,0,IF(P595+Q595&gt;=80,5,IF(P595+Q595&gt;=70,4,IF(P595+Q595&gt;=60,3.5,IF(P595+Q595&gt;=50,3,IF(P595+Q595&gt;=40,2,IF(P595+Q595&gt;=33,1,0)))))))</f>
        <v/>
      </c>
      <c r="AJ595">
        <f>IF(R595&lt;8.25,0,IF(R595*2&gt;=80,5,IF(R595*2&gt;=70,4,IF(R595*2&gt;=60,3.5,IF(R595*2&gt;=50,3,IF(R595*2&gt;=40,2,IF(R595*2&gt;=33,1,0)))))))</f>
        <v/>
      </c>
      <c r="AK595">
        <f>IF(S595&lt;33,0,IF(S595&gt;=80,5,IF(S595&gt;=70,4,IF(S595&gt;=60,3.5,IF(S595&gt;=50,3,IF(S595&gt;=40,2,IF(S595&gt;=33,1,0)))))))</f>
        <v/>
      </c>
      <c r="AL595">
        <f>(AC595+AD595+AE595+AF595+AG595+AH595+AI595+AJ595)/8</f>
        <v/>
      </c>
      <c r="AM595">
        <f>IF(AK595&gt;=2,(AK595-2)/8,0)</f>
        <v/>
      </c>
    </row>
    <row r="596">
      <c r="T596">
        <f>SUM(C596:R596)</f>
        <v/>
      </c>
      <c r="U596" s="6">
        <f>ROUND(T596/11.5,2)</f>
        <v/>
      </c>
      <c r="V596" s="7">
        <f>IF(B596="","",IF(AB596,0,ROUND(AL596,2)))</f>
        <v/>
      </c>
      <c r="W596" s="7">
        <f>IF(B596="","",IF(AB596,0,MIN(5,ROUND(AL596+AM596,2))))</f>
        <v/>
      </c>
      <c r="X596" s="8">
        <f>IF(B596="","",IF(W596&gt;=5,"A+",IF(W596&gt;=4,"A",IF(W596&gt;=3.5,"A-",IF(W596&gt;=3,"B",IF(W596&gt;=2,"C",IF(W596&gt;=1,"D","F")))))))</f>
        <v/>
      </c>
      <c r="Y596">
        <f>NOT(OR(AND(J596&gt;=10,K596&gt;=23,L596&gt;=10,M596&gt;=23),AND(J596+L596&gt;=20,K596+M596&gt;=46)))</f>
        <v/>
      </c>
      <c r="Z596">
        <f>OR(N596&lt;10,O596&lt;23)</f>
        <v/>
      </c>
      <c r="AA596">
        <f>OR(P596&lt;10,Q596&lt;23)</f>
        <v/>
      </c>
      <c r="AB596">
        <f>OR((C596+D596)&lt;66,(E596+F596)&lt;66,G596&lt;33,(H596+I596)&lt;66,Y596,Z596,AA596,R596&lt;8.25)</f>
        <v/>
      </c>
      <c r="AC596">
        <f>IF(C596+D596&lt;66,0,IF((C596+D596)/2&gt;=80,5,IF((C596+D596)/2&gt;=70,4,IF((C596+D596)/2&gt;=60,3.5,IF((C596+D596)/2&gt;=50,3,IF((C596+D596)/2&gt;=40,2,IF((C596+D596)/2&gt;=33,1,0)))))))</f>
        <v/>
      </c>
      <c r="AD596">
        <f>IF(E596+F596&lt;66,0,IF((E596+F596)/2&gt;=80,5,IF((E596+F596)/2&gt;=70,4,IF((E596+F596)/2&gt;=60,3.5,IF((E596+F596)/2&gt;=50,3,IF((E596+F596)/2&gt;=40,2,IF((E596+F596)/2&gt;=33,1,0)))))))</f>
        <v/>
      </c>
      <c r="AE596">
        <f>IF(G596&lt;33,0,IF(G596&gt;=80,5,IF(G596&gt;=70,4,IF(G596&gt;=60,3.5,IF(G596&gt;=50,3,IF(G596&gt;=40,2,IF(G596&gt;=33,1,0)))))))</f>
        <v/>
      </c>
      <c r="AF596">
        <f>IF(H596+I596&lt;66,0,IF((H596+I596)/2&gt;=80,5,IF((H596+I596)/2&gt;=70,4,IF((H596+I596)/2&gt;=60,3.5,IF((H596+I596)/2&gt;=50,3,IF((H596+I596)/2&gt;=40,2,IF((H596+I596)/2&gt;=33,1,0)))))))</f>
        <v/>
      </c>
      <c r="AG596">
        <f>IF(Y596,0,IF((J596+K596+L596+M596)/2&gt;=80,5,IF((J596+K596+L596+M596)/2&gt;=70,4,IF((J596+K596+L596+M596)/2&gt;=60,3.5,IF((J596+K596+L596+M596)/2&gt;=50,3,IF((J596+K596+L596+M596)/2&gt;=40,2,IF((J596+K596+L596+M596)/2&gt;=33,1,0)))))))</f>
        <v/>
      </c>
      <c r="AH596">
        <f>IF(Z596,0,IF(N596+O596&gt;=80,5,IF(N596+O596&gt;=70,4,IF(N596+O596&gt;=60,3.5,IF(N596+O596&gt;=50,3,IF(N596+O596&gt;=40,2,IF(N596+O596&gt;=33,1,0)))))))</f>
        <v/>
      </c>
      <c r="AI596">
        <f>IF(AA596,0,IF(P596+Q596&gt;=80,5,IF(P596+Q596&gt;=70,4,IF(P596+Q596&gt;=60,3.5,IF(P596+Q596&gt;=50,3,IF(P596+Q596&gt;=40,2,IF(P596+Q596&gt;=33,1,0)))))))</f>
        <v/>
      </c>
      <c r="AJ596">
        <f>IF(R596&lt;8.25,0,IF(R596*2&gt;=80,5,IF(R596*2&gt;=70,4,IF(R596*2&gt;=60,3.5,IF(R596*2&gt;=50,3,IF(R596*2&gt;=40,2,IF(R596*2&gt;=33,1,0)))))))</f>
        <v/>
      </c>
      <c r="AK596">
        <f>IF(S596&lt;33,0,IF(S596&gt;=80,5,IF(S596&gt;=70,4,IF(S596&gt;=60,3.5,IF(S596&gt;=50,3,IF(S596&gt;=40,2,IF(S596&gt;=33,1,0)))))))</f>
        <v/>
      </c>
      <c r="AL596">
        <f>(AC596+AD596+AE596+AF596+AG596+AH596+AI596+AJ596)/8</f>
        <v/>
      </c>
      <c r="AM596">
        <f>IF(AK596&gt;=2,(AK596-2)/8,0)</f>
        <v/>
      </c>
    </row>
    <row r="597">
      <c r="T597">
        <f>SUM(C597:R597)</f>
        <v/>
      </c>
      <c r="U597" s="6">
        <f>ROUND(T597/11.5,2)</f>
        <v/>
      </c>
      <c r="V597" s="7">
        <f>IF(B597="","",IF(AB597,0,ROUND(AL597,2)))</f>
        <v/>
      </c>
      <c r="W597" s="7">
        <f>IF(B597="","",IF(AB597,0,MIN(5,ROUND(AL597+AM597,2))))</f>
        <v/>
      </c>
      <c r="X597" s="8">
        <f>IF(B597="","",IF(W597&gt;=5,"A+",IF(W597&gt;=4,"A",IF(W597&gt;=3.5,"A-",IF(W597&gt;=3,"B",IF(W597&gt;=2,"C",IF(W597&gt;=1,"D","F")))))))</f>
        <v/>
      </c>
      <c r="Y597">
        <f>NOT(OR(AND(J597&gt;=10,K597&gt;=23,L597&gt;=10,M597&gt;=23),AND(J597+L597&gt;=20,K597+M597&gt;=46)))</f>
        <v/>
      </c>
      <c r="Z597">
        <f>OR(N597&lt;10,O597&lt;23)</f>
        <v/>
      </c>
      <c r="AA597">
        <f>OR(P597&lt;10,Q597&lt;23)</f>
        <v/>
      </c>
      <c r="AB597">
        <f>OR((C597+D597)&lt;66,(E597+F597)&lt;66,G597&lt;33,(H597+I597)&lt;66,Y597,Z597,AA597,R597&lt;8.25)</f>
        <v/>
      </c>
      <c r="AC597">
        <f>IF(C597+D597&lt;66,0,IF((C597+D597)/2&gt;=80,5,IF((C597+D597)/2&gt;=70,4,IF((C597+D597)/2&gt;=60,3.5,IF((C597+D597)/2&gt;=50,3,IF((C597+D597)/2&gt;=40,2,IF((C597+D597)/2&gt;=33,1,0)))))))</f>
        <v/>
      </c>
      <c r="AD597">
        <f>IF(E597+F597&lt;66,0,IF((E597+F597)/2&gt;=80,5,IF((E597+F597)/2&gt;=70,4,IF((E597+F597)/2&gt;=60,3.5,IF((E597+F597)/2&gt;=50,3,IF((E597+F597)/2&gt;=40,2,IF((E597+F597)/2&gt;=33,1,0)))))))</f>
        <v/>
      </c>
      <c r="AE597">
        <f>IF(G597&lt;33,0,IF(G597&gt;=80,5,IF(G597&gt;=70,4,IF(G597&gt;=60,3.5,IF(G597&gt;=50,3,IF(G597&gt;=40,2,IF(G597&gt;=33,1,0)))))))</f>
        <v/>
      </c>
      <c r="AF597">
        <f>IF(H597+I597&lt;66,0,IF((H597+I597)/2&gt;=80,5,IF((H597+I597)/2&gt;=70,4,IF((H597+I597)/2&gt;=60,3.5,IF((H597+I597)/2&gt;=50,3,IF((H597+I597)/2&gt;=40,2,IF((H597+I597)/2&gt;=33,1,0)))))))</f>
        <v/>
      </c>
      <c r="AG597">
        <f>IF(Y597,0,IF((J597+K597+L597+M597)/2&gt;=80,5,IF((J597+K597+L597+M597)/2&gt;=70,4,IF((J597+K597+L597+M597)/2&gt;=60,3.5,IF((J597+K597+L597+M597)/2&gt;=50,3,IF((J597+K597+L597+M597)/2&gt;=40,2,IF((J597+K597+L597+M597)/2&gt;=33,1,0)))))))</f>
        <v/>
      </c>
      <c r="AH597">
        <f>IF(Z597,0,IF(N597+O597&gt;=80,5,IF(N597+O597&gt;=70,4,IF(N597+O597&gt;=60,3.5,IF(N597+O597&gt;=50,3,IF(N597+O597&gt;=40,2,IF(N597+O597&gt;=33,1,0)))))))</f>
        <v/>
      </c>
      <c r="AI597">
        <f>IF(AA597,0,IF(P597+Q597&gt;=80,5,IF(P597+Q597&gt;=70,4,IF(P597+Q597&gt;=60,3.5,IF(P597+Q597&gt;=50,3,IF(P597+Q597&gt;=40,2,IF(P597+Q597&gt;=33,1,0)))))))</f>
        <v/>
      </c>
      <c r="AJ597">
        <f>IF(R597&lt;8.25,0,IF(R597*2&gt;=80,5,IF(R597*2&gt;=70,4,IF(R597*2&gt;=60,3.5,IF(R597*2&gt;=50,3,IF(R597*2&gt;=40,2,IF(R597*2&gt;=33,1,0)))))))</f>
        <v/>
      </c>
      <c r="AK597">
        <f>IF(S597&lt;33,0,IF(S597&gt;=80,5,IF(S597&gt;=70,4,IF(S597&gt;=60,3.5,IF(S597&gt;=50,3,IF(S597&gt;=40,2,IF(S597&gt;=33,1,0)))))))</f>
        <v/>
      </c>
      <c r="AL597">
        <f>(AC597+AD597+AE597+AF597+AG597+AH597+AI597+AJ597)/8</f>
        <v/>
      </c>
      <c r="AM597">
        <f>IF(AK597&gt;=2,(AK597-2)/8,0)</f>
        <v/>
      </c>
    </row>
    <row r="598">
      <c r="T598">
        <f>SUM(C598:R598)</f>
        <v/>
      </c>
      <c r="U598" s="6">
        <f>ROUND(T598/11.5,2)</f>
        <v/>
      </c>
      <c r="V598" s="7">
        <f>IF(B598="","",IF(AB598,0,ROUND(AL598,2)))</f>
        <v/>
      </c>
      <c r="W598" s="7">
        <f>IF(B598="","",IF(AB598,0,MIN(5,ROUND(AL598+AM598,2))))</f>
        <v/>
      </c>
      <c r="X598" s="8">
        <f>IF(B598="","",IF(W598&gt;=5,"A+",IF(W598&gt;=4,"A",IF(W598&gt;=3.5,"A-",IF(W598&gt;=3,"B",IF(W598&gt;=2,"C",IF(W598&gt;=1,"D","F")))))))</f>
        <v/>
      </c>
      <c r="Y598">
        <f>NOT(OR(AND(J598&gt;=10,K598&gt;=23,L598&gt;=10,M598&gt;=23),AND(J598+L598&gt;=20,K598+M598&gt;=46)))</f>
        <v/>
      </c>
      <c r="Z598">
        <f>OR(N598&lt;10,O598&lt;23)</f>
        <v/>
      </c>
      <c r="AA598">
        <f>OR(P598&lt;10,Q598&lt;23)</f>
        <v/>
      </c>
      <c r="AB598">
        <f>OR((C598+D598)&lt;66,(E598+F598)&lt;66,G598&lt;33,(H598+I598)&lt;66,Y598,Z598,AA598,R598&lt;8.25)</f>
        <v/>
      </c>
      <c r="AC598">
        <f>IF(C598+D598&lt;66,0,IF((C598+D598)/2&gt;=80,5,IF((C598+D598)/2&gt;=70,4,IF((C598+D598)/2&gt;=60,3.5,IF((C598+D598)/2&gt;=50,3,IF((C598+D598)/2&gt;=40,2,IF((C598+D598)/2&gt;=33,1,0)))))))</f>
        <v/>
      </c>
      <c r="AD598">
        <f>IF(E598+F598&lt;66,0,IF((E598+F598)/2&gt;=80,5,IF((E598+F598)/2&gt;=70,4,IF((E598+F598)/2&gt;=60,3.5,IF((E598+F598)/2&gt;=50,3,IF((E598+F598)/2&gt;=40,2,IF((E598+F598)/2&gt;=33,1,0)))))))</f>
        <v/>
      </c>
      <c r="AE598">
        <f>IF(G598&lt;33,0,IF(G598&gt;=80,5,IF(G598&gt;=70,4,IF(G598&gt;=60,3.5,IF(G598&gt;=50,3,IF(G598&gt;=40,2,IF(G598&gt;=33,1,0)))))))</f>
        <v/>
      </c>
      <c r="AF598">
        <f>IF(H598+I598&lt;66,0,IF((H598+I598)/2&gt;=80,5,IF((H598+I598)/2&gt;=70,4,IF((H598+I598)/2&gt;=60,3.5,IF((H598+I598)/2&gt;=50,3,IF((H598+I598)/2&gt;=40,2,IF((H598+I598)/2&gt;=33,1,0)))))))</f>
        <v/>
      </c>
      <c r="AG598">
        <f>IF(Y598,0,IF((J598+K598+L598+M598)/2&gt;=80,5,IF((J598+K598+L598+M598)/2&gt;=70,4,IF((J598+K598+L598+M598)/2&gt;=60,3.5,IF((J598+K598+L598+M598)/2&gt;=50,3,IF((J598+K598+L598+M598)/2&gt;=40,2,IF((J598+K598+L598+M598)/2&gt;=33,1,0)))))))</f>
        <v/>
      </c>
      <c r="AH598">
        <f>IF(Z598,0,IF(N598+O598&gt;=80,5,IF(N598+O598&gt;=70,4,IF(N598+O598&gt;=60,3.5,IF(N598+O598&gt;=50,3,IF(N598+O598&gt;=40,2,IF(N598+O598&gt;=33,1,0)))))))</f>
        <v/>
      </c>
      <c r="AI598">
        <f>IF(AA598,0,IF(P598+Q598&gt;=80,5,IF(P598+Q598&gt;=70,4,IF(P598+Q598&gt;=60,3.5,IF(P598+Q598&gt;=50,3,IF(P598+Q598&gt;=40,2,IF(P598+Q598&gt;=33,1,0)))))))</f>
        <v/>
      </c>
      <c r="AJ598">
        <f>IF(R598&lt;8.25,0,IF(R598*2&gt;=80,5,IF(R598*2&gt;=70,4,IF(R598*2&gt;=60,3.5,IF(R598*2&gt;=50,3,IF(R598*2&gt;=40,2,IF(R598*2&gt;=33,1,0)))))))</f>
        <v/>
      </c>
      <c r="AK598">
        <f>IF(S598&lt;33,0,IF(S598&gt;=80,5,IF(S598&gt;=70,4,IF(S598&gt;=60,3.5,IF(S598&gt;=50,3,IF(S598&gt;=40,2,IF(S598&gt;=33,1,0)))))))</f>
        <v/>
      </c>
      <c r="AL598">
        <f>(AC598+AD598+AE598+AF598+AG598+AH598+AI598+AJ598)/8</f>
        <v/>
      </c>
      <c r="AM598">
        <f>IF(AK598&gt;=2,(AK598-2)/8,0)</f>
        <v/>
      </c>
    </row>
    <row r="599">
      <c r="T599">
        <f>SUM(C599:R599)</f>
        <v/>
      </c>
      <c r="U599" s="6">
        <f>ROUND(T599/11.5,2)</f>
        <v/>
      </c>
      <c r="V599" s="7">
        <f>IF(B599="","",IF(AB599,0,ROUND(AL599,2)))</f>
        <v/>
      </c>
      <c r="W599" s="7">
        <f>IF(B599="","",IF(AB599,0,MIN(5,ROUND(AL599+AM599,2))))</f>
        <v/>
      </c>
      <c r="X599" s="8">
        <f>IF(B599="","",IF(W599&gt;=5,"A+",IF(W599&gt;=4,"A",IF(W599&gt;=3.5,"A-",IF(W599&gt;=3,"B",IF(W599&gt;=2,"C",IF(W599&gt;=1,"D","F")))))))</f>
        <v/>
      </c>
      <c r="Y599">
        <f>NOT(OR(AND(J599&gt;=10,K599&gt;=23,L599&gt;=10,M599&gt;=23),AND(J599+L599&gt;=20,K599+M599&gt;=46)))</f>
        <v/>
      </c>
      <c r="Z599">
        <f>OR(N599&lt;10,O599&lt;23)</f>
        <v/>
      </c>
      <c r="AA599">
        <f>OR(P599&lt;10,Q599&lt;23)</f>
        <v/>
      </c>
      <c r="AB599">
        <f>OR((C599+D599)&lt;66,(E599+F599)&lt;66,G599&lt;33,(H599+I599)&lt;66,Y599,Z599,AA599,R599&lt;8.25)</f>
        <v/>
      </c>
      <c r="AC599">
        <f>IF(C599+D599&lt;66,0,IF((C599+D599)/2&gt;=80,5,IF((C599+D599)/2&gt;=70,4,IF((C599+D599)/2&gt;=60,3.5,IF((C599+D599)/2&gt;=50,3,IF((C599+D599)/2&gt;=40,2,IF((C599+D599)/2&gt;=33,1,0)))))))</f>
        <v/>
      </c>
      <c r="AD599">
        <f>IF(E599+F599&lt;66,0,IF((E599+F599)/2&gt;=80,5,IF((E599+F599)/2&gt;=70,4,IF((E599+F599)/2&gt;=60,3.5,IF((E599+F599)/2&gt;=50,3,IF((E599+F599)/2&gt;=40,2,IF((E599+F599)/2&gt;=33,1,0)))))))</f>
        <v/>
      </c>
      <c r="AE599">
        <f>IF(G599&lt;33,0,IF(G599&gt;=80,5,IF(G599&gt;=70,4,IF(G599&gt;=60,3.5,IF(G599&gt;=50,3,IF(G599&gt;=40,2,IF(G599&gt;=33,1,0)))))))</f>
        <v/>
      </c>
      <c r="AF599">
        <f>IF(H599+I599&lt;66,0,IF((H599+I599)/2&gt;=80,5,IF((H599+I599)/2&gt;=70,4,IF((H599+I599)/2&gt;=60,3.5,IF((H599+I599)/2&gt;=50,3,IF((H599+I599)/2&gt;=40,2,IF((H599+I599)/2&gt;=33,1,0)))))))</f>
        <v/>
      </c>
      <c r="AG599">
        <f>IF(Y599,0,IF((J599+K599+L599+M599)/2&gt;=80,5,IF((J599+K599+L599+M599)/2&gt;=70,4,IF((J599+K599+L599+M599)/2&gt;=60,3.5,IF((J599+K599+L599+M599)/2&gt;=50,3,IF((J599+K599+L599+M599)/2&gt;=40,2,IF((J599+K599+L599+M599)/2&gt;=33,1,0)))))))</f>
        <v/>
      </c>
      <c r="AH599">
        <f>IF(Z599,0,IF(N599+O599&gt;=80,5,IF(N599+O599&gt;=70,4,IF(N599+O599&gt;=60,3.5,IF(N599+O599&gt;=50,3,IF(N599+O599&gt;=40,2,IF(N599+O599&gt;=33,1,0)))))))</f>
        <v/>
      </c>
      <c r="AI599">
        <f>IF(AA599,0,IF(P599+Q599&gt;=80,5,IF(P599+Q599&gt;=70,4,IF(P599+Q599&gt;=60,3.5,IF(P599+Q599&gt;=50,3,IF(P599+Q599&gt;=40,2,IF(P599+Q599&gt;=33,1,0)))))))</f>
        <v/>
      </c>
      <c r="AJ599">
        <f>IF(R599&lt;8.25,0,IF(R599*2&gt;=80,5,IF(R599*2&gt;=70,4,IF(R599*2&gt;=60,3.5,IF(R599*2&gt;=50,3,IF(R599*2&gt;=40,2,IF(R599*2&gt;=33,1,0)))))))</f>
        <v/>
      </c>
      <c r="AK599">
        <f>IF(S599&lt;33,0,IF(S599&gt;=80,5,IF(S599&gt;=70,4,IF(S599&gt;=60,3.5,IF(S599&gt;=50,3,IF(S599&gt;=40,2,IF(S599&gt;=33,1,0)))))))</f>
        <v/>
      </c>
      <c r="AL599">
        <f>(AC599+AD599+AE599+AF599+AG599+AH599+AI599+AJ599)/8</f>
        <v/>
      </c>
      <c r="AM599">
        <f>IF(AK599&gt;=2,(AK599-2)/8,0)</f>
        <v/>
      </c>
    </row>
    <row r="600">
      <c r="T600">
        <f>SUM(C600:R600)</f>
        <v/>
      </c>
      <c r="U600" s="6">
        <f>ROUND(T600/11.5,2)</f>
        <v/>
      </c>
      <c r="V600" s="7">
        <f>IF(B600="","",IF(AB600,0,ROUND(AL600,2)))</f>
        <v/>
      </c>
      <c r="W600" s="7">
        <f>IF(B600="","",IF(AB600,0,MIN(5,ROUND(AL600+AM600,2))))</f>
        <v/>
      </c>
      <c r="X600" s="8">
        <f>IF(B600="","",IF(W600&gt;=5,"A+",IF(W600&gt;=4,"A",IF(W600&gt;=3.5,"A-",IF(W600&gt;=3,"B",IF(W600&gt;=2,"C",IF(W600&gt;=1,"D","F")))))))</f>
        <v/>
      </c>
      <c r="Y600">
        <f>NOT(OR(AND(J600&gt;=10,K600&gt;=23,L600&gt;=10,M600&gt;=23),AND(J600+L600&gt;=20,K600+M600&gt;=46)))</f>
        <v/>
      </c>
      <c r="Z600">
        <f>OR(N600&lt;10,O600&lt;23)</f>
        <v/>
      </c>
      <c r="AA600">
        <f>OR(P600&lt;10,Q600&lt;23)</f>
        <v/>
      </c>
      <c r="AB600">
        <f>OR((C600+D600)&lt;66,(E600+F600)&lt;66,G600&lt;33,(H600+I600)&lt;66,Y600,Z600,AA600,R600&lt;8.25)</f>
        <v/>
      </c>
      <c r="AC600">
        <f>IF(C600+D600&lt;66,0,IF((C600+D600)/2&gt;=80,5,IF((C600+D600)/2&gt;=70,4,IF((C600+D600)/2&gt;=60,3.5,IF((C600+D600)/2&gt;=50,3,IF((C600+D600)/2&gt;=40,2,IF((C600+D600)/2&gt;=33,1,0)))))))</f>
        <v/>
      </c>
      <c r="AD600">
        <f>IF(E600+F600&lt;66,0,IF((E600+F600)/2&gt;=80,5,IF((E600+F600)/2&gt;=70,4,IF((E600+F600)/2&gt;=60,3.5,IF((E600+F600)/2&gt;=50,3,IF((E600+F600)/2&gt;=40,2,IF((E600+F600)/2&gt;=33,1,0)))))))</f>
        <v/>
      </c>
      <c r="AE600">
        <f>IF(G600&lt;33,0,IF(G600&gt;=80,5,IF(G600&gt;=70,4,IF(G600&gt;=60,3.5,IF(G600&gt;=50,3,IF(G600&gt;=40,2,IF(G600&gt;=33,1,0)))))))</f>
        <v/>
      </c>
      <c r="AF600">
        <f>IF(H600+I600&lt;66,0,IF((H600+I600)/2&gt;=80,5,IF((H600+I600)/2&gt;=70,4,IF((H600+I600)/2&gt;=60,3.5,IF((H600+I600)/2&gt;=50,3,IF((H600+I600)/2&gt;=40,2,IF((H600+I600)/2&gt;=33,1,0)))))))</f>
        <v/>
      </c>
      <c r="AG600">
        <f>IF(Y600,0,IF((J600+K600+L600+M600)/2&gt;=80,5,IF((J600+K600+L600+M600)/2&gt;=70,4,IF((J600+K600+L600+M600)/2&gt;=60,3.5,IF((J600+K600+L600+M600)/2&gt;=50,3,IF((J600+K600+L600+M600)/2&gt;=40,2,IF((J600+K600+L600+M600)/2&gt;=33,1,0)))))))</f>
        <v/>
      </c>
      <c r="AH600">
        <f>IF(Z600,0,IF(N600+O600&gt;=80,5,IF(N600+O600&gt;=70,4,IF(N600+O600&gt;=60,3.5,IF(N600+O600&gt;=50,3,IF(N600+O600&gt;=40,2,IF(N600+O600&gt;=33,1,0)))))))</f>
        <v/>
      </c>
      <c r="AI600">
        <f>IF(AA600,0,IF(P600+Q600&gt;=80,5,IF(P600+Q600&gt;=70,4,IF(P600+Q600&gt;=60,3.5,IF(P600+Q600&gt;=50,3,IF(P600+Q600&gt;=40,2,IF(P600+Q600&gt;=33,1,0)))))))</f>
        <v/>
      </c>
      <c r="AJ600">
        <f>IF(R600&lt;8.25,0,IF(R600*2&gt;=80,5,IF(R600*2&gt;=70,4,IF(R600*2&gt;=60,3.5,IF(R600*2&gt;=50,3,IF(R600*2&gt;=40,2,IF(R600*2&gt;=33,1,0)))))))</f>
        <v/>
      </c>
      <c r="AK600">
        <f>IF(S600&lt;33,0,IF(S600&gt;=80,5,IF(S600&gt;=70,4,IF(S600&gt;=60,3.5,IF(S600&gt;=50,3,IF(S600&gt;=40,2,IF(S600&gt;=33,1,0)))))))</f>
        <v/>
      </c>
      <c r="AL600">
        <f>(AC600+AD600+AE600+AF600+AG600+AH600+AI600+AJ600)/8</f>
        <v/>
      </c>
      <c r="AM600">
        <f>IF(AK600&gt;=2,(AK600-2)/8,0)</f>
        <v/>
      </c>
    </row>
    <row r="601">
      <c r="T601">
        <f>SUM(C601:R601)</f>
        <v/>
      </c>
      <c r="U601" s="6">
        <f>ROUND(T601/11.5,2)</f>
        <v/>
      </c>
      <c r="V601" s="7">
        <f>IF(B601="","",IF(AB601,0,ROUND(AL601,2)))</f>
        <v/>
      </c>
      <c r="W601" s="7">
        <f>IF(B601="","",IF(AB601,0,MIN(5,ROUND(AL601+AM601,2))))</f>
        <v/>
      </c>
      <c r="X601" s="8">
        <f>IF(B601="","",IF(W601&gt;=5,"A+",IF(W601&gt;=4,"A",IF(W601&gt;=3.5,"A-",IF(W601&gt;=3,"B",IF(W601&gt;=2,"C",IF(W601&gt;=1,"D","F")))))))</f>
        <v/>
      </c>
      <c r="Y601">
        <f>NOT(OR(AND(J601&gt;=10,K601&gt;=23,L601&gt;=10,M601&gt;=23),AND(J601+L601&gt;=20,K601+M601&gt;=46)))</f>
        <v/>
      </c>
      <c r="Z601">
        <f>OR(N601&lt;10,O601&lt;23)</f>
        <v/>
      </c>
      <c r="AA601">
        <f>OR(P601&lt;10,Q601&lt;23)</f>
        <v/>
      </c>
      <c r="AB601">
        <f>OR((C601+D601)&lt;66,(E601+F601)&lt;66,G601&lt;33,(H601+I601)&lt;66,Y601,Z601,AA601,R601&lt;8.25)</f>
        <v/>
      </c>
      <c r="AC601">
        <f>IF(C601+D601&lt;66,0,IF((C601+D601)/2&gt;=80,5,IF((C601+D601)/2&gt;=70,4,IF((C601+D601)/2&gt;=60,3.5,IF((C601+D601)/2&gt;=50,3,IF((C601+D601)/2&gt;=40,2,IF((C601+D601)/2&gt;=33,1,0)))))))</f>
        <v/>
      </c>
      <c r="AD601">
        <f>IF(E601+F601&lt;66,0,IF((E601+F601)/2&gt;=80,5,IF((E601+F601)/2&gt;=70,4,IF((E601+F601)/2&gt;=60,3.5,IF((E601+F601)/2&gt;=50,3,IF((E601+F601)/2&gt;=40,2,IF((E601+F601)/2&gt;=33,1,0)))))))</f>
        <v/>
      </c>
      <c r="AE601">
        <f>IF(G601&lt;33,0,IF(G601&gt;=80,5,IF(G601&gt;=70,4,IF(G601&gt;=60,3.5,IF(G601&gt;=50,3,IF(G601&gt;=40,2,IF(G601&gt;=33,1,0)))))))</f>
        <v/>
      </c>
      <c r="AF601">
        <f>IF(H601+I601&lt;66,0,IF((H601+I601)/2&gt;=80,5,IF((H601+I601)/2&gt;=70,4,IF((H601+I601)/2&gt;=60,3.5,IF((H601+I601)/2&gt;=50,3,IF((H601+I601)/2&gt;=40,2,IF((H601+I601)/2&gt;=33,1,0)))))))</f>
        <v/>
      </c>
      <c r="AG601">
        <f>IF(Y601,0,IF((J601+K601+L601+M601)/2&gt;=80,5,IF((J601+K601+L601+M601)/2&gt;=70,4,IF((J601+K601+L601+M601)/2&gt;=60,3.5,IF((J601+K601+L601+M601)/2&gt;=50,3,IF((J601+K601+L601+M601)/2&gt;=40,2,IF((J601+K601+L601+M601)/2&gt;=33,1,0)))))))</f>
        <v/>
      </c>
      <c r="AH601">
        <f>IF(Z601,0,IF(N601+O601&gt;=80,5,IF(N601+O601&gt;=70,4,IF(N601+O601&gt;=60,3.5,IF(N601+O601&gt;=50,3,IF(N601+O601&gt;=40,2,IF(N601+O601&gt;=33,1,0)))))))</f>
        <v/>
      </c>
      <c r="AI601">
        <f>IF(AA601,0,IF(P601+Q601&gt;=80,5,IF(P601+Q601&gt;=70,4,IF(P601+Q601&gt;=60,3.5,IF(P601+Q601&gt;=50,3,IF(P601+Q601&gt;=40,2,IF(P601+Q601&gt;=33,1,0)))))))</f>
        <v/>
      </c>
      <c r="AJ601">
        <f>IF(R601&lt;8.25,0,IF(R601*2&gt;=80,5,IF(R601*2&gt;=70,4,IF(R601*2&gt;=60,3.5,IF(R601*2&gt;=50,3,IF(R601*2&gt;=40,2,IF(R601*2&gt;=33,1,0)))))))</f>
        <v/>
      </c>
      <c r="AK601">
        <f>IF(S601&lt;33,0,IF(S601&gt;=80,5,IF(S601&gt;=70,4,IF(S601&gt;=60,3.5,IF(S601&gt;=50,3,IF(S601&gt;=40,2,IF(S601&gt;=33,1,0)))))))</f>
        <v/>
      </c>
      <c r="AL601">
        <f>(AC601+AD601+AE601+AF601+AG601+AH601+AI601+AJ601)/8</f>
        <v/>
      </c>
      <c r="AM601">
        <f>IF(AK601&gt;=2,(AK601-2)/8,0)</f>
        <v/>
      </c>
    </row>
    <row r="602">
      <c r="T602">
        <f>SUM(C602:R602)</f>
        <v/>
      </c>
      <c r="U602" s="6">
        <f>ROUND(T602/11.5,2)</f>
        <v/>
      </c>
      <c r="V602" s="7">
        <f>IF(B602="","",IF(AB602,0,ROUND(AL602,2)))</f>
        <v/>
      </c>
      <c r="W602" s="7">
        <f>IF(B602="","",IF(AB602,0,MIN(5,ROUND(AL602+AM602,2))))</f>
        <v/>
      </c>
      <c r="X602" s="8">
        <f>IF(B602="","",IF(W602&gt;=5,"A+",IF(W602&gt;=4,"A",IF(W602&gt;=3.5,"A-",IF(W602&gt;=3,"B",IF(W602&gt;=2,"C",IF(W602&gt;=1,"D","F")))))))</f>
        <v/>
      </c>
      <c r="Y602">
        <f>NOT(OR(AND(J602&gt;=10,K602&gt;=23,L602&gt;=10,M602&gt;=23),AND(J602+L602&gt;=20,K602+M602&gt;=46)))</f>
        <v/>
      </c>
      <c r="Z602">
        <f>OR(N602&lt;10,O602&lt;23)</f>
        <v/>
      </c>
      <c r="AA602">
        <f>OR(P602&lt;10,Q602&lt;23)</f>
        <v/>
      </c>
      <c r="AB602">
        <f>OR((C602+D602)&lt;66,(E602+F602)&lt;66,G602&lt;33,(H602+I602)&lt;66,Y602,Z602,AA602,R602&lt;8.25)</f>
        <v/>
      </c>
      <c r="AC602">
        <f>IF(C602+D602&lt;66,0,IF((C602+D602)/2&gt;=80,5,IF((C602+D602)/2&gt;=70,4,IF((C602+D602)/2&gt;=60,3.5,IF((C602+D602)/2&gt;=50,3,IF((C602+D602)/2&gt;=40,2,IF((C602+D602)/2&gt;=33,1,0)))))))</f>
        <v/>
      </c>
      <c r="AD602">
        <f>IF(E602+F602&lt;66,0,IF((E602+F602)/2&gt;=80,5,IF((E602+F602)/2&gt;=70,4,IF((E602+F602)/2&gt;=60,3.5,IF((E602+F602)/2&gt;=50,3,IF((E602+F602)/2&gt;=40,2,IF((E602+F602)/2&gt;=33,1,0)))))))</f>
        <v/>
      </c>
      <c r="AE602">
        <f>IF(G602&lt;33,0,IF(G602&gt;=80,5,IF(G602&gt;=70,4,IF(G602&gt;=60,3.5,IF(G602&gt;=50,3,IF(G602&gt;=40,2,IF(G602&gt;=33,1,0)))))))</f>
        <v/>
      </c>
      <c r="AF602">
        <f>IF(H602+I602&lt;66,0,IF((H602+I602)/2&gt;=80,5,IF((H602+I602)/2&gt;=70,4,IF((H602+I602)/2&gt;=60,3.5,IF((H602+I602)/2&gt;=50,3,IF((H602+I602)/2&gt;=40,2,IF((H602+I602)/2&gt;=33,1,0)))))))</f>
        <v/>
      </c>
      <c r="AG602">
        <f>IF(Y602,0,IF((J602+K602+L602+M602)/2&gt;=80,5,IF((J602+K602+L602+M602)/2&gt;=70,4,IF((J602+K602+L602+M602)/2&gt;=60,3.5,IF((J602+K602+L602+M602)/2&gt;=50,3,IF((J602+K602+L602+M602)/2&gt;=40,2,IF((J602+K602+L602+M602)/2&gt;=33,1,0)))))))</f>
        <v/>
      </c>
      <c r="AH602">
        <f>IF(Z602,0,IF(N602+O602&gt;=80,5,IF(N602+O602&gt;=70,4,IF(N602+O602&gt;=60,3.5,IF(N602+O602&gt;=50,3,IF(N602+O602&gt;=40,2,IF(N602+O602&gt;=33,1,0)))))))</f>
        <v/>
      </c>
      <c r="AI602">
        <f>IF(AA602,0,IF(P602+Q602&gt;=80,5,IF(P602+Q602&gt;=70,4,IF(P602+Q602&gt;=60,3.5,IF(P602+Q602&gt;=50,3,IF(P602+Q602&gt;=40,2,IF(P602+Q602&gt;=33,1,0)))))))</f>
        <v/>
      </c>
      <c r="AJ602">
        <f>IF(R602&lt;8.25,0,IF(R602*2&gt;=80,5,IF(R602*2&gt;=70,4,IF(R602*2&gt;=60,3.5,IF(R602*2&gt;=50,3,IF(R602*2&gt;=40,2,IF(R602*2&gt;=33,1,0)))))))</f>
        <v/>
      </c>
      <c r="AK602">
        <f>IF(S602&lt;33,0,IF(S602&gt;=80,5,IF(S602&gt;=70,4,IF(S602&gt;=60,3.5,IF(S602&gt;=50,3,IF(S602&gt;=40,2,IF(S602&gt;=33,1,0)))))))</f>
        <v/>
      </c>
      <c r="AL602">
        <f>(AC602+AD602+AE602+AF602+AG602+AH602+AI602+AJ602)/8</f>
        <v/>
      </c>
      <c r="AM602">
        <f>IF(AK602&gt;=2,(AK602-2)/8,0)</f>
        <v/>
      </c>
    </row>
    <row r="603">
      <c r="T603">
        <f>SUM(C603:R603)</f>
        <v/>
      </c>
      <c r="U603" s="6">
        <f>ROUND(T603/11.5,2)</f>
        <v/>
      </c>
      <c r="V603" s="7">
        <f>IF(B603="","",IF(AB603,0,ROUND(AL603,2)))</f>
        <v/>
      </c>
      <c r="W603" s="7">
        <f>IF(B603="","",IF(AB603,0,MIN(5,ROUND(AL603+AM603,2))))</f>
        <v/>
      </c>
      <c r="X603" s="8">
        <f>IF(B603="","",IF(W603&gt;=5,"A+",IF(W603&gt;=4,"A",IF(W603&gt;=3.5,"A-",IF(W603&gt;=3,"B",IF(W603&gt;=2,"C",IF(W603&gt;=1,"D","F")))))))</f>
        <v/>
      </c>
      <c r="Y603">
        <f>NOT(OR(AND(J603&gt;=10,K603&gt;=23,L603&gt;=10,M603&gt;=23),AND(J603+L603&gt;=20,K603+M603&gt;=46)))</f>
        <v/>
      </c>
      <c r="Z603">
        <f>OR(N603&lt;10,O603&lt;23)</f>
        <v/>
      </c>
      <c r="AA603">
        <f>OR(P603&lt;10,Q603&lt;23)</f>
        <v/>
      </c>
      <c r="AB603">
        <f>OR((C603+D603)&lt;66,(E603+F603)&lt;66,G603&lt;33,(H603+I603)&lt;66,Y603,Z603,AA603,R603&lt;8.25)</f>
        <v/>
      </c>
      <c r="AC603">
        <f>IF(C603+D603&lt;66,0,IF((C603+D603)/2&gt;=80,5,IF((C603+D603)/2&gt;=70,4,IF((C603+D603)/2&gt;=60,3.5,IF((C603+D603)/2&gt;=50,3,IF((C603+D603)/2&gt;=40,2,IF((C603+D603)/2&gt;=33,1,0)))))))</f>
        <v/>
      </c>
      <c r="AD603">
        <f>IF(E603+F603&lt;66,0,IF((E603+F603)/2&gt;=80,5,IF((E603+F603)/2&gt;=70,4,IF((E603+F603)/2&gt;=60,3.5,IF((E603+F603)/2&gt;=50,3,IF((E603+F603)/2&gt;=40,2,IF((E603+F603)/2&gt;=33,1,0)))))))</f>
        <v/>
      </c>
      <c r="AE603">
        <f>IF(G603&lt;33,0,IF(G603&gt;=80,5,IF(G603&gt;=70,4,IF(G603&gt;=60,3.5,IF(G603&gt;=50,3,IF(G603&gt;=40,2,IF(G603&gt;=33,1,0)))))))</f>
        <v/>
      </c>
      <c r="AF603">
        <f>IF(H603+I603&lt;66,0,IF((H603+I603)/2&gt;=80,5,IF((H603+I603)/2&gt;=70,4,IF((H603+I603)/2&gt;=60,3.5,IF((H603+I603)/2&gt;=50,3,IF((H603+I603)/2&gt;=40,2,IF((H603+I603)/2&gt;=33,1,0)))))))</f>
        <v/>
      </c>
      <c r="AG603">
        <f>IF(Y603,0,IF((J603+K603+L603+M603)/2&gt;=80,5,IF((J603+K603+L603+M603)/2&gt;=70,4,IF((J603+K603+L603+M603)/2&gt;=60,3.5,IF((J603+K603+L603+M603)/2&gt;=50,3,IF((J603+K603+L603+M603)/2&gt;=40,2,IF((J603+K603+L603+M603)/2&gt;=33,1,0)))))))</f>
        <v/>
      </c>
      <c r="AH603">
        <f>IF(Z603,0,IF(N603+O603&gt;=80,5,IF(N603+O603&gt;=70,4,IF(N603+O603&gt;=60,3.5,IF(N603+O603&gt;=50,3,IF(N603+O603&gt;=40,2,IF(N603+O603&gt;=33,1,0)))))))</f>
        <v/>
      </c>
      <c r="AI603">
        <f>IF(AA603,0,IF(P603+Q603&gt;=80,5,IF(P603+Q603&gt;=70,4,IF(P603+Q603&gt;=60,3.5,IF(P603+Q603&gt;=50,3,IF(P603+Q603&gt;=40,2,IF(P603+Q603&gt;=33,1,0)))))))</f>
        <v/>
      </c>
      <c r="AJ603">
        <f>IF(R603&lt;8.25,0,IF(R603*2&gt;=80,5,IF(R603*2&gt;=70,4,IF(R603*2&gt;=60,3.5,IF(R603*2&gt;=50,3,IF(R603*2&gt;=40,2,IF(R603*2&gt;=33,1,0)))))))</f>
        <v/>
      </c>
      <c r="AK603">
        <f>IF(S603&lt;33,0,IF(S603&gt;=80,5,IF(S603&gt;=70,4,IF(S603&gt;=60,3.5,IF(S603&gt;=50,3,IF(S603&gt;=40,2,IF(S603&gt;=33,1,0)))))))</f>
        <v/>
      </c>
      <c r="AL603">
        <f>(AC603+AD603+AE603+AF603+AG603+AH603+AI603+AJ603)/8</f>
        <v/>
      </c>
      <c r="AM603">
        <f>IF(AK603&gt;=2,(AK603-2)/8,0)</f>
        <v/>
      </c>
    </row>
    <row r="604">
      <c r="T604">
        <f>SUM(C604:R604)</f>
        <v/>
      </c>
      <c r="U604" s="6">
        <f>ROUND(T604/11.5,2)</f>
        <v/>
      </c>
      <c r="V604" s="7">
        <f>IF(B604="","",IF(AB604,0,ROUND(AL604,2)))</f>
        <v/>
      </c>
      <c r="W604" s="7">
        <f>IF(B604="","",IF(AB604,0,MIN(5,ROUND(AL604+AM604,2))))</f>
        <v/>
      </c>
      <c r="X604" s="8">
        <f>IF(B604="","",IF(W604&gt;=5,"A+",IF(W604&gt;=4,"A",IF(W604&gt;=3.5,"A-",IF(W604&gt;=3,"B",IF(W604&gt;=2,"C",IF(W604&gt;=1,"D","F")))))))</f>
        <v/>
      </c>
      <c r="Y604">
        <f>NOT(OR(AND(J604&gt;=10,K604&gt;=23,L604&gt;=10,M604&gt;=23),AND(J604+L604&gt;=20,K604+M604&gt;=46)))</f>
        <v/>
      </c>
      <c r="Z604">
        <f>OR(N604&lt;10,O604&lt;23)</f>
        <v/>
      </c>
      <c r="AA604">
        <f>OR(P604&lt;10,Q604&lt;23)</f>
        <v/>
      </c>
      <c r="AB604">
        <f>OR((C604+D604)&lt;66,(E604+F604)&lt;66,G604&lt;33,(H604+I604)&lt;66,Y604,Z604,AA604,R604&lt;8.25)</f>
        <v/>
      </c>
      <c r="AC604">
        <f>IF(C604+D604&lt;66,0,IF((C604+D604)/2&gt;=80,5,IF((C604+D604)/2&gt;=70,4,IF((C604+D604)/2&gt;=60,3.5,IF((C604+D604)/2&gt;=50,3,IF((C604+D604)/2&gt;=40,2,IF((C604+D604)/2&gt;=33,1,0)))))))</f>
        <v/>
      </c>
      <c r="AD604">
        <f>IF(E604+F604&lt;66,0,IF((E604+F604)/2&gt;=80,5,IF((E604+F604)/2&gt;=70,4,IF((E604+F604)/2&gt;=60,3.5,IF((E604+F604)/2&gt;=50,3,IF((E604+F604)/2&gt;=40,2,IF((E604+F604)/2&gt;=33,1,0)))))))</f>
        <v/>
      </c>
      <c r="AE604">
        <f>IF(G604&lt;33,0,IF(G604&gt;=80,5,IF(G604&gt;=70,4,IF(G604&gt;=60,3.5,IF(G604&gt;=50,3,IF(G604&gt;=40,2,IF(G604&gt;=33,1,0)))))))</f>
        <v/>
      </c>
      <c r="AF604">
        <f>IF(H604+I604&lt;66,0,IF((H604+I604)/2&gt;=80,5,IF((H604+I604)/2&gt;=70,4,IF((H604+I604)/2&gt;=60,3.5,IF((H604+I604)/2&gt;=50,3,IF((H604+I604)/2&gt;=40,2,IF((H604+I604)/2&gt;=33,1,0)))))))</f>
        <v/>
      </c>
      <c r="AG604">
        <f>IF(Y604,0,IF((J604+K604+L604+M604)/2&gt;=80,5,IF((J604+K604+L604+M604)/2&gt;=70,4,IF((J604+K604+L604+M604)/2&gt;=60,3.5,IF((J604+K604+L604+M604)/2&gt;=50,3,IF((J604+K604+L604+M604)/2&gt;=40,2,IF((J604+K604+L604+M604)/2&gt;=33,1,0)))))))</f>
        <v/>
      </c>
      <c r="AH604">
        <f>IF(Z604,0,IF(N604+O604&gt;=80,5,IF(N604+O604&gt;=70,4,IF(N604+O604&gt;=60,3.5,IF(N604+O604&gt;=50,3,IF(N604+O604&gt;=40,2,IF(N604+O604&gt;=33,1,0)))))))</f>
        <v/>
      </c>
      <c r="AI604">
        <f>IF(AA604,0,IF(P604+Q604&gt;=80,5,IF(P604+Q604&gt;=70,4,IF(P604+Q604&gt;=60,3.5,IF(P604+Q604&gt;=50,3,IF(P604+Q604&gt;=40,2,IF(P604+Q604&gt;=33,1,0)))))))</f>
        <v/>
      </c>
      <c r="AJ604">
        <f>IF(R604&lt;8.25,0,IF(R604*2&gt;=80,5,IF(R604*2&gt;=70,4,IF(R604*2&gt;=60,3.5,IF(R604*2&gt;=50,3,IF(R604*2&gt;=40,2,IF(R604*2&gt;=33,1,0)))))))</f>
        <v/>
      </c>
      <c r="AK604">
        <f>IF(S604&lt;33,0,IF(S604&gt;=80,5,IF(S604&gt;=70,4,IF(S604&gt;=60,3.5,IF(S604&gt;=50,3,IF(S604&gt;=40,2,IF(S604&gt;=33,1,0)))))))</f>
        <v/>
      </c>
      <c r="AL604">
        <f>(AC604+AD604+AE604+AF604+AG604+AH604+AI604+AJ604)/8</f>
        <v/>
      </c>
      <c r="AM604">
        <f>IF(AK604&gt;=2,(AK604-2)/8,0)</f>
        <v/>
      </c>
    </row>
    <row r="605">
      <c r="T605">
        <f>SUM(C605:R605)</f>
        <v/>
      </c>
      <c r="U605" s="6">
        <f>ROUND(T605/11.5,2)</f>
        <v/>
      </c>
      <c r="V605" s="7">
        <f>IF(B605="","",IF(AB605,0,ROUND(AL605,2)))</f>
        <v/>
      </c>
      <c r="W605" s="7">
        <f>IF(B605="","",IF(AB605,0,MIN(5,ROUND(AL605+AM605,2))))</f>
        <v/>
      </c>
      <c r="X605" s="8">
        <f>IF(B605="","",IF(W605&gt;=5,"A+",IF(W605&gt;=4,"A",IF(W605&gt;=3.5,"A-",IF(W605&gt;=3,"B",IF(W605&gt;=2,"C",IF(W605&gt;=1,"D","F")))))))</f>
        <v/>
      </c>
      <c r="Y605">
        <f>NOT(OR(AND(J605&gt;=10,K605&gt;=23,L605&gt;=10,M605&gt;=23),AND(J605+L605&gt;=20,K605+M605&gt;=46)))</f>
        <v/>
      </c>
      <c r="Z605">
        <f>OR(N605&lt;10,O605&lt;23)</f>
        <v/>
      </c>
      <c r="AA605">
        <f>OR(P605&lt;10,Q605&lt;23)</f>
        <v/>
      </c>
      <c r="AB605">
        <f>OR((C605+D605)&lt;66,(E605+F605)&lt;66,G605&lt;33,(H605+I605)&lt;66,Y605,Z605,AA605,R605&lt;8.25)</f>
        <v/>
      </c>
      <c r="AC605">
        <f>IF(C605+D605&lt;66,0,IF((C605+D605)/2&gt;=80,5,IF((C605+D605)/2&gt;=70,4,IF((C605+D605)/2&gt;=60,3.5,IF((C605+D605)/2&gt;=50,3,IF((C605+D605)/2&gt;=40,2,IF((C605+D605)/2&gt;=33,1,0)))))))</f>
        <v/>
      </c>
      <c r="AD605">
        <f>IF(E605+F605&lt;66,0,IF((E605+F605)/2&gt;=80,5,IF((E605+F605)/2&gt;=70,4,IF((E605+F605)/2&gt;=60,3.5,IF((E605+F605)/2&gt;=50,3,IF((E605+F605)/2&gt;=40,2,IF((E605+F605)/2&gt;=33,1,0)))))))</f>
        <v/>
      </c>
      <c r="AE605">
        <f>IF(G605&lt;33,0,IF(G605&gt;=80,5,IF(G605&gt;=70,4,IF(G605&gt;=60,3.5,IF(G605&gt;=50,3,IF(G605&gt;=40,2,IF(G605&gt;=33,1,0)))))))</f>
        <v/>
      </c>
      <c r="AF605">
        <f>IF(H605+I605&lt;66,0,IF((H605+I605)/2&gt;=80,5,IF((H605+I605)/2&gt;=70,4,IF((H605+I605)/2&gt;=60,3.5,IF((H605+I605)/2&gt;=50,3,IF((H605+I605)/2&gt;=40,2,IF((H605+I605)/2&gt;=33,1,0)))))))</f>
        <v/>
      </c>
      <c r="AG605">
        <f>IF(Y605,0,IF((J605+K605+L605+M605)/2&gt;=80,5,IF((J605+K605+L605+M605)/2&gt;=70,4,IF((J605+K605+L605+M605)/2&gt;=60,3.5,IF((J605+K605+L605+M605)/2&gt;=50,3,IF((J605+K605+L605+M605)/2&gt;=40,2,IF((J605+K605+L605+M605)/2&gt;=33,1,0)))))))</f>
        <v/>
      </c>
      <c r="AH605">
        <f>IF(Z605,0,IF(N605+O605&gt;=80,5,IF(N605+O605&gt;=70,4,IF(N605+O605&gt;=60,3.5,IF(N605+O605&gt;=50,3,IF(N605+O605&gt;=40,2,IF(N605+O605&gt;=33,1,0)))))))</f>
        <v/>
      </c>
      <c r="AI605">
        <f>IF(AA605,0,IF(P605+Q605&gt;=80,5,IF(P605+Q605&gt;=70,4,IF(P605+Q605&gt;=60,3.5,IF(P605+Q605&gt;=50,3,IF(P605+Q605&gt;=40,2,IF(P605+Q605&gt;=33,1,0)))))))</f>
        <v/>
      </c>
      <c r="AJ605">
        <f>IF(R605&lt;8.25,0,IF(R605*2&gt;=80,5,IF(R605*2&gt;=70,4,IF(R605*2&gt;=60,3.5,IF(R605*2&gt;=50,3,IF(R605*2&gt;=40,2,IF(R605*2&gt;=33,1,0)))))))</f>
        <v/>
      </c>
      <c r="AK605">
        <f>IF(S605&lt;33,0,IF(S605&gt;=80,5,IF(S605&gt;=70,4,IF(S605&gt;=60,3.5,IF(S605&gt;=50,3,IF(S605&gt;=40,2,IF(S605&gt;=33,1,0)))))))</f>
        <v/>
      </c>
      <c r="AL605">
        <f>(AC605+AD605+AE605+AF605+AG605+AH605+AI605+AJ605)/8</f>
        <v/>
      </c>
      <c r="AM605">
        <f>IF(AK605&gt;=2,(AK605-2)/8,0)</f>
        <v/>
      </c>
    </row>
    <row r="606">
      <c r="T606">
        <f>SUM(C606:R606)</f>
        <v/>
      </c>
      <c r="U606" s="6">
        <f>ROUND(T606/11.5,2)</f>
        <v/>
      </c>
      <c r="V606" s="7">
        <f>IF(B606="","",IF(AB606,0,ROUND(AL606,2)))</f>
        <v/>
      </c>
      <c r="W606" s="7">
        <f>IF(B606="","",IF(AB606,0,MIN(5,ROUND(AL606+AM606,2))))</f>
        <v/>
      </c>
      <c r="X606" s="8">
        <f>IF(B606="","",IF(W606&gt;=5,"A+",IF(W606&gt;=4,"A",IF(W606&gt;=3.5,"A-",IF(W606&gt;=3,"B",IF(W606&gt;=2,"C",IF(W606&gt;=1,"D","F")))))))</f>
        <v/>
      </c>
      <c r="Y606">
        <f>NOT(OR(AND(J606&gt;=10,K606&gt;=23,L606&gt;=10,M606&gt;=23),AND(J606+L606&gt;=20,K606+M606&gt;=46)))</f>
        <v/>
      </c>
      <c r="Z606">
        <f>OR(N606&lt;10,O606&lt;23)</f>
        <v/>
      </c>
      <c r="AA606">
        <f>OR(P606&lt;10,Q606&lt;23)</f>
        <v/>
      </c>
      <c r="AB606">
        <f>OR((C606+D606)&lt;66,(E606+F606)&lt;66,G606&lt;33,(H606+I606)&lt;66,Y606,Z606,AA606,R606&lt;8.25)</f>
        <v/>
      </c>
      <c r="AC606">
        <f>IF(C606+D606&lt;66,0,IF((C606+D606)/2&gt;=80,5,IF((C606+D606)/2&gt;=70,4,IF((C606+D606)/2&gt;=60,3.5,IF((C606+D606)/2&gt;=50,3,IF((C606+D606)/2&gt;=40,2,IF((C606+D606)/2&gt;=33,1,0)))))))</f>
        <v/>
      </c>
      <c r="AD606">
        <f>IF(E606+F606&lt;66,0,IF((E606+F606)/2&gt;=80,5,IF((E606+F606)/2&gt;=70,4,IF((E606+F606)/2&gt;=60,3.5,IF((E606+F606)/2&gt;=50,3,IF((E606+F606)/2&gt;=40,2,IF((E606+F606)/2&gt;=33,1,0)))))))</f>
        <v/>
      </c>
      <c r="AE606">
        <f>IF(G606&lt;33,0,IF(G606&gt;=80,5,IF(G606&gt;=70,4,IF(G606&gt;=60,3.5,IF(G606&gt;=50,3,IF(G606&gt;=40,2,IF(G606&gt;=33,1,0)))))))</f>
        <v/>
      </c>
      <c r="AF606">
        <f>IF(H606+I606&lt;66,0,IF((H606+I606)/2&gt;=80,5,IF((H606+I606)/2&gt;=70,4,IF((H606+I606)/2&gt;=60,3.5,IF((H606+I606)/2&gt;=50,3,IF((H606+I606)/2&gt;=40,2,IF((H606+I606)/2&gt;=33,1,0)))))))</f>
        <v/>
      </c>
      <c r="AG606">
        <f>IF(Y606,0,IF((J606+K606+L606+M606)/2&gt;=80,5,IF((J606+K606+L606+M606)/2&gt;=70,4,IF((J606+K606+L606+M606)/2&gt;=60,3.5,IF((J606+K606+L606+M606)/2&gt;=50,3,IF((J606+K606+L606+M606)/2&gt;=40,2,IF((J606+K606+L606+M606)/2&gt;=33,1,0)))))))</f>
        <v/>
      </c>
      <c r="AH606">
        <f>IF(Z606,0,IF(N606+O606&gt;=80,5,IF(N606+O606&gt;=70,4,IF(N606+O606&gt;=60,3.5,IF(N606+O606&gt;=50,3,IF(N606+O606&gt;=40,2,IF(N606+O606&gt;=33,1,0)))))))</f>
        <v/>
      </c>
      <c r="AI606">
        <f>IF(AA606,0,IF(P606+Q606&gt;=80,5,IF(P606+Q606&gt;=70,4,IF(P606+Q606&gt;=60,3.5,IF(P606+Q606&gt;=50,3,IF(P606+Q606&gt;=40,2,IF(P606+Q606&gt;=33,1,0)))))))</f>
        <v/>
      </c>
      <c r="AJ606">
        <f>IF(R606&lt;8.25,0,IF(R606*2&gt;=80,5,IF(R606*2&gt;=70,4,IF(R606*2&gt;=60,3.5,IF(R606*2&gt;=50,3,IF(R606*2&gt;=40,2,IF(R606*2&gt;=33,1,0)))))))</f>
        <v/>
      </c>
      <c r="AK606">
        <f>IF(S606&lt;33,0,IF(S606&gt;=80,5,IF(S606&gt;=70,4,IF(S606&gt;=60,3.5,IF(S606&gt;=50,3,IF(S606&gt;=40,2,IF(S606&gt;=33,1,0)))))))</f>
        <v/>
      </c>
      <c r="AL606">
        <f>(AC606+AD606+AE606+AF606+AG606+AH606+AI606+AJ606)/8</f>
        <v/>
      </c>
      <c r="AM606">
        <f>IF(AK606&gt;=2,(AK606-2)/8,0)</f>
        <v/>
      </c>
    </row>
    <row r="607">
      <c r="T607">
        <f>SUM(C607:R607)</f>
        <v/>
      </c>
      <c r="U607" s="6">
        <f>ROUND(T607/11.5,2)</f>
        <v/>
      </c>
      <c r="V607" s="7">
        <f>IF(B607="","",IF(AB607,0,ROUND(AL607,2)))</f>
        <v/>
      </c>
      <c r="W607" s="7">
        <f>IF(B607="","",IF(AB607,0,MIN(5,ROUND(AL607+AM607,2))))</f>
        <v/>
      </c>
      <c r="X607" s="8">
        <f>IF(B607="","",IF(W607&gt;=5,"A+",IF(W607&gt;=4,"A",IF(W607&gt;=3.5,"A-",IF(W607&gt;=3,"B",IF(W607&gt;=2,"C",IF(W607&gt;=1,"D","F")))))))</f>
        <v/>
      </c>
      <c r="Y607">
        <f>NOT(OR(AND(J607&gt;=10,K607&gt;=23,L607&gt;=10,M607&gt;=23),AND(J607+L607&gt;=20,K607+M607&gt;=46)))</f>
        <v/>
      </c>
      <c r="Z607">
        <f>OR(N607&lt;10,O607&lt;23)</f>
        <v/>
      </c>
      <c r="AA607">
        <f>OR(P607&lt;10,Q607&lt;23)</f>
        <v/>
      </c>
      <c r="AB607">
        <f>OR((C607+D607)&lt;66,(E607+F607)&lt;66,G607&lt;33,(H607+I607)&lt;66,Y607,Z607,AA607,R607&lt;8.25)</f>
        <v/>
      </c>
      <c r="AC607">
        <f>IF(C607+D607&lt;66,0,IF((C607+D607)/2&gt;=80,5,IF((C607+D607)/2&gt;=70,4,IF((C607+D607)/2&gt;=60,3.5,IF((C607+D607)/2&gt;=50,3,IF((C607+D607)/2&gt;=40,2,IF((C607+D607)/2&gt;=33,1,0)))))))</f>
        <v/>
      </c>
      <c r="AD607">
        <f>IF(E607+F607&lt;66,0,IF((E607+F607)/2&gt;=80,5,IF((E607+F607)/2&gt;=70,4,IF((E607+F607)/2&gt;=60,3.5,IF((E607+F607)/2&gt;=50,3,IF((E607+F607)/2&gt;=40,2,IF((E607+F607)/2&gt;=33,1,0)))))))</f>
        <v/>
      </c>
      <c r="AE607">
        <f>IF(G607&lt;33,0,IF(G607&gt;=80,5,IF(G607&gt;=70,4,IF(G607&gt;=60,3.5,IF(G607&gt;=50,3,IF(G607&gt;=40,2,IF(G607&gt;=33,1,0)))))))</f>
        <v/>
      </c>
      <c r="AF607">
        <f>IF(H607+I607&lt;66,0,IF((H607+I607)/2&gt;=80,5,IF((H607+I607)/2&gt;=70,4,IF((H607+I607)/2&gt;=60,3.5,IF((H607+I607)/2&gt;=50,3,IF((H607+I607)/2&gt;=40,2,IF((H607+I607)/2&gt;=33,1,0)))))))</f>
        <v/>
      </c>
      <c r="AG607">
        <f>IF(Y607,0,IF((J607+K607+L607+M607)/2&gt;=80,5,IF((J607+K607+L607+M607)/2&gt;=70,4,IF((J607+K607+L607+M607)/2&gt;=60,3.5,IF((J607+K607+L607+M607)/2&gt;=50,3,IF((J607+K607+L607+M607)/2&gt;=40,2,IF((J607+K607+L607+M607)/2&gt;=33,1,0)))))))</f>
        <v/>
      </c>
      <c r="AH607">
        <f>IF(Z607,0,IF(N607+O607&gt;=80,5,IF(N607+O607&gt;=70,4,IF(N607+O607&gt;=60,3.5,IF(N607+O607&gt;=50,3,IF(N607+O607&gt;=40,2,IF(N607+O607&gt;=33,1,0)))))))</f>
        <v/>
      </c>
      <c r="AI607">
        <f>IF(AA607,0,IF(P607+Q607&gt;=80,5,IF(P607+Q607&gt;=70,4,IF(P607+Q607&gt;=60,3.5,IF(P607+Q607&gt;=50,3,IF(P607+Q607&gt;=40,2,IF(P607+Q607&gt;=33,1,0)))))))</f>
        <v/>
      </c>
      <c r="AJ607">
        <f>IF(R607&lt;8.25,0,IF(R607*2&gt;=80,5,IF(R607*2&gt;=70,4,IF(R607*2&gt;=60,3.5,IF(R607*2&gt;=50,3,IF(R607*2&gt;=40,2,IF(R607*2&gt;=33,1,0)))))))</f>
        <v/>
      </c>
      <c r="AK607">
        <f>IF(S607&lt;33,0,IF(S607&gt;=80,5,IF(S607&gt;=70,4,IF(S607&gt;=60,3.5,IF(S607&gt;=50,3,IF(S607&gt;=40,2,IF(S607&gt;=33,1,0)))))))</f>
        <v/>
      </c>
      <c r="AL607">
        <f>(AC607+AD607+AE607+AF607+AG607+AH607+AI607+AJ607)/8</f>
        <v/>
      </c>
      <c r="AM607">
        <f>IF(AK607&gt;=2,(AK607-2)/8,0)</f>
        <v/>
      </c>
    </row>
    <row r="608">
      <c r="T608">
        <f>SUM(C608:R608)</f>
        <v/>
      </c>
      <c r="U608" s="6">
        <f>ROUND(T608/11.5,2)</f>
        <v/>
      </c>
      <c r="V608" s="7">
        <f>IF(B608="","",IF(AB608,0,ROUND(AL608,2)))</f>
        <v/>
      </c>
      <c r="W608" s="7">
        <f>IF(B608="","",IF(AB608,0,MIN(5,ROUND(AL608+AM608,2))))</f>
        <v/>
      </c>
      <c r="X608" s="8">
        <f>IF(B608="","",IF(W608&gt;=5,"A+",IF(W608&gt;=4,"A",IF(W608&gt;=3.5,"A-",IF(W608&gt;=3,"B",IF(W608&gt;=2,"C",IF(W608&gt;=1,"D","F")))))))</f>
        <v/>
      </c>
      <c r="Y608">
        <f>NOT(OR(AND(J608&gt;=10,K608&gt;=23,L608&gt;=10,M608&gt;=23),AND(J608+L608&gt;=20,K608+M608&gt;=46)))</f>
        <v/>
      </c>
      <c r="Z608">
        <f>OR(N608&lt;10,O608&lt;23)</f>
        <v/>
      </c>
      <c r="AA608">
        <f>OR(P608&lt;10,Q608&lt;23)</f>
        <v/>
      </c>
      <c r="AB608">
        <f>OR((C608+D608)&lt;66,(E608+F608)&lt;66,G608&lt;33,(H608+I608)&lt;66,Y608,Z608,AA608,R608&lt;8.25)</f>
        <v/>
      </c>
      <c r="AC608">
        <f>IF(C608+D608&lt;66,0,IF((C608+D608)/2&gt;=80,5,IF((C608+D608)/2&gt;=70,4,IF((C608+D608)/2&gt;=60,3.5,IF((C608+D608)/2&gt;=50,3,IF((C608+D608)/2&gt;=40,2,IF((C608+D608)/2&gt;=33,1,0)))))))</f>
        <v/>
      </c>
      <c r="AD608">
        <f>IF(E608+F608&lt;66,0,IF((E608+F608)/2&gt;=80,5,IF((E608+F608)/2&gt;=70,4,IF((E608+F608)/2&gt;=60,3.5,IF((E608+F608)/2&gt;=50,3,IF((E608+F608)/2&gt;=40,2,IF((E608+F608)/2&gt;=33,1,0)))))))</f>
        <v/>
      </c>
      <c r="AE608">
        <f>IF(G608&lt;33,0,IF(G608&gt;=80,5,IF(G608&gt;=70,4,IF(G608&gt;=60,3.5,IF(G608&gt;=50,3,IF(G608&gt;=40,2,IF(G608&gt;=33,1,0)))))))</f>
        <v/>
      </c>
      <c r="AF608">
        <f>IF(H608+I608&lt;66,0,IF((H608+I608)/2&gt;=80,5,IF((H608+I608)/2&gt;=70,4,IF((H608+I608)/2&gt;=60,3.5,IF((H608+I608)/2&gt;=50,3,IF((H608+I608)/2&gt;=40,2,IF((H608+I608)/2&gt;=33,1,0)))))))</f>
        <v/>
      </c>
      <c r="AG608">
        <f>IF(Y608,0,IF((J608+K608+L608+M608)/2&gt;=80,5,IF((J608+K608+L608+M608)/2&gt;=70,4,IF((J608+K608+L608+M608)/2&gt;=60,3.5,IF((J608+K608+L608+M608)/2&gt;=50,3,IF((J608+K608+L608+M608)/2&gt;=40,2,IF((J608+K608+L608+M608)/2&gt;=33,1,0)))))))</f>
        <v/>
      </c>
      <c r="AH608">
        <f>IF(Z608,0,IF(N608+O608&gt;=80,5,IF(N608+O608&gt;=70,4,IF(N608+O608&gt;=60,3.5,IF(N608+O608&gt;=50,3,IF(N608+O608&gt;=40,2,IF(N608+O608&gt;=33,1,0)))))))</f>
        <v/>
      </c>
      <c r="AI608">
        <f>IF(AA608,0,IF(P608+Q608&gt;=80,5,IF(P608+Q608&gt;=70,4,IF(P608+Q608&gt;=60,3.5,IF(P608+Q608&gt;=50,3,IF(P608+Q608&gt;=40,2,IF(P608+Q608&gt;=33,1,0)))))))</f>
        <v/>
      </c>
      <c r="AJ608">
        <f>IF(R608&lt;8.25,0,IF(R608*2&gt;=80,5,IF(R608*2&gt;=70,4,IF(R608*2&gt;=60,3.5,IF(R608*2&gt;=50,3,IF(R608*2&gt;=40,2,IF(R608*2&gt;=33,1,0)))))))</f>
        <v/>
      </c>
      <c r="AK608">
        <f>IF(S608&lt;33,0,IF(S608&gt;=80,5,IF(S608&gt;=70,4,IF(S608&gt;=60,3.5,IF(S608&gt;=50,3,IF(S608&gt;=40,2,IF(S608&gt;=33,1,0)))))))</f>
        <v/>
      </c>
      <c r="AL608">
        <f>(AC608+AD608+AE608+AF608+AG608+AH608+AI608+AJ608)/8</f>
        <v/>
      </c>
      <c r="AM608">
        <f>IF(AK608&gt;=2,(AK608-2)/8,0)</f>
        <v/>
      </c>
    </row>
    <row r="609">
      <c r="T609">
        <f>SUM(C609:R609)</f>
        <v/>
      </c>
      <c r="U609" s="6">
        <f>ROUND(T609/11.5,2)</f>
        <v/>
      </c>
      <c r="V609" s="7">
        <f>IF(B609="","",IF(AB609,0,ROUND(AL609,2)))</f>
        <v/>
      </c>
      <c r="W609" s="7">
        <f>IF(B609="","",IF(AB609,0,MIN(5,ROUND(AL609+AM609,2))))</f>
        <v/>
      </c>
      <c r="X609" s="8">
        <f>IF(B609="","",IF(W609&gt;=5,"A+",IF(W609&gt;=4,"A",IF(W609&gt;=3.5,"A-",IF(W609&gt;=3,"B",IF(W609&gt;=2,"C",IF(W609&gt;=1,"D","F")))))))</f>
        <v/>
      </c>
      <c r="Y609">
        <f>NOT(OR(AND(J609&gt;=10,K609&gt;=23,L609&gt;=10,M609&gt;=23),AND(J609+L609&gt;=20,K609+M609&gt;=46)))</f>
        <v/>
      </c>
      <c r="Z609">
        <f>OR(N609&lt;10,O609&lt;23)</f>
        <v/>
      </c>
      <c r="AA609">
        <f>OR(P609&lt;10,Q609&lt;23)</f>
        <v/>
      </c>
      <c r="AB609">
        <f>OR((C609+D609)&lt;66,(E609+F609)&lt;66,G609&lt;33,(H609+I609)&lt;66,Y609,Z609,AA609,R609&lt;8.25)</f>
        <v/>
      </c>
      <c r="AC609">
        <f>IF(C609+D609&lt;66,0,IF((C609+D609)/2&gt;=80,5,IF((C609+D609)/2&gt;=70,4,IF((C609+D609)/2&gt;=60,3.5,IF((C609+D609)/2&gt;=50,3,IF((C609+D609)/2&gt;=40,2,IF((C609+D609)/2&gt;=33,1,0)))))))</f>
        <v/>
      </c>
      <c r="AD609">
        <f>IF(E609+F609&lt;66,0,IF((E609+F609)/2&gt;=80,5,IF((E609+F609)/2&gt;=70,4,IF((E609+F609)/2&gt;=60,3.5,IF((E609+F609)/2&gt;=50,3,IF((E609+F609)/2&gt;=40,2,IF((E609+F609)/2&gt;=33,1,0)))))))</f>
        <v/>
      </c>
      <c r="AE609">
        <f>IF(G609&lt;33,0,IF(G609&gt;=80,5,IF(G609&gt;=70,4,IF(G609&gt;=60,3.5,IF(G609&gt;=50,3,IF(G609&gt;=40,2,IF(G609&gt;=33,1,0)))))))</f>
        <v/>
      </c>
      <c r="AF609">
        <f>IF(H609+I609&lt;66,0,IF((H609+I609)/2&gt;=80,5,IF((H609+I609)/2&gt;=70,4,IF((H609+I609)/2&gt;=60,3.5,IF((H609+I609)/2&gt;=50,3,IF((H609+I609)/2&gt;=40,2,IF((H609+I609)/2&gt;=33,1,0)))))))</f>
        <v/>
      </c>
      <c r="AG609">
        <f>IF(Y609,0,IF((J609+K609+L609+M609)/2&gt;=80,5,IF((J609+K609+L609+M609)/2&gt;=70,4,IF((J609+K609+L609+M609)/2&gt;=60,3.5,IF((J609+K609+L609+M609)/2&gt;=50,3,IF((J609+K609+L609+M609)/2&gt;=40,2,IF((J609+K609+L609+M609)/2&gt;=33,1,0)))))))</f>
        <v/>
      </c>
      <c r="AH609">
        <f>IF(Z609,0,IF(N609+O609&gt;=80,5,IF(N609+O609&gt;=70,4,IF(N609+O609&gt;=60,3.5,IF(N609+O609&gt;=50,3,IF(N609+O609&gt;=40,2,IF(N609+O609&gt;=33,1,0)))))))</f>
        <v/>
      </c>
      <c r="AI609">
        <f>IF(AA609,0,IF(P609+Q609&gt;=80,5,IF(P609+Q609&gt;=70,4,IF(P609+Q609&gt;=60,3.5,IF(P609+Q609&gt;=50,3,IF(P609+Q609&gt;=40,2,IF(P609+Q609&gt;=33,1,0)))))))</f>
        <v/>
      </c>
      <c r="AJ609">
        <f>IF(R609&lt;8.25,0,IF(R609*2&gt;=80,5,IF(R609*2&gt;=70,4,IF(R609*2&gt;=60,3.5,IF(R609*2&gt;=50,3,IF(R609*2&gt;=40,2,IF(R609*2&gt;=33,1,0)))))))</f>
        <v/>
      </c>
      <c r="AK609">
        <f>IF(S609&lt;33,0,IF(S609&gt;=80,5,IF(S609&gt;=70,4,IF(S609&gt;=60,3.5,IF(S609&gt;=50,3,IF(S609&gt;=40,2,IF(S609&gt;=33,1,0)))))))</f>
        <v/>
      </c>
      <c r="AL609">
        <f>(AC609+AD609+AE609+AF609+AG609+AH609+AI609+AJ609)/8</f>
        <v/>
      </c>
      <c r="AM609">
        <f>IF(AK609&gt;=2,(AK609-2)/8,0)</f>
        <v/>
      </c>
    </row>
    <row r="610">
      <c r="T610">
        <f>SUM(C610:R610)</f>
        <v/>
      </c>
      <c r="U610" s="6">
        <f>ROUND(T610/11.5,2)</f>
        <v/>
      </c>
      <c r="V610" s="7">
        <f>IF(B610="","",IF(AB610,0,ROUND(AL610,2)))</f>
        <v/>
      </c>
      <c r="W610" s="7">
        <f>IF(B610="","",IF(AB610,0,MIN(5,ROUND(AL610+AM610,2))))</f>
        <v/>
      </c>
      <c r="X610" s="8">
        <f>IF(B610="","",IF(W610&gt;=5,"A+",IF(W610&gt;=4,"A",IF(W610&gt;=3.5,"A-",IF(W610&gt;=3,"B",IF(W610&gt;=2,"C",IF(W610&gt;=1,"D","F")))))))</f>
        <v/>
      </c>
      <c r="Y610">
        <f>NOT(OR(AND(J610&gt;=10,K610&gt;=23,L610&gt;=10,M610&gt;=23),AND(J610+L610&gt;=20,K610+M610&gt;=46)))</f>
        <v/>
      </c>
      <c r="Z610">
        <f>OR(N610&lt;10,O610&lt;23)</f>
        <v/>
      </c>
      <c r="AA610">
        <f>OR(P610&lt;10,Q610&lt;23)</f>
        <v/>
      </c>
      <c r="AB610">
        <f>OR((C610+D610)&lt;66,(E610+F610)&lt;66,G610&lt;33,(H610+I610)&lt;66,Y610,Z610,AA610,R610&lt;8.25)</f>
        <v/>
      </c>
      <c r="AC610">
        <f>IF(C610+D610&lt;66,0,IF((C610+D610)/2&gt;=80,5,IF((C610+D610)/2&gt;=70,4,IF((C610+D610)/2&gt;=60,3.5,IF((C610+D610)/2&gt;=50,3,IF((C610+D610)/2&gt;=40,2,IF((C610+D610)/2&gt;=33,1,0)))))))</f>
        <v/>
      </c>
      <c r="AD610">
        <f>IF(E610+F610&lt;66,0,IF((E610+F610)/2&gt;=80,5,IF((E610+F610)/2&gt;=70,4,IF((E610+F610)/2&gt;=60,3.5,IF((E610+F610)/2&gt;=50,3,IF((E610+F610)/2&gt;=40,2,IF((E610+F610)/2&gt;=33,1,0)))))))</f>
        <v/>
      </c>
      <c r="AE610">
        <f>IF(G610&lt;33,0,IF(G610&gt;=80,5,IF(G610&gt;=70,4,IF(G610&gt;=60,3.5,IF(G610&gt;=50,3,IF(G610&gt;=40,2,IF(G610&gt;=33,1,0)))))))</f>
        <v/>
      </c>
      <c r="AF610">
        <f>IF(H610+I610&lt;66,0,IF((H610+I610)/2&gt;=80,5,IF((H610+I610)/2&gt;=70,4,IF((H610+I610)/2&gt;=60,3.5,IF((H610+I610)/2&gt;=50,3,IF((H610+I610)/2&gt;=40,2,IF((H610+I610)/2&gt;=33,1,0)))))))</f>
        <v/>
      </c>
      <c r="AG610">
        <f>IF(Y610,0,IF((J610+K610+L610+M610)/2&gt;=80,5,IF((J610+K610+L610+M610)/2&gt;=70,4,IF((J610+K610+L610+M610)/2&gt;=60,3.5,IF((J610+K610+L610+M610)/2&gt;=50,3,IF((J610+K610+L610+M610)/2&gt;=40,2,IF((J610+K610+L610+M610)/2&gt;=33,1,0)))))))</f>
        <v/>
      </c>
      <c r="AH610">
        <f>IF(Z610,0,IF(N610+O610&gt;=80,5,IF(N610+O610&gt;=70,4,IF(N610+O610&gt;=60,3.5,IF(N610+O610&gt;=50,3,IF(N610+O610&gt;=40,2,IF(N610+O610&gt;=33,1,0)))))))</f>
        <v/>
      </c>
      <c r="AI610">
        <f>IF(AA610,0,IF(P610+Q610&gt;=80,5,IF(P610+Q610&gt;=70,4,IF(P610+Q610&gt;=60,3.5,IF(P610+Q610&gt;=50,3,IF(P610+Q610&gt;=40,2,IF(P610+Q610&gt;=33,1,0)))))))</f>
        <v/>
      </c>
      <c r="AJ610">
        <f>IF(R610&lt;8.25,0,IF(R610*2&gt;=80,5,IF(R610*2&gt;=70,4,IF(R610*2&gt;=60,3.5,IF(R610*2&gt;=50,3,IF(R610*2&gt;=40,2,IF(R610*2&gt;=33,1,0)))))))</f>
        <v/>
      </c>
      <c r="AK610">
        <f>IF(S610&lt;33,0,IF(S610&gt;=80,5,IF(S610&gt;=70,4,IF(S610&gt;=60,3.5,IF(S610&gt;=50,3,IF(S610&gt;=40,2,IF(S610&gt;=33,1,0)))))))</f>
        <v/>
      </c>
      <c r="AL610">
        <f>(AC610+AD610+AE610+AF610+AG610+AH610+AI610+AJ610)/8</f>
        <v/>
      </c>
      <c r="AM610">
        <f>IF(AK610&gt;=2,(AK610-2)/8,0)</f>
        <v/>
      </c>
    </row>
    <row r="611">
      <c r="T611">
        <f>SUM(C611:R611)</f>
        <v/>
      </c>
      <c r="U611" s="6">
        <f>ROUND(T611/11.5,2)</f>
        <v/>
      </c>
      <c r="V611" s="7">
        <f>IF(B611="","",IF(AB611,0,ROUND(AL611,2)))</f>
        <v/>
      </c>
      <c r="W611" s="7">
        <f>IF(B611="","",IF(AB611,0,MIN(5,ROUND(AL611+AM611,2))))</f>
        <v/>
      </c>
      <c r="X611" s="8">
        <f>IF(B611="","",IF(W611&gt;=5,"A+",IF(W611&gt;=4,"A",IF(W611&gt;=3.5,"A-",IF(W611&gt;=3,"B",IF(W611&gt;=2,"C",IF(W611&gt;=1,"D","F")))))))</f>
        <v/>
      </c>
      <c r="Y611">
        <f>NOT(OR(AND(J611&gt;=10,K611&gt;=23,L611&gt;=10,M611&gt;=23),AND(J611+L611&gt;=20,K611+M611&gt;=46)))</f>
        <v/>
      </c>
      <c r="Z611">
        <f>OR(N611&lt;10,O611&lt;23)</f>
        <v/>
      </c>
      <c r="AA611">
        <f>OR(P611&lt;10,Q611&lt;23)</f>
        <v/>
      </c>
      <c r="AB611">
        <f>OR((C611+D611)&lt;66,(E611+F611)&lt;66,G611&lt;33,(H611+I611)&lt;66,Y611,Z611,AA611,R611&lt;8.25)</f>
        <v/>
      </c>
      <c r="AC611">
        <f>IF(C611+D611&lt;66,0,IF((C611+D611)/2&gt;=80,5,IF((C611+D611)/2&gt;=70,4,IF((C611+D611)/2&gt;=60,3.5,IF((C611+D611)/2&gt;=50,3,IF((C611+D611)/2&gt;=40,2,IF((C611+D611)/2&gt;=33,1,0)))))))</f>
        <v/>
      </c>
      <c r="AD611">
        <f>IF(E611+F611&lt;66,0,IF((E611+F611)/2&gt;=80,5,IF((E611+F611)/2&gt;=70,4,IF((E611+F611)/2&gt;=60,3.5,IF((E611+F611)/2&gt;=50,3,IF((E611+F611)/2&gt;=40,2,IF((E611+F611)/2&gt;=33,1,0)))))))</f>
        <v/>
      </c>
      <c r="AE611">
        <f>IF(G611&lt;33,0,IF(G611&gt;=80,5,IF(G611&gt;=70,4,IF(G611&gt;=60,3.5,IF(G611&gt;=50,3,IF(G611&gt;=40,2,IF(G611&gt;=33,1,0)))))))</f>
        <v/>
      </c>
      <c r="AF611">
        <f>IF(H611+I611&lt;66,0,IF((H611+I611)/2&gt;=80,5,IF((H611+I611)/2&gt;=70,4,IF((H611+I611)/2&gt;=60,3.5,IF((H611+I611)/2&gt;=50,3,IF((H611+I611)/2&gt;=40,2,IF((H611+I611)/2&gt;=33,1,0)))))))</f>
        <v/>
      </c>
      <c r="AG611">
        <f>IF(Y611,0,IF((J611+K611+L611+M611)/2&gt;=80,5,IF((J611+K611+L611+M611)/2&gt;=70,4,IF((J611+K611+L611+M611)/2&gt;=60,3.5,IF((J611+K611+L611+M611)/2&gt;=50,3,IF((J611+K611+L611+M611)/2&gt;=40,2,IF((J611+K611+L611+M611)/2&gt;=33,1,0)))))))</f>
        <v/>
      </c>
      <c r="AH611">
        <f>IF(Z611,0,IF(N611+O611&gt;=80,5,IF(N611+O611&gt;=70,4,IF(N611+O611&gt;=60,3.5,IF(N611+O611&gt;=50,3,IF(N611+O611&gt;=40,2,IF(N611+O611&gt;=33,1,0)))))))</f>
        <v/>
      </c>
      <c r="AI611">
        <f>IF(AA611,0,IF(P611+Q611&gt;=80,5,IF(P611+Q611&gt;=70,4,IF(P611+Q611&gt;=60,3.5,IF(P611+Q611&gt;=50,3,IF(P611+Q611&gt;=40,2,IF(P611+Q611&gt;=33,1,0)))))))</f>
        <v/>
      </c>
      <c r="AJ611">
        <f>IF(R611&lt;8.25,0,IF(R611*2&gt;=80,5,IF(R611*2&gt;=70,4,IF(R611*2&gt;=60,3.5,IF(R611*2&gt;=50,3,IF(R611*2&gt;=40,2,IF(R611*2&gt;=33,1,0)))))))</f>
        <v/>
      </c>
      <c r="AK611">
        <f>IF(S611&lt;33,0,IF(S611&gt;=80,5,IF(S611&gt;=70,4,IF(S611&gt;=60,3.5,IF(S611&gt;=50,3,IF(S611&gt;=40,2,IF(S611&gt;=33,1,0)))))))</f>
        <v/>
      </c>
      <c r="AL611">
        <f>(AC611+AD611+AE611+AF611+AG611+AH611+AI611+AJ611)/8</f>
        <v/>
      </c>
      <c r="AM611">
        <f>IF(AK611&gt;=2,(AK611-2)/8,0)</f>
        <v/>
      </c>
    </row>
    <row r="612">
      <c r="T612">
        <f>SUM(C612:R612)</f>
        <v/>
      </c>
      <c r="U612" s="6">
        <f>ROUND(T612/11.5,2)</f>
        <v/>
      </c>
      <c r="V612" s="7">
        <f>IF(B612="","",IF(AB612,0,ROUND(AL612,2)))</f>
        <v/>
      </c>
      <c r="W612" s="7">
        <f>IF(B612="","",IF(AB612,0,MIN(5,ROUND(AL612+AM612,2))))</f>
        <v/>
      </c>
      <c r="X612" s="8">
        <f>IF(B612="","",IF(W612&gt;=5,"A+",IF(W612&gt;=4,"A",IF(W612&gt;=3.5,"A-",IF(W612&gt;=3,"B",IF(W612&gt;=2,"C",IF(W612&gt;=1,"D","F")))))))</f>
        <v/>
      </c>
      <c r="Y612">
        <f>NOT(OR(AND(J612&gt;=10,K612&gt;=23,L612&gt;=10,M612&gt;=23),AND(J612+L612&gt;=20,K612+M612&gt;=46)))</f>
        <v/>
      </c>
      <c r="Z612">
        <f>OR(N612&lt;10,O612&lt;23)</f>
        <v/>
      </c>
      <c r="AA612">
        <f>OR(P612&lt;10,Q612&lt;23)</f>
        <v/>
      </c>
      <c r="AB612">
        <f>OR((C612+D612)&lt;66,(E612+F612)&lt;66,G612&lt;33,(H612+I612)&lt;66,Y612,Z612,AA612,R612&lt;8.25)</f>
        <v/>
      </c>
      <c r="AC612">
        <f>IF(C612+D612&lt;66,0,IF((C612+D612)/2&gt;=80,5,IF((C612+D612)/2&gt;=70,4,IF((C612+D612)/2&gt;=60,3.5,IF((C612+D612)/2&gt;=50,3,IF((C612+D612)/2&gt;=40,2,IF((C612+D612)/2&gt;=33,1,0)))))))</f>
        <v/>
      </c>
      <c r="AD612">
        <f>IF(E612+F612&lt;66,0,IF((E612+F612)/2&gt;=80,5,IF((E612+F612)/2&gt;=70,4,IF((E612+F612)/2&gt;=60,3.5,IF((E612+F612)/2&gt;=50,3,IF((E612+F612)/2&gt;=40,2,IF((E612+F612)/2&gt;=33,1,0)))))))</f>
        <v/>
      </c>
      <c r="AE612">
        <f>IF(G612&lt;33,0,IF(G612&gt;=80,5,IF(G612&gt;=70,4,IF(G612&gt;=60,3.5,IF(G612&gt;=50,3,IF(G612&gt;=40,2,IF(G612&gt;=33,1,0)))))))</f>
        <v/>
      </c>
      <c r="AF612">
        <f>IF(H612+I612&lt;66,0,IF((H612+I612)/2&gt;=80,5,IF((H612+I612)/2&gt;=70,4,IF((H612+I612)/2&gt;=60,3.5,IF((H612+I612)/2&gt;=50,3,IF((H612+I612)/2&gt;=40,2,IF((H612+I612)/2&gt;=33,1,0)))))))</f>
        <v/>
      </c>
      <c r="AG612">
        <f>IF(Y612,0,IF((J612+K612+L612+M612)/2&gt;=80,5,IF((J612+K612+L612+M612)/2&gt;=70,4,IF((J612+K612+L612+M612)/2&gt;=60,3.5,IF((J612+K612+L612+M612)/2&gt;=50,3,IF((J612+K612+L612+M612)/2&gt;=40,2,IF((J612+K612+L612+M612)/2&gt;=33,1,0)))))))</f>
        <v/>
      </c>
      <c r="AH612">
        <f>IF(Z612,0,IF(N612+O612&gt;=80,5,IF(N612+O612&gt;=70,4,IF(N612+O612&gt;=60,3.5,IF(N612+O612&gt;=50,3,IF(N612+O612&gt;=40,2,IF(N612+O612&gt;=33,1,0)))))))</f>
        <v/>
      </c>
      <c r="AI612">
        <f>IF(AA612,0,IF(P612+Q612&gt;=80,5,IF(P612+Q612&gt;=70,4,IF(P612+Q612&gt;=60,3.5,IF(P612+Q612&gt;=50,3,IF(P612+Q612&gt;=40,2,IF(P612+Q612&gt;=33,1,0)))))))</f>
        <v/>
      </c>
      <c r="AJ612">
        <f>IF(R612&lt;8.25,0,IF(R612*2&gt;=80,5,IF(R612*2&gt;=70,4,IF(R612*2&gt;=60,3.5,IF(R612*2&gt;=50,3,IF(R612*2&gt;=40,2,IF(R612*2&gt;=33,1,0)))))))</f>
        <v/>
      </c>
      <c r="AK612">
        <f>IF(S612&lt;33,0,IF(S612&gt;=80,5,IF(S612&gt;=70,4,IF(S612&gt;=60,3.5,IF(S612&gt;=50,3,IF(S612&gt;=40,2,IF(S612&gt;=33,1,0)))))))</f>
        <v/>
      </c>
      <c r="AL612">
        <f>(AC612+AD612+AE612+AF612+AG612+AH612+AI612+AJ612)/8</f>
        <v/>
      </c>
      <c r="AM612">
        <f>IF(AK612&gt;=2,(AK612-2)/8,0)</f>
        <v/>
      </c>
    </row>
    <row r="613">
      <c r="T613">
        <f>SUM(C613:R613)</f>
        <v/>
      </c>
      <c r="U613" s="6">
        <f>ROUND(T613/11.5,2)</f>
        <v/>
      </c>
      <c r="V613" s="7">
        <f>IF(B613="","",IF(AB613,0,ROUND(AL613,2)))</f>
        <v/>
      </c>
      <c r="W613" s="7">
        <f>IF(B613="","",IF(AB613,0,MIN(5,ROUND(AL613+AM613,2))))</f>
        <v/>
      </c>
      <c r="X613" s="8">
        <f>IF(B613="","",IF(W613&gt;=5,"A+",IF(W613&gt;=4,"A",IF(W613&gt;=3.5,"A-",IF(W613&gt;=3,"B",IF(W613&gt;=2,"C",IF(W613&gt;=1,"D","F")))))))</f>
        <v/>
      </c>
      <c r="Y613">
        <f>NOT(OR(AND(J613&gt;=10,K613&gt;=23,L613&gt;=10,M613&gt;=23),AND(J613+L613&gt;=20,K613+M613&gt;=46)))</f>
        <v/>
      </c>
      <c r="Z613">
        <f>OR(N613&lt;10,O613&lt;23)</f>
        <v/>
      </c>
      <c r="AA613">
        <f>OR(P613&lt;10,Q613&lt;23)</f>
        <v/>
      </c>
      <c r="AB613">
        <f>OR((C613+D613)&lt;66,(E613+F613)&lt;66,G613&lt;33,(H613+I613)&lt;66,Y613,Z613,AA613,R613&lt;8.25)</f>
        <v/>
      </c>
      <c r="AC613">
        <f>IF(C613+D613&lt;66,0,IF((C613+D613)/2&gt;=80,5,IF((C613+D613)/2&gt;=70,4,IF((C613+D613)/2&gt;=60,3.5,IF((C613+D613)/2&gt;=50,3,IF((C613+D613)/2&gt;=40,2,IF((C613+D613)/2&gt;=33,1,0)))))))</f>
        <v/>
      </c>
      <c r="AD613">
        <f>IF(E613+F613&lt;66,0,IF((E613+F613)/2&gt;=80,5,IF((E613+F613)/2&gt;=70,4,IF((E613+F613)/2&gt;=60,3.5,IF((E613+F613)/2&gt;=50,3,IF((E613+F613)/2&gt;=40,2,IF((E613+F613)/2&gt;=33,1,0)))))))</f>
        <v/>
      </c>
      <c r="AE613">
        <f>IF(G613&lt;33,0,IF(G613&gt;=80,5,IF(G613&gt;=70,4,IF(G613&gt;=60,3.5,IF(G613&gt;=50,3,IF(G613&gt;=40,2,IF(G613&gt;=33,1,0)))))))</f>
        <v/>
      </c>
      <c r="AF613">
        <f>IF(H613+I613&lt;66,0,IF((H613+I613)/2&gt;=80,5,IF((H613+I613)/2&gt;=70,4,IF((H613+I613)/2&gt;=60,3.5,IF((H613+I613)/2&gt;=50,3,IF((H613+I613)/2&gt;=40,2,IF((H613+I613)/2&gt;=33,1,0)))))))</f>
        <v/>
      </c>
      <c r="AG613">
        <f>IF(Y613,0,IF((J613+K613+L613+M613)/2&gt;=80,5,IF((J613+K613+L613+M613)/2&gt;=70,4,IF((J613+K613+L613+M613)/2&gt;=60,3.5,IF((J613+K613+L613+M613)/2&gt;=50,3,IF((J613+K613+L613+M613)/2&gt;=40,2,IF((J613+K613+L613+M613)/2&gt;=33,1,0)))))))</f>
        <v/>
      </c>
      <c r="AH613">
        <f>IF(Z613,0,IF(N613+O613&gt;=80,5,IF(N613+O613&gt;=70,4,IF(N613+O613&gt;=60,3.5,IF(N613+O613&gt;=50,3,IF(N613+O613&gt;=40,2,IF(N613+O613&gt;=33,1,0)))))))</f>
        <v/>
      </c>
      <c r="AI613">
        <f>IF(AA613,0,IF(P613+Q613&gt;=80,5,IF(P613+Q613&gt;=70,4,IF(P613+Q613&gt;=60,3.5,IF(P613+Q613&gt;=50,3,IF(P613+Q613&gt;=40,2,IF(P613+Q613&gt;=33,1,0)))))))</f>
        <v/>
      </c>
      <c r="AJ613">
        <f>IF(R613&lt;8.25,0,IF(R613*2&gt;=80,5,IF(R613*2&gt;=70,4,IF(R613*2&gt;=60,3.5,IF(R613*2&gt;=50,3,IF(R613*2&gt;=40,2,IF(R613*2&gt;=33,1,0)))))))</f>
        <v/>
      </c>
      <c r="AK613">
        <f>IF(S613&lt;33,0,IF(S613&gt;=80,5,IF(S613&gt;=70,4,IF(S613&gt;=60,3.5,IF(S613&gt;=50,3,IF(S613&gt;=40,2,IF(S613&gt;=33,1,0)))))))</f>
        <v/>
      </c>
      <c r="AL613">
        <f>(AC613+AD613+AE613+AF613+AG613+AH613+AI613+AJ613)/8</f>
        <v/>
      </c>
      <c r="AM613">
        <f>IF(AK613&gt;=2,(AK613-2)/8,0)</f>
        <v/>
      </c>
    </row>
    <row r="614">
      <c r="T614">
        <f>SUM(C614:R614)</f>
        <v/>
      </c>
      <c r="U614" s="6">
        <f>ROUND(T614/11.5,2)</f>
        <v/>
      </c>
      <c r="V614" s="7">
        <f>IF(B614="","",IF(AB614,0,ROUND(AL614,2)))</f>
        <v/>
      </c>
      <c r="W614" s="7">
        <f>IF(B614="","",IF(AB614,0,MIN(5,ROUND(AL614+AM614,2))))</f>
        <v/>
      </c>
      <c r="X614" s="8">
        <f>IF(B614="","",IF(W614&gt;=5,"A+",IF(W614&gt;=4,"A",IF(W614&gt;=3.5,"A-",IF(W614&gt;=3,"B",IF(W614&gt;=2,"C",IF(W614&gt;=1,"D","F")))))))</f>
        <v/>
      </c>
      <c r="Y614">
        <f>NOT(OR(AND(J614&gt;=10,K614&gt;=23,L614&gt;=10,M614&gt;=23),AND(J614+L614&gt;=20,K614+M614&gt;=46)))</f>
        <v/>
      </c>
      <c r="Z614">
        <f>OR(N614&lt;10,O614&lt;23)</f>
        <v/>
      </c>
      <c r="AA614">
        <f>OR(P614&lt;10,Q614&lt;23)</f>
        <v/>
      </c>
      <c r="AB614">
        <f>OR((C614+D614)&lt;66,(E614+F614)&lt;66,G614&lt;33,(H614+I614)&lt;66,Y614,Z614,AA614,R614&lt;8.25)</f>
        <v/>
      </c>
      <c r="AC614">
        <f>IF(C614+D614&lt;66,0,IF((C614+D614)/2&gt;=80,5,IF((C614+D614)/2&gt;=70,4,IF((C614+D614)/2&gt;=60,3.5,IF((C614+D614)/2&gt;=50,3,IF((C614+D614)/2&gt;=40,2,IF((C614+D614)/2&gt;=33,1,0)))))))</f>
        <v/>
      </c>
      <c r="AD614">
        <f>IF(E614+F614&lt;66,0,IF((E614+F614)/2&gt;=80,5,IF((E614+F614)/2&gt;=70,4,IF((E614+F614)/2&gt;=60,3.5,IF((E614+F614)/2&gt;=50,3,IF((E614+F614)/2&gt;=40,2,IF((E614+F614)/2&gt;=33,1,0)))))))</f>
        <v/>
      </c>
      <c r="AE614">
        <f>IF(G614&lt;33,0,IF(G614&gt;=80,5,IF(G614&gt;=70,4,IF(G614&gt;=60,3.5,IF(G614&gt;=50,3,IF(G614&gt;=40,2,IF(G614&gt;=33,1,0)))))))</f>
        <v/>
      </c>
      <c r="AF614">
        <f>IF(H614+I614&lt;66,0,IF((H614+I614)/2&gt;=80,5,IF((H614+I614)/2&gt;=70,4,IF((H614+I614)/2&gt;=60,3.5,IF((H614+I614)/2&gt;=50,3,IF((H614+I614)/2&gt;=40,2,IF((H614+I614)/2&gt;=33,1,0)))))))</f>
        <v/>
      </c>
      <c r="AG614">
        <f>IF(Y614,0,IF((J614+K614+L614+M614)/2&gt;=80,5,IF((J614+K614+L614+M614)/2&gt;=70,4,IF((J614+K614+L614+M614)/2&gt;=60,3.5,IF((J614+K614+L614+M614)/2&gt;=50,3,IF((J614+K614+L614+M614)/2&gt;=40,2,IF((J614+K614+L614+M614)/2&gt;=33,1,0)))))))</f>
        <v/>
      </c>
      <c r="AH614">
        <f>IF(Z614,0,IF(N614+O614&gt;=80,5,IF(N614+O614&gt;=70,4,IF(N614+O614&gt;=60,3.5,IF(N614+O614&gt;=50,3,IF(N614+O614&gt;=40,2,IF(N614+O614&gt;=33,1,0)))))))</f>
        <v/>
      </c>
      <c r="AI614">
        <f>IF(AA614,0,IF(P614+Q614&gt;=80,5,IF(P614+Q614&gt;=70,4,IF(P614+Q614&gt;=60,3.5,IF(P614+Q614&gt;=50,3,IF(P614+Q614&gt;=40,2,IF(P614+Q614&gt;=33,1,0)))))))</f>
        <v/>
      </c>
      <c r="AJ614">
        <f>IF(R614&lt;8.25,0,IF(R614*2&gt;=80,5,IF(R614*2&gt;=70,4,IF(R614*2&gt;=60,3.5,IF(R614*2&gt;=50,3,IF(R614*2&gt;=40,2,IF(R614*2&gt;=33,1,0)))))))</f>
        <v/>
      </c>
      <c r="AK614">
        <f>IF(S614&lt;33,0,IF(S614&gt;=80,5,IF(S614&gt;=70,4,IF(S614&gt;=60,3.5,IF(S614&gt;=50,3,IF(S614&gt;=40,2,IF(S614&gt;=33,1,0)))))))</f>
        <v/>
      </c>
      <c r="AL614">
        <f>(AC614+AD614+AE614+AF614+AG614+AH614+AI614+AJ614)/8</f>
        <v/>
      </c>
      <c r="AM614">
        <f>IF(AK614&gt;=2,(AK614-2)/8,0)</f>
        <v/>
      </c>
    </row>
    <row r="615">
      <c r="T615">
        <f>SUM(C615:R615)</f>
        <v/>
      </c>
      <c r="U615" s="6">
        <f>ROUND(T615/11.5,2)</f>
        <v/>
      </c>
      <c r="V615" s="7">
        <f>IF(B615="","",IF(AB615,0,ROUND(AL615,2)))</f>
        <v/>
      </c>
      <c r="W615" s="7">
        <f>IF(B615="","",IF(AB615,0,MIN(5,ROUND(AL615+AM615,2))))</f>
        <v/>
      </c>
      <c r="X615" s="8">
        <f>IF(B615="","",IF(W615&gt;=5,"A+",IF(W615&gt;=4,"A",IF(W615&gt;=3.5,"A-",IF(W615&gt;=3,"B",IF(W615&gt;=2,"C",IF(W615&gt;=1,"D","F")))))))</f>
        <v/>
      </c>
      <c r="Y615">
        <f>NOT(OR(AND(J615&gt;=10,K615&gt;=23,L615&gt;=10,M615&gt;=23),AND(J615+L615&gt;=20,K615+M615&gt;=46)))</f>
        <v/>
      </c>
      <c r="Z615">
        <f>OR(N615&lt;10,O615&lt;23)</f>
        <v/>
      </c>
      <c r="AA615">
        <f>OR(P615&lt;10,Q615&lt;23)</f>
        <v/>
      </c>
      <c r="AB615">
        <f>OR((C615+D615)&lt;66,(E615+F615)&lt;66,G615&lt;33,(H615+I615)&lt;66,Y615,Z615,AA615,R615&lt;8.25)</f>
        <v/>
      </c>
      <c r="AC615">
        <f>IF(C615+D615&lt;66,0,IF((C615+D615)/2&gt;=80,5,IF((C615+D615)/2&gt;=70,4,IF((C615+D615)/2&gt;=60,3.5,IF((C615+D615)/2&gt;=50,3,IF((C615+D615)/2&gt;=40,2,IF((C615+D615)/2&gt;=33,1,0)))))))</f>
        <v/>
      </c>
      <c r="AD615">
        <f>IF(E615+F615&lt;66,0,IF((E615+F615)/2&gt;=80,5,IF((E615+F615)/2&gt;=70,4,IF((E615+F615)/2&gt;=60,3.5,IF((E615+F615)/2&gt;=50,3,IF((E615+F615)/2&gt;=40,2,IF((E615+F615)/2&gt;=33,1,0)))))))</f>
        <v/>
      </c>
      <c r="AE615">
        <f>IF(G615&lt;33,0,IF(G615&gt;=80,5,IF(G615&gt;=70,4,IF(G615&gt;=60,3.5,IF(G615&gt;=50,3,IF(G615&gt;=40,2,IF(G615&gt;=33,1,0)))))))</f>
        <v/>
      </c>
      <c r="AF615">
        <f>IF(H615+I615&lt;66,0,IF((H615+I615)/2&gt;=80,5,IF((H615+I615)/2&gt;=70,4,IF((H615+I615)/2&gt;=60,3.5,IF((H615+I615)/2&gt;=50,3,IF((H615+I615)/2&gt;=40,2,IF((H615+I615)/2&gt;=33,1,0)))))))</f>
        <v/>
      </c>
      <c r="AG615">
        <f>IF(Y615,0,IF((J615+K615+L615+M615)/2&gt;=80,5,IF((J615+K615+L615+M615)/2&gt;=70,4,IF((J615+K615+L615+M615)/2&gt;=60,3.5,IF((J615+K615+L615+M615)/2&gt;=50,3,IF((J615+K615+L615+M615)/2&gt;=40,2,IF((J615+K615+L615+M615)/2&gt;=33,1,0)))))))</f>
        <v/>
      </c>
      <c r="AH615">
        <f>IF(Z615,0,IF(N615+O615&gt;=80,5,IF(N615+O615&gt;=70,4,IF(N615+O615&gt;=60,3.5,IF(N615+O615&gt;=50,3,IF(N615+O615&gt;=40,2,IF(N615+O615&gt;=33,1,0)))))))</f>
        <v/>
      </c>
      <c r="AI615">
        <f>IF(AA615,0,IF(P615+Q615&gt;=80,5,IF(P615+Q615&gt;=70,4,IF(P615+Q615&gt;=60,3.5,IF(P615+Q615&gt;=50,3,IF(P615+Q615&gt;=40,2,IF(P615+Q615&gt;=33,1,0)))))))</f>
        <v/>
      </c>
      <c r="AJ615">
        <f>IF(R615&lt;8.25,0,IF(R615*2&gt;=80,5,IF(R615*2&gt;=70,4,IF(R615*2&gt;=60,3.5,IF(R615*2&gt;=50,3,IF(R615*2&gt;=40,2,IF(R615*2&gt;=33,1,0)))))))</f>
        <v/>
      </c>
      <c r="AK615">
        <f>IF(S615&lt;33,0,IF(S615&gt;=80,5,IF(S615&gt;=70,4,IF(S615&gt;=60,3.5,IF(S615&gt;=50,3,IF(S615&gt;=40,2,IF(S615&gt;=33,1,0)))))))</f>
        <v/>
      </c>
      <c r="AL615">
        <f>(AC615+AD615+AE615+AF615+AG615+AH615+AI615+AJ615)/8</f>
        <v/>
      </c>
      <c r="AM615">
        <f>IF(AK615&gt;=2,(AK615-2)/8,0)</f>
        <v/>
      </c>
    </row>
    <row r="616">
      <c r="T616">
        <f>SUM(C616:R616)</f>
        <v/>
      </c>
      <c r="U616" s="6">
        <f>ROUND(T616/11.5,2)</f>
        <v/>
      </c>
      <c r="V616" s="7">
        <f>IF(B616="","",IF(AB616,0,ROUND(AL616,2)))</f>
        <v/>
      </c>
      <c r="W616" s="7">
        <f>IF(B616="","",IF(AB616,0,MIN(5,ROUND(AL616+AM616,2))))</f>
        <v/>
      </c>
      <c r="X616" s="8">
        <f>IF(B616="","",IF(W616&gt;=5,"A+",IF(W616&gt;=4,"A",IF(W616&gt;=3.5,"A-",IF(W616&gt;=3,"B",IF(W616&gt;=2,"C",IF(W616&gt;=1,"D","F")))))))</f>
        <v/>
      </c>
      <c r="Y616">
        <f>NOT(OR(AND(J616&gt;=10,K616&gt;=23,L616&gt;=10,M616&gt;=23),AND(J616+L616&gt;=20,K616+M616&gt;=46)))</f>
        <v/>
      </c>
      <c r="Z616">
        <f>OR(N616&lt;10,O616&lt;23)</f>
        <v/>
      </c>
      <c r="AA616">
        <f>OR(P616&lt;10,Q616&lt;23)</f>
        <v/>
      </c>
      <c r="AB616">
        <f>OR((C616+D616)&lt;66,(E616+F616)&lt;66,G616&lt;33,(H616+I616)&lt;66,Y616,Z616,AA616,R616&lt;8.25)</f>
        <v/>
      </c>
      <c r="AC616">
        <f>IF(C616+D616&lt;66,0,IF((C616+D616)/2&gt;=80,5,IF((C616+D616)/2&gt;=70,4,IF((C616+D616)/2&gt;=60,3.5,IF((C616+D616)/2&gt;=50,3,IF((C616+D616)/2&gt;=40,2,IF((C616+D616)/2&gt;=33,1,0)))))))</f>
        <v/>
      </c>
      <c r="AD616">
        <f>IF(E616+F616&lt;66,0,IF((E616+F616)/2&gt;=80,5,IF((E616+F616)/2&gt;=70,4,IF((E616+F616)/2&gt;=60,3.5,IF((E616+F616)/2&gt;=50,3,IF((E616+F616)/2&gt;=40,2,IF((E616+F616)/2&gt;=33,1,0)))))))</f>
        <v/>
      </c>
      <c r="AE616">
        <f>IF(G616&lt;33,0,IF(G616&gt;=80,5,IF(G616&gt;=70,4,IF(G616&gt;=60,3.5,IF(G616&gt;=50,3,IF(G616&gt;=40,2,IF(G616&gt;=33,1,0)))))))</f>
        <v/>
      </c>
      <c r="AF616">
        <f>IF(H616+I616&lt;66,0,IF((H616+I616)/2&gt;=80,5,IF((H616+I616)/2&gt;=70,4,IF((H616+I616)/2&gt;=60,3.5,IF((H616+I616)/2&gt;=50,3,IF((H616+I616)/2&gt;=40,2,IF((H616+I616)/2&gt;=33,1,0)))))))</f>
        <v/>
      </c>
      <c r="AG616">
        <f>IF(Y616,0,IF((J616+K616+L616+M616)/2&gt;=80,5,IF((J616+K616+L616+M616)/2&gt;=70,4,IF((J616+K616+L616+M616)/2&gt;=60,3.5,IF((J616+K616+L616+M616)/2&gt;=50,3,IF((J616+K616+L616+M616)/2&gt;=40,2,IF((J616+K616+L616+M616)/2&gt;=33,1,0)))))))</f>
        <v/>
      </c>
      <c r="AH616">
        <f>IF(Z616,0,IF(N616+O616&gt;=80,5,IF(N616+O616&gt;=70,4,IF(N616+O616&gt;=60,3.5,IF(N616+O616&gt;=50,3,IF(N616+O616&gt;=40,2,IF(N616+O616&gt;=33,1,0)))))))</f>
        <v/>
      </c>
      <c r="AI616">
        <f>IF(AA616,0,IF(P616+Q616&gt;=80,5,IF(P616+Q616&gt;=70,4,IF(P616+Q616&gt;=60,3.5,IF(P616+Q616&gt;=50,3,IF(P616+Q616&gt;=40,2,IF(P616+Q616&gt;=33,1,0)))))))</f>
        <v/>
      </c>
      <c r="AJ616">
        <f>IF(R616&lt;8.25,0,IF(R616*2&gt;=80,5,IF(R616*2&gt;=70,4,IF(R616*2&gt;=60,3.5,IF(R616*2&gt;=50,3,IF(R616*2&gt;=40,2,IF(R616*2&gt;=33,1,0)))))))</f>
        <v/>
      </c>
      <c r="AK616">
        <f>IF(S616&lt;33,0,IF(S616&gt;=80,5,IF(S616&gt;=70,4,IF(S616&gt;=60,3.5,IF(S616&gt;=50,3,IF(S616&gt;=40,2,IF(S616&gt;=33,1,0)))))))</f>
        <v/>
      </c>
      <c r="AL616">
        <f>(AC616+AD616+AE616+AF616+AG616+AH616+AI616+AJ616)/8</f>
        <v/>
      </c>
      <c r="AM616">
        <f>IF(AK616&gt;=2,(AK616-2)/8,0)</f>
        <v/>
      </c>
    </row>
    <row r="617">
      <c r="T617">
        <f>SUM(C617:R617)</f>
        <v/>
      </c>
      <c r="U617" s="6">
        <f>ROUND(T617/11.5,2)</f>
        <v/>
      </c>
      <c r="V617" s="7">
        <f>IF(B617="","",IF(AB617,0,ROUND(AL617,2)))</f>
        <v/>
      </c>
      <c r="W617" s="7">
        <f>IF(B617="","",IF(AB617,0,MIN(5,ROUND(AL617+AM617,2))))</f>
        <v/>
      </c>
      <c r="X617" s="8">
        <f>IF(B617="","",IF(W617&gt;=5,"A+",IF(W617&gt;=4,"A",IF(W617&gt;=3.5,"A-",IF(W617&gt;=3,"B",IF(W617&gt;=2,"C",IF(W617&gt;=1,"D","F")))))))</f>
        <v/>
      </c>
      <c r="Y617">
        <f>NOT(OR(AND(J617&gt;=10,K617&gt;=23,L617&gt;=10,M617&gt;=23),AND(J617+L617&gt;=20,K617+M617&gt;=46)))</f>
        <v/>
      </c>
      <c r="Z617">
        <f>OR(N617&lt;10,O617&lt;23)</f>
        <v/>
      </c>
      <c r="AA617">
        <f>OR(P617&lt;10,Q617&lt;23)</f>
        <v/>
      </c>
      <c r="AB617">
        <f>OR((C617+D617)&lt;66,(E617+F617)&lt;66,G617&lt;33,(H617+I617)&lt;66,Y617,Z617,AA617,R617&lt;8.25)</f>
        <v/>
      </c>
      <c r="AC617">
        <f>IF(C617+D617&lt;66,0,IF((C617+D617)/2&gt;=80,5,IF((C617+D617)/2&gt;=70,4,IF((C617+D617)/2&gt;=60,3.5,IF((C617+D617)/2&gt;=50,3,IF((C617+D617)/2&gt;=40,2,IF((C617+D617)/2&gt;=33,1,0)))))))</f>
        <v/>
      </c>
      <c r="AD617">
        <f>IF(E617+F617&lt;66,0,IF((E617+F617)/2&gt;=80,5,IF((E617+F617)/2&gt;=70,4,IF((E617+F617)/2&gt;=60,3.5,IF((E617+F617)/2&gt;=50,3,IF((E617+F617)/2&gt;=40,2,IF((E617+F617)/2&gt;=33,1,0)))))))</f>
        <v/>
      </c>
      <c r="AE617">
        <f>IF(G617&lt;33,0,IF(G617&gt;=80,5,IF(G617&gt;=70,4,IF(G617&gt;=60,3.5,IF(G617&gt;=50,3,IF(G617&gt;=40,2,IF(G617&gt;=33,1,0)))))))</f>
        <v/>
      </c>
      <c r="AF617">
        <f>IF(H617+I617&lt;66,0,IF((H617+I617)/2&gt;=80,5,IF((H617+I617)/2&gt;=70,4,IF((H617+I617)/2&gt;=60,3.5,IF((H617+I617)/2&gt;=50,3,IF((H617+I617)/2&gt;=40,2,IF((H617+I617)/2&gt;=33,1,0)))))))</f>
        <v/>
      </c>
      <c r="AG617">
        <f>IF(Y617,0,IF((J617+K617+L617+M617)/2&gt;=80,5,IF((J617+K617+L617+M617)/2&gt;=70,4,IF((J617+K617+L617+M617)/2&gt;=60,3.5,IF((J617+K617+L617+M617)/2&gt;=50,3,IF((J617+K617+L617+M617)/2&gt;=40,2,IF((J617+K617+L617+M617)/2&gt;=33,1,0)))))))</f>
        <v/>
      </c>
      <c r="AH617">
        <f>IF(Z617,0,IF(N617+O617&gt;=80,5,IF(N617+O617&gt;=70,4,IF(N617+O617&gt;=60,3.5,IF(N617+O617&gt;=50,3,IF(N617+O617&gt;=40,2,IF(N617+O617&gt;=33,1,0)))))))</f>
        <v/>
      </c>
      <c r="AI617">
        <f>IF(AA617,0,IF(P617+Q617&gt;=80,5,IF(P617+Q617&gt;=70,4,IF(P617+Q617&gt;=60,3.5,IF(P617+Q617&gt;=50,3,IF(P617+Q617&gt;=40,2,IF(P617+Q617&gt;=33,1,0)))))))</f>
        <v/>
      </c>
      <c r="AJ617">
        <f>IF(R617&lt;8.25,0,IF(R617*2&gt;=80,5,IF(R617*2&gt;=70,4,IF(R617*2&gt;=60,3.5,IF(R617*2&gt;=50,3,IF(R617*2&gt;=40,2,IF(R617*2&gt;=33,1,0)))))))</f>
        <v/>
      </c>
      <c r="AK617">
        <f>IF(S617&lt;33,0,IF(S617&gt;=80,5,IF(S617&gt;=70,4,IF(S617&gt;=60,3.5,IF(S617&gt;=50,3,IF(S617&gt;=40,2,IF(S617&gt;=33,1,0)))))))</f>
        <v/>
      </c>
      <c r="AL617">
        <f>(AC617+AD617+AE617+AF617+AG617+AH617+AI617+AJ617)/8</f>
        <v/>
      </c>
      <c r="AM617">
        <f>IF(AK617&gt;=2,(AK617-2)/8,0)</f>
        <v/>
      </c>
    </row>
    <row r="618">
      <c r="T618">
        <f>SUM(C618:R618)</f>
        <v/>
      </c>
      <c r="U618" s="6">
        <f>ROUND(T618/11.5,2)</f>
        <v/>
      </c>
      <c r="V618" s="7">
        <f>IF(B618="","",IF(AB618,0,ROUND(AL618,2)))</f>
        <v/>
      </c>
      <c r="W618" s="7">
        <f>IF(B618="","",IF(AB618,0,MIN(5,ROUND(AL618+AM618,2))))</f>
        <v/>
      </c>
      <c r="X618" s="8">
        <f>IF(B618="","",IF(W618&gt;=5,"A+",IF(W618&gt;=4,"A",IF(W618&gt;=3.5,"A-",IF(W618&gt;=3,"B",IF(W618&gt;=2,"C",IF(W618&gt;=1,"D","F")))))))</f>
        <v/>
      </c>
      <c r="Y618">
        <f>NOT(OR(AND(J618&gt;=10,K618&gt;=23,L618&gt;=10,M618&gt;=23),AND(J618+L618&gt;=20,K618+M618&gt;=46)))</f>
        <v/>
      </c>
      <c r="Z618">
        <f>OR(N618&lt;10,O618&lt;23)</f>
        <v/>
      </c>
      <c r="AA618">
        <f>OR(P618&lt;10,Q618&lt;23)</f>
        <v/>
      </c>
      <c r="AB618">
        <f>OR((C618+D618)&lt;66,(E618+F618)&lt;66,G618&lt;33,(H618+I618)&lt;66,Y618,Z618,AA618,R618&lt;8.25)</f>
        <v/>
      </c>
      <c r="AC618">
        <f>IF(C618+D618&lt;66,0,IF((C618+D618)/2&gt;=80,5,IF((C618+D618)/2&gt;=70,4,IF((C618+D618)/2&gt;=60,3.5,IF((C618+D618)/2&gt;=50,3,IF((C618+D618)/2&gt;=40,2,IF((C618+D618)/2&gt;=33,1,0)))))))</f>
        <v/>
      </c>
      <c r="AD618">
        <f>IF(E618+F618&lt;66,0,IF((E618+F618)/2&gt;=80,5,IF((E618+F618)/2&gt;=70,4,IF((E618+F618)/2&gt;=60,3.5,IF((E618+F618)/2&gt;=50,3,IF((E618+F618)/2&gt;=40,2,IF((E618+F618)/2&gt;=33,1,0)))))))</f>
        <v/>
      </c>
      <c r="AE618">
        <f>IF(G618&lt;33,0,IF(G618&gt;=80,5,IF(G618&gt;=70,4,IF(G618&gt;=60,3.5,IF(G618&gt;=50,3,IF(G618&gt;=40,2,IF(G618&gt;=33,1,0)))))))</f>
        <v/>
      </c>
      <c r="AF618">
        <f>IF(H618+I618&lt;66,0,IF((H618+I618)/2&gt;=80,5,IF((H618+I618)/2&gt;=70,4,IF((H618+I618)/2&gt;=60,3.5,IF((H618+I618)/2&gt;=50,3,IF((H618+I618)/2&gt;=40,2,IF((H618+I618)/2&gt;=33,1,0)))))))</f>
        <v/>
      </c>
      <c r="AG618">
        <f>IF(Y618,0,IF((J618+K618+L618+M618)/2&gt;=80,5,IF((J618+K618+L618+M618)/2&gt;=70,4,IF((J618+K618+L618+M618)/2&gt;=60,3.5,IF((J618+K618+L618+M618)/2&gt;=50,3,IF((J618+K618+L618+M618)/2&gt;=40,2,IF((J618+K618+L618+M618)/2&gt;=33,1,0)))))))</f>
        <v/>
      </c>
      <c r="AH618">
        <f>IF(Z618,0,IF(N618+O618&gt;=80,5,IF(N618+O618&gt;=70,4,IF(N618+O618&gt;=60,3.5,IF(N618+O618&gt;=50,3,IF(N618+O618&gt;=40,2,IF(N618+O618&gt;=33,1,0)))))))</f>
        <v/>
      </c>
      <c r="AI618">
        <f>IF(AA618,0,IF(P618+Q618&gt;=80,5,IF(P618+Q618&gt;=70,4,IF(P618+Q618&gt;=60,3.5,IF(P618+Q618&gt;=50,3,IF(P618+Q618&gt;=40,2,IF(P618+Q618&gt;=33,1,0)))))))</f>
        <v/>
      </c>
      <c r="AJ618">
        <f>IF(R618&lt;8.25,0,IF(R618*2&gt;=80,5,IF(R618*2&gt;=70,4,IF(R618*2&gt;=60,3.5,IF(R618*2&gt;=50,3,IF(R618*2&gt;=40,2,IF(R618*2&gt;=33,1,0)))))))</f>
        <v/>
      </c>
      <c r="AK618">
        <f>IF(S618&lt;33,0,IF(S618&gt;=80,5,IF(S618&gt;=70,4,IF(S618&gt;=60,3.5,IF(S618&gt;=50,3,IF(S618&gt;=40,2,IF(S618&gt;=33,1,0)))))))</f>
        <v/>
      </c>
      <c r="AL618">
        <f>(AC618+AD618+AE618+AF618+AG618+AH618+AI618+AJ618)/8</f>
        <v/>
      </c>
      <c r="AM618">
        <f>IF(AK618&gt;=2,(AK618-2)/8,0)</f>
        <v/>
      </c>
    </row>
    <row r="619">
      <c r="T619">
        <f>SUM(C619:R619)</f>
        <v/>
      </c>
      <c r="U619" s="6">
        <f>ROUND(T619/11.5,2)</f>
        <v/>
      </c>
      <c r="V619" s="7">
        <f>IF(B619="","",IF(AB619,0,ROUND(AL619,2)))</f>
        <v/>
      </c>
      <c r="W619" s="7">
        <f>IF(B619="","",IF(AB619,0,MIN(5,ROUND(AL619+AM619,2))))</f>
        <v/>
      </c>
      <c r="X619" s="8">
        <f>IF(B619="","",IF(W619&gt;=5,"A+",IF(W619&gt;=4,"A",IF(W619&gt;=3.5,"A-",IF(W619&gt;=3,"B",IF(W619&gt;=2,"C",IF(W619&gt;=1,"D","F")))))))</f>
        <v/>
      </c>
      <c r="Y619">
        <f>NOT(OR(AND(J619&gt;=10,K619&gt;=23,L619&gt;=10,M619&gt;=23),AND(J619+L619&gt;=20,K619+M619&gt;=46)))</f>
        <v/>
      </c>
      <c r="Z619">
        <f>OR(N619&lt;10,O619&lt;23)</f>
        <v/>
      </c>
      <c r="AA619">
        <f>OR(P619&lt;10,Q619&lt;23)</f>
        <v/>
      </c>
      <c r="AB619">
        <f>OR((C619+D619)&lt;66,(E619+F619)&lt;66,G619&lt;33,(H619+I619)&lt;66,Y619,Z619,AA619,R619&lt;8.25)</f>
        <v/>
      </c>
      <c r="AC619">
        <f>IF(C619+D619&lt;66,0,IF((C619+D619)/2&gt;=80,5,IF((C619+D619)/2&gt;=70,4,IF((C619+D619)/2&gt;=60,3.5,IF((C619+D619)/2&gt;=50,3,IF((C619+D619)/2&gt;=40,2,IF((C619+D619)/2&gt;=33,1,0)))))))</f>
        <v/>
      </c>
      <c r="AD619">
        <f>IF(E619+F619&lt;66,0,IF((E619+F619)/2&gt;=80,5,IF((E619+F619)/2&gt;=70,4,IF((E619+F619)/2&gt;=60,3.5,IF((E619+F619)/2&gt;=50,3,IF((E619+F619)/2&gt;=40,2,IF((E619+F619)/2&gt;=33,1,0)))))))</f>
        <v/>
      </c>
      <c r="AE619">
        <f>IF(G619&lt;33,0,IF(G619&gt;=80,5,IF(G619&gt;=70,4,IF(G619&gt;=60,3.5,IF(G619&gt;=50,3,IF(G619&gt;=40,2,IF(G619&gt;=33,1,0)))))))</f>
        <v/>
      </c>
      <c r="AF619">
        <f>IF(H619+I619&lt;66,0,IF((H619+I619)/2&gt;=80,5,IF((H619+I619)/2&gt;=70,4,IF((H619+I619)/2&gt;=60,3.5,IF((H619+I619)/2&gt;=50,3,IF((H619+I619)/2&gt;=40,2,IF((H619+I619)/2&gt;=33,1,0)))))))</f>
        <v/>
      </c>
      <c r="AG619">
        <f>IF(Y619,0,IF((J619+K619+L619+M619)/2&gt;=80,5,IF((J619+K619+L619+M619)/2&gt;=70,4,IF((J619+K619+L619+M619)/2&gt;=60,3.5,IF((J619+K619+L619+M619)/2&gt;=50,3,IF((J619+K619+L619+M619)/2&gt;=40,2,IF((J619+K619+L619+M619)/2&gt;=33,1,0)))))))</f>
        <v/>
      </c>
      <c r="AH619">
        <f>IF(Z619,0,IF(N619+O619&gt;=80,5,IF(N619+O619&gt;=70,4,IF(N619+O619&gt;=60,3.5,IF(N619+O619&gt;=50,3,IF(N619+O619&gt;=40,2,IF(N619+O619&gt;=33,1,0)))))))</f>
        <v/>
      </c>
      <c r="AI619">
        <f>IF(AA619,0,IF(P619+Q619&gt;=80,5,IF(P619+Q619&gt;=70,4,IF(P619+Q619&gt;=60,3.5,IF(P619+Q619&gt;=50,3,IF(P619+Q619&gt;=40,2,IF(P619+Q619&gt;=33,1,0)))))))</f>
        <v/>
      </c>
      <c r="AJ619">
        <f>IF(R619&lt;8.25,0,IF(R619*2&gt;=80,5,IF(R619*2&gt;=70,4,IF(R619*2&gt;=60,3.5,IF(R619*2&gt;=50,3,IF(R619*2&gt;=40,2,IF(R619*2&gt;=33,1,0)))))))</f>
        <v/>
      </c>
      <c r="AK619">
        <f>IF(S619&lt;33,0,IF(S619&gt;=80,5,IF(S619&gt;=70,4,IF(S619&gt;=60,3.5,IF(S619&gt;=50,3,IF(S619&gt;=40,2,IF(S619&gt;=33,1,0)))))))</f>
        <v/>
      </c>
      <c r="AL619">
        <f>(AC619+AD619+AE619+AF619+AG619+AH619+AI619+AJ619)/8</f>
        <v/>
      </c>
      <c r="AM619">
        <f>IF(AK619&gt;=2,(AK619-2)/8,0)</f>
        <v/>
      </c>
    </row>
    <row r="620">
      <c r="T620">
        <f>SUM(C620:R620)</f>
        <v/>
      </c>
      <c r="U620" s="6">
        <f>ROUND(T620/11.5,2)</f>
        <v/>
      </c>
      <c r="V620" s="7">
        <f>IF(B620="","",IF(AB620,0,ROUND(AL620,2)))</f>
        <v/>
      </c>
      <c r="W620" s="7">
        <f>IF(B620="","",IF(AB620,0,MIN(5,ROUND(AL620+AM620,2))))</f>
        <v/>
      </c>
      <c r="X620" s="8">
        <f>IF(B620="","",IF(W620&gt;=5,"A+",IF(W620&gt;=4,"A",IF(W620&gt;=3.5,"A-",IF(W620&gt;=3,"B",IF(W620&gt;=2,"C",IF(W620&gt;=1,"D","F")))))))</f>
        <v/>
      </c>
      <c r="Y620">
        <f>NOT(OR(AND(J620&gt;=10,K620&gt;=23,L620&gt;=10,M620&gt;=23),AND(J620+L620&gt;=20,K620+M620&gt;=46)))</f>
        <v/>
      </c>
      <c r="Z620">
        <f>OR(N620&lt;10,O620&lt;23)</f>
        <v/>
      </c>
      <c r="AA620">
        <f>OR(P620&lt;10,Q620&lt;23)</f>
        <v/>
      </c>
      <c r="AB620">
        <f>OR((C620+D620)&lt;66,(E620+F620)&lt;66,G620&lt;33,(H620+I620)&lt;66,Y620,Z620,AA620,R620&lt;8.25)</f>
        <v/>
      </c>
      <c r="AC620">
        <f>IF(C620+D620&lt;66,0,IF((C620+D620)/2&gt;=80,5,IF((C620+D620)/2&gt;=70,4,IF((C620+D620)/2&gt;=60,3.5,IF((C620+D620)/2&gt;=50,3,IF((C620+D620)/2&gt;=40,2,IF((C620+D620)/2&gt;=33,1,0)))))))</f>
        <v/>
      </c>
      <c r="AD620">
        <f>IF(E620+F620&lt;66,0,IF((E620+F620)/2&gt;=80,5,IF((E620+F620)/2&gt;=70,4,IF((E620+F620)/2&gt;=60,3.5,IF((E620+F620)/2&gt;=50,3,IF((E620+F620)/2&gt;=40,2,IF((E620+F620)/2&gt;=33,1,0)))))))</f>
        <v/>
      </c>
      <c r="AE620">
        <f>IF(G620&lt;33,0,IF(G620&gt;=80,5,IF(G620&gt;=70,4,IF(G620&gt;=60,3.5,IF(G620&gt;=50,3,IF(G620&gt;=40,2,IF(G620&gt;=33,1,0)))))))</f>
        <v/>
      </c>
      <c r="AF620">
        <f>IF(H620+I620&lt;66,0,IF((H620+I620)/2&gt;=80,5,IF((H620+I620)/2&gt;=70,4,IF((H620+I620)/2&gt;=60,3.5,IF((H620+I620)/2&gt;=50,3,IF((H620+I620)/2&gt;=40,2,IF((H620+I620)/2&gt;=33,1,0)))))))</f>
        <v/>
      </c>
      <c r="AG620">
        <f>IF(Y620,0,IF((J620+K620+L620+M620)/2&gt;=80,5,IF((J620+K620+L620+M620)/2&gt;=70,4,IF((J620+K620+L620+M620)/2&gt;=60,3.5,IF((J620+K620+L620+M620)/2&gt;=50,3,IF((J620+K620+L620+M620)/2&gt;=40,2,IF((J620+K620+L620+M620)/2&gt;=33,1,0)))))))</f>
        <v/>
      </c>
      <c r="AH620">
        <f>IF(Z620,0,IF(N620+O620&gt;=80,5,IF(N620+O620&gt;=70,4,IF(N620+O620&gt;=60,3.5,IF(N620+O620&gt;=50,3,IF(N620+O620&gt;=40,2,IF(N620+O620&gt;=33,1,0)))))))</f>
        <v/>
      </c>
      <c r="AI620">
        <f>IF(AA620,0,IF(P620+Q620&gt;=80,5,IF(P620+Q620&gt;=70,4,IF(P620+Q620&gt;=60,3.5,IF(P620+Q620&gt;=50,3,IF(P620+Q620&gt;=40,2,IF(P620+Q620&gt;=33,1,0)))))))</f>
        <v/>
      </c>
      <c r="AJ620">
        <f>IF(R620&lt;8.25,0,IF(R620*2&gt;=80,5,IF(R620*2&gt;=70,4,IF(R620*2&gt;=60,3.5,IF(R620*2&gt;=50,3,IF(R620*2&gt;=40,2,IF(R620*2&gt;=33,1,0)))))))</f>
        <v/>
      </c>
      <c r="AK620">
        <f>IF(S620&lt;33,0,IF(S620&gt;=80,5,IF(S620&gt;=70,4,IF(S620&gt;=60,3.5,IF(S620&gt;=50,3,IF(S620&gt;=40,2,IF(S620&gt;=33,1,0)))))))</f>
        <v/>
      </c>
      <c r="AL620">
        <f>(AC620+AD620+AE620+AF620+AG620+AH620+AI620+AJ620)/8</f>
        <v/>
      </c>
      <c r="AM620">
        <f>IF(AK620&gt;=2,(AK620-2)/8,0)</f>
        <v/>
      </c>
    </row>
    <row r="621">
      <c r="T621">
        <f>SUM(C621:R621)</f>
        <v/>
      </c>
      <c r="U621" s="6">
        <f>ROUND(T621/11.5,2)</f>
        <v/>
      </c>
      <c r="V621" s="7">
        <f>IF(B621="","",IF(AB621,0,ROUND(AL621,2)))</f>
        <v/>
      </c>
      <c r="W621" s="7">
        <f>IF(B621="","",IF(AB621,0,MIN(5,ROUND(AL621+AM621,2))))</f>
        <v/>
      </c>
      <c r="X621" s="8">
        <f>IF(B621="","",IF(W621&gt;=5,"A+",IF(W621&gt;=4,"A",IF(W621&gt;=3.5,"A-",IF(W621&gt;=3,"B",IF(W621&gt;=2,"C",IF(W621&gt;=1,"D","F")))))))</f>
        <v/>
      </c>
      <c r="Y621">
        <f>NOT(OR(AND(J621&gt;=10,K621&gt;=23,L621&gt;=10,M621&gt;=23),AND(J621+L621&gt;=20,K621+M621&gt;=46)))</f>
        <v/>
      </c>
      <c r="Z621">
        <f>OR(N621&lt;10,O621&lt;23)</f>
        <v/>
      </c>
      <c r="AA621">
        <f>OR(P621&lt;10,Q621&lt;23)</f>
        <v/>
      </c>
      <c r="AB621">
        <f>OR((C621+D621)&lt;66,(E621+F621)&lt;66,G621&lt;33,(H621+I621)&lt;66,Y621,Z621,AA621,R621&lt;8.25)</f>
        <v/>
      </c>
      <c r="AC621">
        <f>IF(C621+D621&lt;66,0,IF((C621+D621)/2&gt;=80,5,IF((C621+D621)/2&gt;=70,4,IF((C621+D621)/2&gt;=60,3.5,IF((C621+D621)/2&gt;=50,3,IF((C621+D621)/2&gt;=40,2,IF((C621+D621)/2&gt;=33,1,0)))))))</f>
        <v/>
      </c>
      <c r="AD621">
        <f>IF(E621+F621&lt;66,0,IF((E621+F621)/2&gt;=80,5,IF((E621+F621)/2&gt;=70,4,IF((E621+F621)/2&gt;=60,3.5,IF((E621+F621)/2&gt;=50,3,IF((E621+F621)/2&gt;=40,2,IF((E621+F621)/2&gt;=33,1,0)))))))</f>
        <v/>
      </c>
      <c r="AE621">
        <f>IF(G621&lt;33,0,IF(G621&gt;=80,5,IF(G621&gt;=70,4,IF(G621&gt;=60,3.5,IF(G621&gt;=50,3,IF(G621&gt;=40,2,IF(G621&gt;=33,1,0)))))))</f>
        <v/>
      </c>
      <c r="AF621">
        <f>IF(H621+I621&lt;66,0,IF((H621+I621)/2&gt;=80,5,IF((H621+I621)/2&gt;=70,4,IF((H621+I621)/2&gt;=60,3.5,IF((H621+I621)/2&gt;=50,3,IF((H621+I621)/2&gt;=40,2,IF((H621+I621)/2&gt;=33,1,0)))))))</f>
        <v/>
      </c>
      <c r="AG621">
        <f>IF(Y621,0,IF((J621+K621+L621+M621)/2&gt;=80,5,IF((J621+K621+L621+M621)/2&gt;=70,4,IF((J621+K621+L621+M621)/2&gt;=60,3.5,IF((J621+K621+L621+M621)/2&gt;=50,3,IF((J621+K621+L621+M621)/2&gt;=40,2,IF((J621+K621+L621+M621)/2&gt;=33,1,0)))))))</f>
        <v/>
      </c>
      <c r="AH621">
        <f>IF(Z621,0,IF(N621+O621&gt;=80,5,IF(N621+O621&gt;=70,4,IF(N621+O621&gt;=60,3.5,IF(N621+O621&gt;=50,3,IF(N621+O621&gt;=40,2,IF(N621+O621&gt;=33,1,0)))))))</f>
        <v/>
      </c>
      <c r="AI621">
        <f>IF(AA621,0,IF(P621+Q621&gt;=80,5,IF(P621+Q621&gt;=70,4,IF(P621+Q621&gt;=60,3.5,IF(P621+Q621&gt;=50,3,IF(P621+Q621&gt;=40,2,IF(P621+Q621&gt;=33,1,0)))))))</f>
        <v/>
      </c>
      <c r="AJ621">
        <f>IF(R621&lt;8.25,0,IF(R621*2&gt;=80,5,IF(R621*2&gt;=70,4,IF(R621*2&gt;=60,3.5,IF(R621*2&gt;=50,3,IF(R621*2&gt;=40,2,IF(R621*2&gt;=33,1,0)))))))</f>
        <v/>
      </c>
      <c r="AK621">
        <f>IF(S621&lt;33,0,IF(S621&gt;=80,5,IF(S621&gt;=70,4,IF(S621&gt;=60,3.5,IF(S621&gt;=50,3,IF(S621&gt;=40,2,IF(S621&gt;=33,1,0)))))))</f>
        <v/>
      </c>
      <c r="AL621">
        <f>(AC621+AD621+AE621+AF621+AG621+AH621+AI621+AJ621)/8</f>
        <v/>
      </c>
      <c r="AM621">
        <f>IF(AK621&gt;=2,(AK621-2)/8,0)</f>
        <v/>
      </c>
    </row>
    <row r="622">
      <c r="T622">
        <f>SUM(C622:R622)</f>
        <v/>
      </c>
      <c r="U622" s="6">
        <f>ROUND(T622/11.5,2)</f>
        <v/>
      </c>
      <c r="V622" s="7">
        <f>IF(B622="","",IF(AB622,0,ROUND(AL622,2)))</f>
        <v/>
      </c>
      <c r="W622" s="7">
        <f>IF(B622="","",IF(AB622,0,MIN(5,ROUND(AL622+AM622,2))))</f>
        <v/>
      </c>
      <c r="X622" s="8">
        <f>IF(B622="","",IF(W622&gt;=5,"A+",IF(W622&gt;=4,"A",IF(W622&gt;=3.5,"A-",IF(W622&gt;=3,"B",IF(W622&gt;=2,"C",IF(W622&gt;=1,"D","F")))))))</f>
        <v/>
      </c>
      <c r="Y622">
        <f>NOT(OR(AND(J622&gt;=10,K622&gt;=23,L622&gt;=10,M622&gt;=23),AND(J622+L622&gt;=20,K622+M622&gt;=46)))</f>
        <v/>
      </c>
      <c r="Z622">
        <f>OR(N622&lt;10,O622&lt;23)</f>
        <v/>
      </c>
      <c r="AA622">
        <f>OR(P622&lt;10,Q622&lt;23)</f>
        <v/>
      </c>
      <c r="AB622">
        <f>OR((C622+D622)&lt;66,(E622+F622)&lt;66,G622&lt;33,(H622+I622)&lt;66,Y622,Z622,AA622,R622&lt;8.25)</f>
        <v/>
      </c>
      <c r="AC622">
        <f>IF(C622+D622&lt;66,0,IF((C622+D622)/2&gt;=80,5,IF((C622+D622)/2&gt;=70,4,IF((C622+D622)/2&gt;=60,3.5,IF((C622+D622)/2&gt;=50,3,IF((C622+D622)/2&gt;=40,2,IF((C622+D622)/2&gt;=33,1,0)))))))</f>
        <v/>
      </c>
      <c r="AD622">
        <f>IF(E622+F622&lt;66,0,IF((E622+F622)/2&gt;=80,5,IF((E622+F622)/2&gt;=70,4,IF((E622+F622)/2&gt;=60,3.5,IF((E622+F622)/2&gt;=50,3,IF((E622+F622)/2&gt;=40,2,IF((E622+F622)/2&gt;=33,1,0)))))))</f>
        <v/>
      </c>
      <c r="AE622">
        <f>IF(G622&lt;33,0,IF(G622&gt;=80,5,IF(G622&gt;=70,4,IF(G622&gt;=60,3.5,IF(G622&gt;=50,3,IF(G622&gt;=40,2,IF(G622&gt;=33,1,0)))))))</f>
        <v/>
      </c>
      <c r="AF622">
        <f>IF(H622+I622&lt;66,0,IF((H622+I622)/2&gt;=80,5,IF((H622+I622)/2&gt;=70,4,IF((H622+I622)/2&gt;=60,3.5,IF((H622+I622)/2&gt;=50,3,IF((H622+I622)/2&gt;=40,2,IF((H622+I622)/2&gt;=33,1,0)))))))</f>
        <v/>
      </c>
      <c r="AG622">
        <f>IF(Y622,0,IF((J622+K622+L622+M622)/2&gt;=80,5,IF((J622+K622+L622+M622)/2&gt;=70,4,IF((J622+K622+L622+M622)/2&gt;=60,3.5,IF((J622+K622+L622+M622)/2&gt;=50,3,IF((J622+K622+L622+M622)/2&gt;=40,2,IF((J622+K622+L622+M622)/2&gt;=33,1,0)))))))</f>
        <v/>
      </c>
      <c r="AH622">
        <f>IF(Z622,0,IF(N622+O622&gt;=80,5,IF(N622+O622&gt;=70,4,IF(N622+O622&gt;=60,3.5,IF(N622+O622&gt;=50,3,IF(N622+O622&gt;=40,2,IF(N622+O622&gt;=33,1,0)))))))</f>
        <v/>
      </c>
      <c r="AI622">
        <f>IF(AA622,0,IF(P622+Q622&gt;=80,5,IF(P622+Q622&gt;=70,4,IF(P622+Q622&gt;=60,3.5,IF(P622+Q622&gt;=50,3,IF(P622+Q622&gt;=40,2,IF(P622+Q622&gt;=33,1,0)))))))</f>
        <v/>
      </c>
      <c r="AJ622">
        <f>IF(R622&lt;8.25,0,IF(R622*2&gt;=80,5,IF(R622*2&gt;=70,4,IF(R622*2&gt;=60,3.5,IF(R622*2&gt;=50,3,IF(R622*2&gt;=40,2,IF(R622*2&gt;=33,1,0)))))))</f>
        <v/>
      </c>
      <c r="AK622">
        <f>IF(S622&lt;33,0,IF(S622&gt;=80,5,IF(S622&gt;=70,4,IF(S622&gt;=60,3.5,IF(S622&gt;=50,3,IF(S622&gt;=40,2,IF(S622&gt;=33,1,0)))))))</f>
        <v/>
      </c>
      <c r="AL622">
        <f>(AC622+AD622+AE622+AF622+AG622+AH622+AI622+AJ622)/8</f>
        <v/>
      </c>
      <c r="AM622">
        <f>IF(AK622&gt;=2,(AK622-2)/8,0)</f>
        <v/>
      </c>
    </row>
    <row r="623">
      <c r="T623">
        <f>SUM(C623:R623)</f>
        <v/>
      </c>
      <c r="U623" s="6">
        <f>ROUND(T623/11.5,2)</f>
        <v/>
      </c>
      <c r="V623" s="7">
        <f>IF(B623="","",IF(AB623,0,ROUND(AL623,2)))</f>
        <v/>
      </c>
      <c r="W623" s="7">
        <f>IF(B623="","",IF(AB623,0,MIN(5,ROUND(AL623+AM623,2))))</f>
        <v/>
      </c>
      <c r="X623" s="8">
        <f>IF(B623="","",IF(W623&gt;=5,"A+",IF(W623&gt;=4,"A",IF(W623&gt;=3.5,"A-",IF(W623&gt;=3,"B",IF(W623&gt;=2,"C",IF(W623&gt;=1,"D","F")))))))</f>
        <v/>
      </c>
      <c r="Y623">
        <f>NOT(OR(AND(J623&gt;=10,K623&gt;=23,L623&gt;=10,M623&gt;=23),AND(J623+L623&gt;=20,K623+M623&gt;=46)))</f>
        <v/>
      </c>
      <c r="Z623">
        <f>OR(N623&lt;10,O623&lt;23)</f>
        <v/>
      </c>
      <c r="AA623">
        <f>OR(P623&lt;10,Q623&lt;23)</f>
        <v/>
      </c>
      <c r="AB623">
        <f>OR((C623+D623)&lt;66,(E623+F623)&lt;66,G623&lt;33,(H623+I623)&lt;66,Y623,Z623,AA623,R623&lt;8.25)</f>
        <v/>
      </c>
      <c r="AC623">
        <f>IF(C623+D623&lt;66,0,IF((C623+D623)/2&gt;=80,5,IF((C623+D623)/2&gt;=70,4,IF((C623+D623)/2&gt;=60,3.5,IF((C623+D623)/2&gt;=50,3,IF((C623+D623)/2&gt;=40,2,IF((C623+D623)/2&gt;=33,1,0)))))))</f>
        <v/>
      </c>
      <c r="AD623">
        <f>IF(E623+F623&lt;66,0,IF((E623+F623)/2&gt;=80,5,IF((E623+F623)/2&gt;=70,4,IF((E623+F623)/2&gt;=60,3.5,IF((E623+F623)/2&gt;=50,3,IF((E623+F623)/2&gt;=40,2,IF((E623+F623)/2&gt;=33,1,0)))))))</f>
        <v/>
      </c>
      <c r="AE623">
        <f>IF(G623&lt;33,0,IF(G623&gt;=80,5,IF(G623&gt;=70,4,IF(G623&gt;=60,3.5,IF(G623&gt;=50,3,IF(G623&gt;=40,2,IF(G623&gt;=33,1,0)))))))</f>
        <v/>
      </c>
      <c r="AF623">
        <f>IF(H623+I623&lt;66,0,IF((H623+I623)/2&gt;=80,5,IF((H623+I623)/2&gt;=70,4,IF((H623+I623)/2&gt;=60,3.5,IF((H623+I623)/2&gt;=50,3,IF((H623+I623)/2&gt;=40,2,IF((H623+I623)/2&gt;=33,1,0)))))))</f>
        <v/>
      </c>
      <c r="AG623">
        <f>IF(Y623,0,IF((J623+K623+L623+M623)/2&gt;=80,5,IF((J623+K623+L623+M623)/2&gt;=70,4,IF((J623+K623+L623+M623)/2&gt;=60,3.5,IF((J623+K623+L623+M623)/2&gt;=50,3,IF((J623+K623+L623+M623)/2&gt;=40,2,IF((J623+K623+L623+M623)/2&gt;=33,1,0)))))))</f>
        <v/>
      </c>
      <c r="AH623">
        <f>IF(Z623,0,IF(N623+O623&gt;=80,5,IF(N623+O623&gt;=70,4,IF(N623+O623&gt;=60,3.5,IF(N623+O623&gt;=50,3,IF(N623+O623&gt;=40,2,IF(N623+O623&gt;=33,1,0)))))))</f>
        <v/>
      </c>
      <c r="AI623">
        <f>IF(AA623,0,IF(P623+Q623&gt;=80,5,IF(P623+Q623&gt;=70,4,IF(P623+Q623&gt;=60,3.5,IF(P623+Q623&gt;=50,3,IF(P623+Q623&gt;=40,2,IF(P623+Q623&gt;=33,1,0)))))))</f>
        <v/>
      </c>
      <c r="AJ623">
        <f>IF(R623&lt;8.25,0,IF(R623*2&gt;=80,5,IF(R623*2&gt;=70,4,IF(R623*2&gt;=60,3.5,IF(R623*2&gt;=50,3,IF(R623*2&gt;=40,2,IF(R623*2&gt;=33,1,0)))))))</f>
        <v/>
      </c>
      <c r="AK623">
        <f>IF(S623&lt;33,0,IF(S623&gt;=80,5,IF(S623&gt;=70,4,IF(S623&gt;=60,3.5,IF(S623&gt;=50,3,IF(S623&gt;=40,2,IF(S623&gt;=33,1,0)))))))</f>
        <v/>
      </c>
      <c r="AL623">
        <f>(AC623+AD623+AE623+AF623+AG623+AH623+AI623+AJ623)/8</f>
        <v/>
      </c>
      <c r="AM623">
        <f>IF(AK623&gt;=2,(AK623-2)/8,0)</f>
        <v/>
      </c>
    </row>
    <row r="624">
      <c r="T624">
        <f>SUM(C624:R624)</f>
        <v/>
      </c>
      <c r="U624" s="6">
        <f>ROUND(T624/11.5,2)</f>
        <v/>
      </c>
      <c r="V624" s="7">
        <f>IF(B624="","",IF(AB624,0,ROUND(AL624,2)))</f>
        <v/>
      </c>
      <c r="W624" s="7">
        <f>IF(B624="","",IF(AB624,0,MIN(5,ROUND(AL624+AM624,2))))</f>
        <v/>
      </c>
      <c r="X624" s="8">
        <f>IF(B624="","",IF(W624&gt;=5,"A+",IF(W624&gt;=4,"A",IF(W624&gt;=3.5,"A-",IF(W624&gt;=3,"B",IF(W624&gt;=2,"C",IF(W624&gt;=1,"D","F")))))))</f>
        <v/>
      </c>
      <c r="Y624">
        <f>NOT(OR(AND(J624&gt;=10,K624&gt;=23,L624&gt;=10,M624&gt;=23),AND(J624+L624&gt;=20,K624+M624&gt;=46)))</f>
        <v/>
      </c>
      <c r="Z624">
        <f>OR(N624&lt;10,O624&lt;23)</f>
        <v/>
      </c>
      <c r="AA624">
        <f>OR(P624&lt;10,Q624&lt;23)</f>
        <v/>
      </c>
      <c r="AB624">
        <f>OR((C624+D624)&lt;66,(E624+F624)&lt;66,G624&lt;33,(H624+I624)&lt;66,Y624,Z624,AA624,R624&lt;8.25)</f>
        <v/>
      </c>
      <c r="AC624">
        <f>IF(C624+D624&lt;66,0,IF((C624+D624)/2&gt;=80,5,IF((C624+D624)/2&gt;=70,4,IF((C624+D624)/2&gt;=60,3.5,IF((C624+D624)/2&gt;=50,3,IF((C624+D624)/2&gt;=40,2,IF((C624+D624)/2&gt;=33,1,0)))))))</f>
        <v/>
      </c>
      <c r="AD624">
        <f>IF(E624+F624&lt;66,0,IF((E624+F624)/2&gt;=80,5,IF((E624+F624)/2&gt;=70,4,IF((E624+F624)/2&gt;=60,3.5,IF((E624+F624)/2&gt;=50,3,IF((E624+F624)/2&gt;=40,2,IF((E624+F624)/2&gt;=33,1,0)))))))</f>
        <v/>
      </c>
      <c r="AE624">
        <f>IF(G624&lt;33,0,IF(G624&gt;=80,5,IF(G624&gt;=70,4,IF(G624&gt;=60,3.5,IF(G624&gt;=50,3,IF(G624&gt;=40,2,IF(G624&gt;=33,1,0)))))))</f>
        <v/>
      </c>
      <c r="AF624">
        <f>IF(H624+I624&lt;66,0,IF((H624+I624)/2&gt;=80,5,IF((H624+I624)/2&gt;=70,4,IF((H624+I624)/2&gt;=60,3.5,IF((H624+I624)/2&gt;=50,3,IF((H624+I624)/2&gt;=40,2,IF((H624+I624)/2&gt;=33,1,0)))))))</f>
        <v/>
      </c>
      <c r="AG624">
        <f>IF(Y624,0,IF((J624+K624+L624+M624)/2&gt;=80,5,IF((J624+K624+L624+M624)/2&gt;=70,4,IF((J624+K624+L624+M624)/2&gt;=60,3.5,IF((J624+K624+L624+M624)/2&gt;=50,3,IF((J624+K624+L624+M624)/2&gt;=40,2,IF((J624+K624+L624+M624)/2&gt;=33,1,0)))))))</f>
        <v/>
      </c>
      <c r="AH624">
        <f>IF(Z624,0,IF(N624+O624&gt;=80,5,IF(N624+O624&gt;=70,4,IF(N624+O624&gt;=60,3.5,IF(N624+O624&gt;=50,3,IF(N624+O624&gt;=40,2,IF(N624+O624&gt;=33,1,0)))))))</f>
        <v/>
      </c>
      <c r="AI624">
        <f>IF(AA624,0,IF(P624+Q624&gt;=80,5,IF(P624+Q624&gt;=70,4,IF(P624+Q624&gt;=60,3.5,IF(P624+Q624&gt;=50,3,IF(P624+Q624&gt;=40,2,IF(P624+Q624&gt;=33,1,0)))))))</f>
        <v/>
      </c>
      <c r="AJ624">
        <f>IF(R624&lt;8.25,0,IF(R624*2&gt;=80,5,IF(R624*2&gt;=70,4,IF(R624*2&gt;=60,3.5,IF(R624*2&gt;=50,3,IF(R624*2&gt;=40,2,IF(R624*2&gt;=33,1,0)))))))</f>
        <v/>
      </c>
      <c r="AK624">
        <f>IF(S624&lt;33,0,IF(S624&gt;=80,5,IF(S624&gt;=70,4,IF(S624&gt;=60,3.5,IF(S624&gt;=50,3,IF(S624&gt;=40,2,IF(S624&gt;=33,1,0)))))))</f>
        <v/>
      </c>
      <c r="AL624">
        <f>(AC624+AD624+AE624+AF624+AG624+AH624+AI624+AJ624)/8</f>
        <v/>
      </c>
      <c r="AM624">
        <f>IF(AK624&gt;=2,(AK624-2)/8,0)</f>
        <v/>
      </c>
    </row>
    <row r="625">
      <c r="T625">
        <f>SUM(C625:R625)</f>
        <v/>
      </c>
      <c r="U625" s="6">
        <f>ROUND(T625/11.5,2)</f>
        <v/>
      </c>
      <c r="V625" s="7">
        <f>IF(B625="","",IF(AB625,0,ROUND(AL625,2)))</f>
        <v/>
      </c>
      <c r="W625" s="7">
        <f>IF(B625="","",IF(AB625,0,MIN(5,ROUND(AL625+AM625,2))))</f>
        <v/>
      </c>
      <c r="X625" s="8">
        <f>IF(B625="","",IF(W625&gt;=5,"A+",IF(W625&gt;=4,"A",IF(W625&gt;=3.5,"A-",IF(W625&gt;=3,"B",IF(W625&gt;=2,"C",IF(W625&gt;=1,"D","F")))))))</f>
        <v/>
      </c>
      <c r="Y625">
        <f>NOT(OR(AND(J625&gt;=10,K625&gt;=23,L625&gt;=10,M625&gt;=23),AND(J625+L625&gt;=20,K625+M625&gt;=46)))</f>
        <v/>
      </c>
      <c r="Z625">
        <f>OR(N625&lt;10,O625&lt;23)</f>
        <v/>
      </c>
      <c r="AA625">
        <f>OR(P625&lt;10,Q625&lt;23)</f>
        <v/>
      </c>
      <c r="AB625">
        <f>OR((C625+D625)&lt;66,(E625+F625)&lt;66,G625&lt;33,(H625+I625)&lt;66,Y625,Z625,AA625,R625&lt;8.25)</f>
        <v/>
      </c>
      <c r="AC625">
        <f>IF(C625+D625&lt;66,0,IF((C625+D625)/2&gt;=80,5,IF((C625+D625)/2&gt;=70,4,IF((C625+D625)/2&gt;=60,3.5,IF((C625+D625)/2&gt;=50,3,IF((C625+D625)/2&gt;=40,2,IF((C625+D625)/2&gt;=33,1,0)))))))</f>
        <v/>
      </c>
      <c r="AD625">
        <f>IF(E625+F625&lt;66,0,IF((E625+F625)/2&gt;=80,5,IF((E625+F625)/2&gt;=70,4,IF((E625+F625)/2&gt;=60,3.5,IF((E625+F625)/2&gt;=50,3,IF((E625+F625)/2&gt;=40,2,IF((E625+F625)/2&gt;=33,1,0)))))))</f>
        <v/>
      </c>
      <c r="AE625">
        <f>IF(G625&lt;33,0,IF(G625&gt;=80,5,IF(G625&gt;=70,4,IF(G625&gt;=60,3.5,IF(G625&gt;=50,3,IF(G625&gt;=40,2,IF(G625&gt;=33,1,0)))))))</f>
        <v/>
      </c>
      <c r="AF625">
        <f>IF(H625+I625&lt;66,0,IF((H625+I625)/2&gt;=80,5,IF((H625+I625)/2&gt;=70,4,IF((H625+I625)/2&gt;=60,3.5,IF((H625+I625)/2&gt;=50,3,IF((H625+I625)/2&gt;=40,2,IF((H625+I625)/2&gt;=33,1,0)))))))</f>
        <v/>
      </c>
      <c r="AG625">
        <f>IF(Y625,0,IF((J625+K625+L625+M625)/2&gt;=80,5,IF((J625+K625+L625+M625)/2&gt;=70,4,IF((J625+K625+L625+M625)/2&gt;=60,3.5,IF((J625+K625+L625+M625)/2&gt;=50,3,IF((J625+K625+L625+M625)/2&gt;=40,2,IF((J625+K625+L625+M625)/2&gt;=33,1,0)))))))</f>
        <v/>
      </c>
      <c r="AH625">
        <f>IF(Z625,0,IF(N625+O625&gt;=80,5,IF(N625+O625&gt;=70,4,IF(N625+O625&gt;=60,3.5,IF(N625+O625&gt;=50,3,IF(N625+O625&gt;=40,2,IF(N625+O625&gt;=33,1,0)))))))</f>
        <v/>
      </c>
      <c r="AI625">
        <f>IF(AA625,0,IF(P625+Q625&gt;=80,5,IF(P625+Q625&gt;=70,4,IF(P625+Q625&gt;=60,3.5,IF(P625+Q625&gt;=50,3,IF(P625+Q625&gt;=40,2,IF(P625+Q625&gt;=33,1,0)))))))</f>
        <v/>
      </c>
      <c r="AJ625">
        <f>IF(R625&lt;8.25,0,IF(R625*2&gt;=80,5,IF(R625*2&gt;=70,4,IF(R625*2&gt;=60,3.5,IF(R625*2&gt;=50,3,IF(R625*2&gt;=40,2,IF(R625*2&gt;=33,1,0)))))))</f>
        <v/>
      </c>
      <c r="AK625">
        <f>IF(S625&lt;33,0,IF(S625&gt;=80,5,IF(S625&gt;=70,4,IF(S625&gt;=60,3.5,IF(S625&gt;=50,3,IF(S625&gt;=40,2,IF(S625&gt;=33,1,0)))))))</f>
        <v/>
      </c>
      <c r="AL625">
        <f>(AC625+AD625+AE625+AF625+AG625+AH625+AI625+AJ625)/8</f>
        <v/>
      </c>
      <c r="AM625">
        <f>IF(AK625&gt;=2,(AK625-2)/8,0)</f>
        <v/>
      </c>
    </row>
    <row r="626">
      <c r="T626">
        <f>SUM(C626:R626)</f>
        <v/>
      </c>
      <c r="U626" s="6">
        <f>ROUND(T626/11.5,2)</f>
        <v/>
      </c>
      <c r="V626" s="7">
        <f>IF(B626="","",IF(AB626,0,ROUND(AL626,2)))</f>
        <v/>
      </c>
      <c r="W626" s="7">
        <f>IF(B626="","",IF(AB626,0,MIN(5,ROUND(AL626+AM626,2))))</f>
        <v/>
      </c>
      <c r="X626" s="8">
        <f>IF(B626="","",IF(W626&gt;=5,"A+",IF(W626&gt;=4,"A",IF(W626&gt;=3.5,"A-",IF(W626&gt;=3,"B",IF(W626&gt;=2,"C",IF(W626&gt;=1,"D","F")))))))</f>
        <v/>
      </c>
      <c r="Y626">
        <f>NOT(OR(AND(J626&gt;=10,K626&gt;=23,L626&gt;=10,M626&gt;=23),AND(J626+L626&gt;=20,K626+M626&gt;=46)))</f>
        <v/>
      </c>
      <c r="Z626">
        <f>OR(N626&lt;10,O626&lt;23)</f>
        <v/>
      </c>
      <c r="AA626">
        <f>OR(P626&lt;10,Q626&lt;23)</f>
        <v/>
      </c>
      <c r="AB626">
        <f>OR((C626+D626)&lt;66,(E626+F626)&lt;66,G626&lt;33,(H626+I626)&lt;66,Y626,Z626,AA626,R626&lt;8.25)</f>
        <v/>
      </c>
      <c r="AC626">
        <f>IF(C626+D626&lt;66,0,IF((C626+D626)/2&gt;=80,5,IF((C626+D626)/2&gt;=70,4,IF((C626+D626)/2&gt;=60,3.5,IF((C626+D626)/2&gt;=50,3,IF((C626+D626)/2&gt;=40,2,IF((C626+D626)/2&gt;=33,1,0)))))))</f>
        <v/>
      </c>
      <c r="AD626">
        <f>IF(E626+F626&lt;66,0,IF((E626+F626)/2&gt;=80,5,IF((E626+F626)/2&gt;=70,4,IF((E626+F626)/2&gt;=60,3.5,IF((E626+F626)/2&gt;=50,3,IF((E626+F626)/2&gt;=40,2,IF((E626+F626)/2&gt;=33,1,0)))))))</f>
        <v/>
      </c>
      <c r="AE626">
        <f>IF(G626&lt;33,0,IF(G626&gt;=80,5,IF(G626&gt;=70,4,IF(G626&gt;=60,3.5,IF(G626&gt;=50,3,IF(G626&gt;=40,2,IF(G626&gt;=33,1,0)))))))</f>
        <v/>
      </c>
      <c r="AF626">
        <f>IF(H626+I626&lt;66,0,IF((H626+I626)/2&gt;=80,5,IF((H626+I626)/2&gt;=70,4,IF((H626+I626)/2&gt;=60,3.5,IF((H626+I626)/2&gt;=50,3,IF((H626+I626)/2&gt;=40,2,IF((H626+I626)/2&gt;=33,1,0)))))))</f>
        <v/>
      </c>
      <c r="AG626">
        <f>IF(Y626,0,IF((J626+K626+L626+M626)/2&gt;=80,5,IF((J626+K626+L626+M626)/2&gt;=70,4,IF((J626+K626+L626+M626)/2&gt;=60,3.5,IF((J626+K626+L626+M626)/2&gt;=50,3,IF((J626+K626+L626+M626)/2&gt;=40,2,IF((J626+K626+L626+M626)/2&gt;=33,1,0)))))))</f>
        <v/>
      </c>
      <c r="AH626">
        <f>IF(Z626,0,IF(N626+O626&gt;=80,5,IF(N626+O626&gt;=70,4,IF(N626+O626&gt;=60,3.5,IF(N626+O626&gt;=50,3,IF(N626+O626&gt;=40,2,IF(N626+O626&gt;=33,1,0)))))))</f>
        <v/>
      </c>
      <c r="AI626">
        <f>IF(AA626,0,IF(P626+Q626&gt;=80,5,IF(P626+Q626&gt;=70,4,IF(P626+Q626&gt;=60,3.5,IF(P626+Q626&gt;=50,3,IF(P626+Q626&gt;=40,2,IF(P626+Q626&gt;=33,1,0)))))))</f>
        <v/>
      </c>
      <c r="AJ626">
        <f>IF(R626&lt;8.25,0,IF(R626*2&gt;=80,5,IF(R626*2&gt;=70,4,IF(R626*2&gt;=60,3.5,IF(R626*2&gt;=50,3,IF(R626*2&gt;=40,2,IF(R626*2&gt;=33,1,0)))))))</f>
        <v/>
      </c>
      <c r="AK626">
        <f>IF(S626&lt;33,0,IF(S626&gt;=80,5,IF(S626&gt;=70,4,IF(S626&gt;=60,3.5,IF(S626&gt;=50,3,IF(S626&gt;=40,2,IF(S626&gt;=33,1,0)))))))</f>
        <v/>
      </c>
      <c r="AL626">
        <f>(AC626+AD626+AE626+AF626+AG626+AH626+AI626+AJ626)/8</f>
        <v/>
      </c>
      <c r="AM626">
        <f>IF(AK626&gt;=2,(AK626-2)/8,0)</f>
        <v/>
      </c>
    </row>
    <row r="627">
      <c r="T627">
        <f>SUM(C627:R627)</f>
        <v/>
      </c>
      <c r="U627" s="6">
        <f>ROUND(T627/11.5,2)</f>
        <v/>
      </c>
      <c r="V627" s="7">
        <f>IF(B627="","",IF(AB627,0,ROUND(AL627,2)))</f>
        <v/>
      </c>
      <c r="W627" s="7">
        <f>IF(B627="","",IF(AB627,0,MIN(5,ROUND(AL627+AM627,2))))</f>
        <v/>
      </c>
      <c r="X627" s="8">
        <f>IF(B627="","",IF(W627&gt;=5,"A+",IF(W627&gt;=4,"A",IF(W627&gt;=3.5,"A-",IF(W627&gt;=3,"B",IF(W627&gt;=2,"C",IF(W627&gt;=1,"D","F")))))))</f>
        <v/>
      </c>
      <c r="Y627">
        <f>NOT(OR(AND(J627&gt;=10,K627&gt;=23,L627&gt;=10,M627&gt;=23),AND(J627+L627&gt;=20,K627+M627&gt;=46)))</f>
        <v/>
      </c>
      <c r="Z627">
        <f>OR(N627&lt;10,O627&lt;23)</f>
        <v/>
      </c>
      <c r="AA627">
        <f>OR(P627&lt;10,Q627&lt;23)</f>
        <v/>
      </c>
      <c r="AB627">
        <f>OR((C627+D627)&lt;66,(E627+F627)&lt;66,G627&lt;33,(H627+I627)&lt;66,Y627,Z627,AA627,R627&lt;8.25)</f>
        <v/>
      </c>
      <c r="AC627">
        <f>IF(C627+D627&lt;66,0,IF((C627+D627)/2&gt;=80,5,IF((C627+D627)/2&gt;=70,4,IF((C627+D627)/2&gt;=60,3.5,IF((C627+D627)/2&gt;=50,3,IF((C627+D627)/2&gt;=40,2,IF((C627+D627)/2&gt;=33,1,0)))))))</f>
        <v/>
      </c>
      <c r="AD627">
        <f>IF(E627+F627&lt;66,0,IF((E627+F627)/2&gt;=80,5,IF((E627+F627)/2&gt;=70,4,IF((E627+F627)/2&gt;=60,3.5,IF((E627+F627)/2&gt;=50,3,IF((E627+F627)/2&gt;=40,2,IF((E627+F627)/2&gt;=33,1,0)))))))</f>
        <v/>
      </c>
      <c r="AE627">
        <f>IF(G627&lt;33,0,IF(G627&gt;=80,5,IF(G627&gt;=70,4,IF(G627&gt;=60,3.5,IF(G627&gt;=50,3,IF(G627&gt;=40,2,IF(G627&gt;=33,1,0)))))))</f>
        <v/>
      </c>
      <c r="AF627">
        <f>IF(H627+I627&lt;66,0,IF((H627+I627)/2&gt;=80,5,IF((H627+I627)/2&gt;=70,4,IF((H627+I627)/2&gt;=60,3.5,IF((H627+I627)/2&gt;=50,3,IF((H627+I627)/2&gt;=40,2,IF((H627+I627)/2&gt;=33,1,0)))))))</f>
        <v/>
      </c>
      <c r="AG627">
        <f>IF(Y627,0,IF((J627+K627+L627+M627)/2&gt;=80,5,IF((J627+K627+L627+M627)/2&gt;=70,4,IF((J627+K627+L627+M627)/2&gt;=60,3.5,IF((J627+K627+L627+M627)/2&gt;=50,3,IF((J627+K627+L627+M627)/2&gt;=40,2,IF((J627+K627+L627+M627)/2&gt;=33,1,0)))))))</f>
        <v/>
      </c>
      <c r="AH627">
        <f>IF(Z627,0,IF(N627+O627&gt;=80,5,IF(N627+O627&gt;=70,4,IF(N627+O627&gt;=60,3.5,IF(N627+O627&gt;=50,3,IF(N627+O627&gt;=40,2,IF(N627+O627&gt;=33,1,0)))))))</f>
        <v/>
      </c>
      <c r="AI627">
        <f>IF(AA627,0,IF(P627+Q627&gt;=80,5,IF(P627+Q627&gt;=70,4,IF(P627+Q627&gt;=60,3.5,IF(P627+Q627&gt;=50,3,IF(P627+Q627&gt;=40,2,IF(P627+Q627&gt;=33,1,0)))))))</f>
        <v/>
      </c>
      <c r="AJ627">
        <f>IF(R627&lt;8.25,0,IF(R627*2&gt;=80,5,IF(R627*2&gt;=70,4,IF(R627*2&gt;=60,3.5,IF(R627*2&gt;=50,3,IF(R627*2&gt;=40,2,IF(R627*2&gt;=33,1,0)))))))</f>
        <v/>
      </c>
      <c r="AK627">
        <f>IF(S627&lt;33,0,IF(S627&gt;=80,5,IF(S627&gt;=70,4,IF(S627&gt;=60,3.5,IF(S627&gt;=50,3,IF(S627&gt;=40,2,IF(S627&gt;=33,1,0)))))))</f>
        <v/>
      </c>
      <c r="AL627">
        <f>(AC627+AD627+AE627+AF627+AG627+AH627+AI627+AJ627)/8</f>
        <v/>
      </c>
      <c r="AM627">
        <f>IF(AK627&gt;=2,(AK627-2)/8,0)</f>
        <v/>
      </c>
    </row>
    <row r="628">
      <c r="T628">
        <f>SUM(C628:R628)</f>
        <v/>
      </c>
      <c r="U628" s="6">
        <f>ROUND(T628/11.5,2)</f>
        <v/>
      </c>
      <c r="V628" s="7">
        <f>IF(B628="","",IF(AB628,0,ROUND(AL628,2)))</f>
        <v/>
      </c>
      <c r="W628" s="7">
        <f>IF(B628="","",IF(AB628,0,MIN(5,ROUND(AL628+AM628,2))))</f>
        <v/>
      </c>
      <c r="X628" s="8">
        <f>IF(B628="","",IF(W628&gt;=5,"A+",IF(W628&gt;=4,"A",IF(W628&gt;=3.5,"A-",IF(W628&gt;=3,"B",IF(W628&gt;=2,"C",IF(W628&gt;=1,"D","F")))))))</f>
        <v/>
      </c>
      <c r="Y628">
        <f>NOT(OR(AND(J628&gt;=10,K628&gt;=23,L628&gt;=10,M628&gt;=23),AND(J628+L628&gt;=20,K628+M628&gt;=46)))</f>
        <v/>
      </c>
      <c r="Z628">
        <f>OR(N628&lt;10,O628&lt;23)</f>
        <v/>
      </c>
      <c r="AA628">
        <f>OR(P628&lt;10,Q628&lt;23)</f>
        <v/>
      </c>
      <c r="AB628">
        <f>OR((C628+D628)&lt;66,(E628+F628)&lt;66,G628&lt;33,(H628+I628)&lt;66,Y628,Z628,AA628,R628&lt;8.25)</f>
        <v/>
      </c>
      <c r="AC628">
        <f>IF(C628+D628&lt;66,0,IF((C628+D628)/2&gt;=80,5,IF((C628+D628)/2&gt;=70,4,IF((C628+D628)/2&gt;=60,3.5,IF((C628+D628)/2&gt;=50,3,IF((C628+D628)/2&gt;=40,2,IF((C628+D628)/2&gt;=33,1,0)))))))</f>
        <v/>
      </c>
      <c r="AD628">
        <f>IF(E628+F628&lt;66,0,IF((E628+F628)/2&gt;=80,5,IF((E628+F628)/2&gt;=70,4,IF((E628+F628)/2&gt;=60,3.5,IF((E628+F628)/2&gt;=50,3,IF((E628+F628)/2&gt;=40,2,IF((E628+F628)/2&gt;=33,1,0)))))))</f>
        <v/>
      </c>
      <c r="AE628">
        <f>IF(G628&lt;33,0,IF(G628&gt;=80,5,IF(G628&gt;=70,4,IF(G628&gt;=60,3.5,IF(G628&gt;=50,3,IF(G628&gt;=40,2,IF(G628&gt;=33,1,0)))))))</f>
        <v/>
      </c>
      <c r="AF628">
        <f>IF(H628+I628&lt;66,0,IF((H628+I628)/2&gt;=80,5,IF((H628+I628)/2&gt;=70,4,IF((H628+I628)/2&gt;=60,3.5,IF((H628+I628)/2&gt;=50,3,IF((H628+I628)/2&gt;=40,2,IF((H628+I628)/2&gt;=33,1,0)))))))</f>
        <v/>
      </c>
      <c r="AG628">
        <f>IF(Y628,0,IF((J628+K628+L628+M628)/2&gt;=80,5,IF((J628+K628+L628+M628)/2&gt;=70,4,IF((J628+K628+L628+M628)/2&gt;=60,3.5,IF((J628+K628+L628+M628)/2&gt;=50,3,IF((J628+K628+L628+M628)/2&gt;=40,2,IF((J628+K628+L628+M628)/2&gt;=33,1,0)))))))</f>
        <v/>
      </c>
      <c r="AH628">
        <f>IF(Z628,0,IF(N628+O628&gt;=80,5,IF(N628+O628&gt;=70,4,IF(N628+O628&gt;=60,3.5,IF(N628+O628&gt;=50,3,IF(N628+O628&gt;=40,2,IF(N628+O628&gt;=33,1,0)))))))</f>
        <v/>
      </c>
      <c r="AI628">
        <f>IF(AA628,0,IF(P628+Q628&gt;=80,5,IF(P628+Q628&gt;=70,4,IF(P628+Q628&gt;=60,3.5,IF(P628+Q628&gt;=50,3,IF(P628+Q628&gt;=40,2,IF(P628+Q628&gt;=33,1,0)))))))</f>
        <v/>
      </c>
      <c r="AJ628">
        <f>IF(R628&lt;8.25,0,IF(R628*2&gt;=80,5,IF(R628*2&gt;=70,4,IF(R628*2&gt;=60,3.5,IF(R628*2&gt;=50,3,IF(R628*2&gt;=40,2,IF(R628*2&gt;=33,1,0)))))))</f>
        <v/>
      </c>
      <c r="AK628">
        <f>IF(S628&lt;33,0,IF(S628&gt;=80,5,IF(S628&gt;=70,4,IF(S628&gt;=60,3.5,IF(S628&gt;=50,3,IF(S628&gt;=40,2,IF(S628&gt;=33,1,0)))))))</f>
        <v/>
      </c>
      <c r="AL628">
        <f>(AC628+AD628+AE628+AF628+AG628+AH628+AI628+AJ628)/8</f>
        <v/>
      </c>
      <c r="AM628">
        <f>IF(AK628&gt;=2,(AK628-2)/8,0)</f>
        <v/>
      </c>
    </row>
    <row r="629">
      <c r="T629">
        <f>SUM(C629:R629)</f>
        <v/>
      </c>
      <c r="U629" s="6">
        <f>ROUND(T629/11.5,2)</f>
        <v/>
      </c>
      <c r="V629" s="7">
        <f>IF(B629="","",IF(AB629,0,ROUND(AL629,2)))</f>
        <v/>
      </c>
      <c r="W629" s="7">
        <f>IF(B629="","",IF(AB629,0,MIN(5,ROUND(AL629+AM629,2))))</f>
        <v/>
      </c>
      <c r="X629" s="8">
        <f>IF(B629="","",IF(W629&gt;=5,"A+",IF(W629&gt;=4,"A",IF(W629&gt;=3.5,"A-",IF(W629&gt;=3,"B",IF(W629&gt;=2,"C",IF(W629&gt;=1,"D","F")))))))</f>
        <v/>
      </c>
      <c r="Y629">
        <f>NOT(OR(AND(J629&gt;=10,K629&gt;=23,L629&gt;=10,M629&gt;=23),AND(J629+L629&gt;=20,K629+M629&gt;=46)))</f>
        <v/>
      </c>
      <c r="Z629">
        <f>OR(N629&lt;10,O629&lt;23)</f>
        <v/>
      </c>
      <c r="AA629">
        <f>OR(P629&lt;10,Q629&lt;23)</f>
        <v/>
      </c>
      <c r="AB629">
        <f>OR((C629+D629)&lt;66,(E629+F629)&lt;66,G629&lt;33,(H629+I629)&lt;66,Y629,Z629,AA629,R629&lt;8.25)</f>
        <v/>
      </c>
      <c r="AC629">
        <f>IF(C629+D629&lt;66,0,IF((C629+D629)/2&gt;=80,5,IF((C629+D629)/2&gt;=70,4,IF((C629+D629)/2&gt;=60,3.5,IF((C629+D629)/2&gt;=50,3,IF((C629+D629)/2&gt;=40,2,IF((C629+D629)/2&gt;=33,1,0)))))))</f>
        <v/>
      </c>
      <c r="AD629">
        <f>IF(E629+F629&lt;66,0,IF((E629+F629)/2&gt;=80,5,IF((E629+F629)/2&gt;=70,4,IF((E629+F629)/2&gt;=60,3.5,IF((E629+F629)/2&gt;=50,3,IF((E629+F629)/2&gt;=40,2,IF((E629+F629)/2&gt;=33,1,0)))))))</f>
        <v/>
      </c>
      <c r="AE629">
        <f>IF(G629&lt;33,0,IF(G629&gt;=80,5,IF(G629&gt;=70,4,IF(G629&gt;=60,3.5,IF(G629&gt;=50,3,IF(G629&gt;=40,2,IF(G629&gt;=33,1,0)))))))</f>
        <v/>
      </c>
      <c r="AF629">
        <f>IF(H629+I629&lt;66,0,IF((H629+I629)/2&gt;=80,5,IF((H629+I629)/2&gt;=70,4,IF((H629+I629)/2&gt;=60,3.5,IF((H629+I629)/2&gt;=50,3,IF((H629+I629)/2&gt;=40,2,IF((H629+I629)/2&gt;=33,1,0)))))))</f>
        <v/>
      </c>
      <c r="AG629">
        <f>IF(Y629,0,IF((J629+K629+L629+M629)/2&gt;=80,5,IF((J629+K629+L629+M629)/2&gt;=70,4,IF((J629+K629+L629+M629)/2&gt;=60,3.5,IF((J629+K629+L629+M629)/2&gt;=50,3,IF((J629+K629+L629+M629)/2&gt;=40,2,IF((J629+K629+L629+M629)/2&gt;=33,1,0)))))))</f>
        <v/>
      </c>
      <c r="AH629">
        <f>IF(Z629,0,IF(N629+O629&gt;=80,5,IF(N629+O629&gt;=70,4,IF(N629+O629&gt;=60,3.5,IF(N629+O629&gt;=50,3,IF(N629+O629&gt;=40,2,IF(N629+O629&gt;=33,1,0)))))))</f>
        <v/>
      </c>
      <c r="AI629">
        <f>IF(AA629,0,IF(P629+Q629&gt;=80,5,IF(P629+Q629&gt;=70,4,IF(P629+Q629&gt;=60,3.5,IF(P629+Q629&gt;=50,3,IF(P629+Q629&gt;=40,2,IF(P629+Q629&gt;=33,1,0)))))))</f>
        <v/>
      </c>
      <c r="AJ629">
        <f>IF(R629&lt;8.25,0,IF(R629*2&gt;=80,5,IF(R629*2&gt;=70,4,IF(R629*2&gt;=60,3.5,IF(R629*2&gt;=50,3,IF(R629*2&gt;=40,2,IF(R629*2&gt;=33,1,0)))))))</f>
        <v/>
      </c>
      <c r="AK629">
        <f>IF(S629&lt;33,0,IF(S629&gt;=80,5,IF(S629&gt;=70,4,IF(S629&gt;=60,3.5,IF(S629&gt;=50,3,IF(S629&gt;=40,2,IF(S629&gt;=33,1,0)))))))</f>
        <v/>
      </c>
      <c r="AL629">
        <f>(AC629+AD629+AE629+AF629+AG629+AH629+AI629+AJ629)/8</f>
        <v/>
      </c>
      <c r="AM629">
        <f>IF(AK629&gt;=2,(AK629-2)/8,0)</f>
        <v/>
      </c>
    </row>
    <row r="630">
      <c r="T630">
        <f>SUM(C630:R630)</f>
        <v/>
      </c>
      <c r="U630" s="6">
        <f>ROUND(T630/11.5,2)</f>
        <v/>
      </c>
      <c r="V630" s="7">
        <f>IF(B630="","",IF(AB630,0,ROUND(AL630,2)))</f>
        <v/>
      </c>
      <c r="W630" s="7">
        <f>IF(B630="","",IF(AB630,0,MIN(5,ROUND(AL630+AM630,2))))</f>
        <v/>
      </c>
      <c r="X630" s="8">
        <f>IF(B630="","",IF(W630&gt;=5,"A+",IF(W630&gt;=4,"A",IF(W630&gt;=3.5,"A-",IF(W630&gt;=3,"B",IF(W630&gt;=2,"C",IF(W630&gt;=1,"D","F")))))))</f>
        <v/>
      </c>
      <c r="Y630">
        <f>NOT(OR(AND(J630&gt;=10,K630&gt;=23,L630&gt;=10,M630&gt;=23),AND(J630+L630&gt;=20,K630+M630&gt;=46)))</f>
        <v/>
      </c>
      <c r="Z630">
        <f>OR(N630&lt;10,O630&lt;23)</f>
        <v/>
      </c>
      <c r="AA630">
        <f>OR(P630&lt;10,Q630&lt;23)</f>
        <v/>
      </c>
      <c r="AB630">
        <f>OR((C630+D630)&lt;66,(E630+F630)&lt;66,G630&lt;33,(H630+I630)&lt;66,Y630,Z630,AA630,R630&lt;8.25)</f>
        <v/>
      </c>
      <c r="AC630">
        <f>IF(C630+D630&lt;66,0,IF((C630+D630)/2&gt;=80,5,IF((C630+D630)/2&gt;=70,4,IF((C630+D630)/2&gt;=60,3.5,IF((C630+D630)/2&gt;=50,3,IF((C630+D630)/2&gt;=40,2,IF((C630+D630)/2&gt;=33,1,0)))))))</f>
        <v/>
      </c>
      <c r="AD630">
        <f>IF(E630+F630&lt;66,0,IF((E630+F630)/2&gt;=80,5,IF((E630+F630)/2&gt;=70,4,IF((E630+F630)/2&gt;=60,3.5,IF((E630+F630)/2&gt;=50,3,IF((E630+F630)/2&gt;=40,2,IF((E630+F630)/2&gt;=33,1,0)))))))</f>
        <v/>
      </c>
      <c r="AE630">
        <f>IF(G630&lt;33,0,IF(G630&gt;=80,5,IF(G630&gt;=70,4,IF(G630&gt;=60,3.5,IF(G630&gt;=50,3,IF(G630&gt;=40,2,IF(G630&gt;=33,1,0)))))))</f>
        <v/>
      </c>
      <c r="AF630">
        <f>IF(H630+I630&lt;66,0,IF((H630+I630)/2&gt;=80,5,IF((H630+I630)/2&gt;=70,4,IF((H630+I630)/2&gt;=60,3.5,IF((H630+I630)/2&gt;=50,3,IF((H630+I630)/2&gt;=40,2,IF((H630+I630)/2&gt;=33,1,0)))))))</f>
        <v/>
      </c>
      <c r="AG630">
        <f>IF(Y630,0,IF((J630+K630+L630+M630)/2&gt;=80,5,IF((J630+K630+L630+M630)/2&gt;=70,4,IF((J630+K630+L630+M630)/2&gt;=60,3.5,IF((J630+K630+L630+M630)/2&gt;=50,3,IF((J630+K630+L630+M630)/2&gt;=40,2,IF((J630+K630+L630+M630)/2&gt;=33,1,0)))))))</f>
        <v/>
      </c>
      <c r="AH630">
        <f>IF(Z630,0,IF(N630+O630&gt;=80,5,IF(N630+O630&gt;=70,4,IF(N630+O630&gt;=60,3.5,IF(N630+O630&gt;=50,3,IF(N630+O630&gt;=40,2,IF(N630+O630&gt;=33,1,0)))))))</f>
        <v/>
      </c>
      <c r="AI630">
        <f>IF(AA630,0,IF(P630+Q630&gt;=80,5,IF(P630+Q630&gt;=70,4,IF(P630+Q630&gt;=60,3.5,IF(P630+Q630&gt;=50,3,IF(P630+Q630&gt;=40,2,IF(P630+Q630&gt;=33,1,0)))))))</f>
        <v/>
      </c>
      <c r="AJ630">
        <f>IF(R630&lt;8.25,0,IF(R630*2&gt;=80,5,IF(R630*2&gt;=70,4,IF(R630*2&gt;=60,3.5,IF(R630*2&gt;=50,3,IF(R630*2&gt;=40,2,IF(R630*2&gt;=33,1,0)))))))</f>
        <v/>
      </c>
      <c r="AK630">
        <f>IF(S630&lt;33,0,IF(S630&gt;=80,5,IF(S630&gt;=70,4,IF(S630&gt;=60,3.5,IF(S630&gt;=50,3,IF(S630&gt;=40,2,IF(S630&gt;=33,1,0)))))))</f>
        <v/>
      </c>
      <c r="AL630">
        <f>(AC630+AD630+AE630+AF630+AG630+AH630+AI630+AJ630)/8</f>
        <v/>
      </c>
      <c r="AM630">
        <f>IF(AK630&gt;=2,(AK630-2)/8,0)</f>
        <v/>
      </c>
    </row>
    <row r="631">
      <c r="T631">
        <f>SUM(C631:R631)</f>
        <v/>
      </c>
      <c r="U631" s="6">
        <f>ROUND(T631/11.5,2)</f>
        <v/>
      </c>
      <c r="V631" s="7">
        <f>IF(B631="","",IF(AB631,0,ROUND(AL631,2)))</f>
        <v/>
      </c>
      <c r="W631" s="7">
        <f>IF(B631="","",IF(AB631,0,MIN(5,ROUND(AL631+AM631,2))))</f>
        <v/>
      </c>
      <c r="X631" s="8">
        <f>IF(B631="","",IF(W631&gt;=5,"A+",IF(W631&gt;=4,"A",IF(W631&gt;=3.5,"A-",IF(W631&gt;=3,"B",IF(W631&gt;=2,"C",IF(W631&gt;=1,"D","F")))))))</f>
        <v/>
      </c>
      <c r="Y631">
        <f>NOT(OR(AND(J631&gt;=10,K631&gt;=23,L631&gt;=10,M631&gt;=23),AND(J631+L631&gt;=20,K631+M631&gt;=46)))</f>
        <v/>
      </c>
      <c r="Z631">
        <f>OR(N631&lt;10,O631&lt;23)</f>
        <v/>
      </c>
      <c r="AA631">
        <f>OR(P631&lt;10,Q631&lt;23)</f>
        <v/>
      </c>
      <c r="AB631">
        <f>OR((C631+D631)&lt;66,(E631+F631)&lt;66,G631&lt;33,(H631+I631)&lt;66,Y631,Z631,AA631,R631&lt;8.25)</f>
        <v/>
      </c>
      <c r="AC631">
        <f>IF(C631+D631&lt;66,0,IF((C631+D631)/2&gt;=80,5,IF((C631+D631)/2&gt;=70,4,IF((C631+D631)/2&gt;=60,3.5,IF((C631+D631)/2&gt;=50,3,IF((C631+D631)/2&gt;=40,2,IF((C631+D631)/2&gt;=33,1,0)))))))</f>
        <v/>
      </c>
      <c r="AD631">
        <f>IF(E631+F631&lt;66,0,IF((E631+F631)/2&gt;=80,5,IF((E631+F631)/2&gt;=70,4,IF((E631+F631)/2&gt;=60,3.5,IF((E631+F631)/2&gt;=50,3,IF((E631+F631)/2&gt;=40,2,IF((E631+F631)/2&gt;=33,1,0)))))))</f>
        <v/>
      </c>
      <c r="AE631">
        <f>IF(G631&lt;33,0,IF(G631&gt;=80,5,IF(G631&gt;=70,4,IF(G631&gt;=60,3.5,IF(G631&gt;=50,3,IF(G631&gt;=40,2,IF(G631&gt;=33,1,0)))))))</f>
        <v/>
      </c>
      <c r="AF631">
        <f>IF(H631+I631&lt;66,0,IF((H631+I631)/2&gt;=80,5,IF((H631+I631)/2&gt;=70,4,IF((H631+I631)/2&gt;=60,3.5,IF((H631+I631)/2&gt;=50,3,IF((H631+I631)/2&gt;=40,2,IF((H631+I631)/2&gt;=33,1,0)))))))</f>
        <v/>
      </c>
      <c r="AG631">
        <f>IF(Y631,0,IF((J631+K631+L631+M631)/2&gt;=80,5,IF((J631+K631+L631+M631)/2&gt;=70,4,IF((J631+K631+L631+M631)/2&gt;=60,3.5,IF((J631+K631+L631+M631)/2&gt;=50,3,IF((J631+K631+L631+M631)/2&gt;=40,2,IF((J631+K631+L631+M631)/2&gt;=33,1,0)))))))</f>
        <v/>
      </c>
      <c r="AH631">
        <f>IF(Z631,0,IF(N631+O631&gt;=80,5,IF(N631+O631&gt;=70,4,IF(N631+O631&gt;=60,3.5,IF(N631+O631&gt;=50,3,IF(N631+O631&gt;=40,2,IF(N631+O631&gt;=33,1,0)))))))</f>
        <v/>
      </c>
      <c r="AI631">
        <f>IF(AA631,0,IF(P631+Q631&gt;=80,5,IF(P631+Q631&gt;=70,4,IF(P631+Q631&gt;=60,3.5,IF(P631+Q631&gt;=50,3,IF(P631+Q631&gt;=40,2,IF(P631+Q631&gt;=33,1,0)))))))</f>
        <v/>
      </c>
      <c r="AJ631">
        <f>IF(R631&lt;8.25,0,IF(R631*2&gt;=80,5,IF(R631*2&gt;=70,4,IF(R631*2&gt;=60,3.5,IF(R631*2&gt;=50,3,IF(R631*2&gt;=40,2,IF(R631*2&gt;=33,1,0)))))))</f>
        <v/>
      </c>
      <c r="AK631">
        <f>IF(S631&lt;33,0,IF(S631&gt;=80,5,IF(S631&gt;=70,4,IF(S631&gt;=60,3.5,IF(S631&gt;=50,3,IF(S631&gt;=40,2,IF(S631&gt;=33,1,0)))))))</f>
        <v/>
      </c>
      <c r="AL631">
        <f>(AC631+AD631+AE631+AF631+AG631+AH631+AI631+AJ631)/8</f>
        <v/>
      </c>
      <c r="AM631">
        <f>IF(AK631&gt;=2,(AK631-2)/8,0)</f>
        <v/>
      </c>
    </row>
    <row r="632">
      <c r="T632">
        <f>SUM(C632:R632)</f>
        <v/>
      </c>
      <c r="U632" s="6">
        <f>ROUND(T632/11.5,2)</f>
        <v/>
      </c>
      <c r="V632" s="7">
        <f>IF(B632="","",IF(AB632,0,ROUND(AL632,2)))</f>
        <v/>
      </c>
      <c r="W632" s="7">
        <f>IF(B632="","",IF(AB632,0,MIN(5,ROUND(AL632+AM632,2))))</f>
        <v/>
      </c>
      <c r="X632" s="8">
        <f>IF(B632="","",IF(W632&gt;=5,"A+",IF(W632&gt;=4,"A",IF(W632&gt;=3.5,"A-",IF(W632&gt;=3,"B",IF(W632&gt;=2,"C",IF(W632&gt;=1,"D","F")))))))</f>
        <v/>
      </c>
      <c r="Y632">
        <f>NOT(OR(AND(J632&gt;=10,K632&gt;=23,L632&gt;=10,M632&gt;=23),AND(J632+L632&gt;=20,K632+M632&gt;=46)))</f>
        <v/>
      </c>
      <c r="Z632">
        <f>OR(N632&lt;10,O632&lt;23)</f>
        <v/>
      </c>
      <c r="AA632">
        <f>OR(P632&lt;10,Q632&lt;23)</f>
        <v/>
      </c>
      <c r="AB632">
        <f>OR((C632+D632)&lt;66,(E632+F632)&lt;66,G632&lt;33,(H632+I632)&lt;66,Y632,Z632,AA632,R632&lt;8.25)</f>
        <v/>
      </c>
      <c r="AC632">
        <f>IF(C632+D632&lt;66,0,IF((C632+D632)/2&gt;=80,5,IF((C632+D632)/2&gt;=70,4,IF((C632+D632)/2&gt;=60,3.5,IF((C632+D632)/2&gt;=50,3,IF((C632+D632)/2&gt;=40,2,IF((C632+D632)/2&gt;=33,1,0)))))))</f>
        <v/>
      </c>
      <c r="AD632">
        <f>IF(E632+F632&lt;66,0,IF((E632+F632)/2&gt;=80,5,IF((E632+F632)/2&gt;=70,4,IF((E632+F632)/2&gt;=60,3.5,IF((E632+F632)/2&gt;=50,3,IF((E632+F632)/2&gt;=40,2,IF((E632+F632)/2&gt;=33,1,0)))))))</f>
        <v/>
      </c>
      <c r="AE632">
        <f>IF(G632&lt;33,0,IF(G632&gt;=80,5,IF(G632&gt;=70,4,IF(G632&gt;=60,3.5,IF(G632&gt;=50,3,IF(G632&gt;=40,2,IF(G632&gt;=33,1,0)))))))</f>
        <v/>
      </c>
      <c r="AF632">
        <f>IF(H632+I632&lt;66,0,IF((H632+I632)/2&gt;=80,5,IF((H632+I632)/2&gt;=70,4,IF((H632+I632)/2&gt;=60,3.5,IF((H632+I632)/2&gt;=50,3,IF((H632+I632)/2&gt;=40,2,IF((H632+I632)/2&gt;=33,1,0)))))))</f>
        <v/>
      </c>
      <c r="AG632">
        <f>IF(Y632,0,IF((J632+K632+L632+M632)/2&gt;=80,5,IF((J632+K632+L632+M632)/2&gt;=70,4,IF((J632+K632+L632+M632)/2&gt;=60,3.5,IF((J632+K632+L632+M632)/2&gt;=50,3,IF((J632+K632+L632+M632)/2&gt;=40,2,IF((J632+K632+L632+M632)/2&gt;=33,1,0)))))))</f>
        <v/>
      </c>
      <c r="AH632">
        <f>IF(Z632,0,IF(N632+O632&gt;=80,5,IF(N632+O632&gt;=70,4,IF(N632+O632&gt;=60,3.5,IF(N632+O632&gt;=50,3,IF(N632+O632&gt;=40,2,IF(N632+O632&gt;=33,1,0)))))))</f>
        <v/>
      </c>
      <c r="AI632">
        <f>IF(AA632,0,IF(P632+Q632&gt;=80,5,IF(P632+Q632&gt;=70,4,IF(P632+Q632&gt;=60,3.5,IF(P632+Q632&gt;=50,3,IF(P632+Q632&gt;=40,2,IF(P632+Q632&gt;=33,1,0)))))))</f>
        <v/>
      </c>
      <c r="AJ632">
        <f>IF(R632&lt;8.25,0,IF(R632*2&gt;=80,5,IF(R632*2&gt;=70,4,IF(R632*2&gt;=60,3.5,IF(R632*2&gt;=50,3,IF(R632*2&gt;=40,2,IF(R632*2&gt;=33,1,0)))))))</f>
        <v/>
      </c>
      <c r="AK632">
        <f>IF(S632&lt;33,0,IF(S632&gt;=80,5,IF(S632&gt;=70,4,IF(S632&gt;=60,3.5,IF(S632&gt;=50,3,IF(S632&gt;=40,2,IF(S632&gt;=33,1,0)))))))</f>
        <v/>
      </c>
      <c r="AL632">
        <f>(AC632+AD632+AE632+AF632+AG632+AH632+AI632+AJ632)/8</f>
        <v/>
      </c>
      <c r="AM632">
        <f>IF(AK632&gt;=2,(AK632-2)/8,0)</f>
        <v/>
      </c>
    </row>
    <row r="633">
      <c r="T633">
        <f>SUM(C633:R633)</f>
        <v/>
      </c>
      <c r="U633" s="6">
        <f>ROUND(T633/11.5,2)</f>
        <v/>
      </c>
      <c r="V633" s="7">
        <f>IF(B633="","",IF(AB633,0,ROUND(AL633,2)))</f>
        <v/>
      </c>
      <c r="W633" s="7">
        <f>IF(B633="","",IF(AB633,0,MIN(5,ROUND(AL633+AM633,2))))</f>
        <v/>
      </c>
      <c r="X633" s="8">
        <f>IF(B633="","",IF(W633&gt;=5,"A+",IF(W633&gt;=4,"A",IF(W633&gt;=3.5,"A-",IF(W633&gt;=3,"B",IF(W633&gt;=2,"C",IF(W633&gt;=1,"D","F")))))))</f>
        <v/>
      </c>
      <c r="Y633">
        <f>NOT(OR(AND(J633&gt;=10,K633&gt;=23,L633&gt;=10,M633&gt;=23),AND(J633+L633&gt;=20,K633+M633&gt;=46)))</f>
        <v/>
      </c>
      <c r="Z633">
        <f>OR(N633&lt;10,O633&lt;23)</f>
        <v/>
      </c>
      <c r="AA633">
        <f>OR(P633&lt;10,Q633&lt;23)</f>
        <v/>
      </c>
      <c r="AB633">
        <f>OR((C633+D633)&lt;66,(E633+F633)&lt;66,G633&lt;33,(H633+I633)&lt;66,Y633,Z633,AA633,R633&lt;8.25)</f>
        <v/>
      </c>
      <c r="AC633">
        <f>IF(C633+D633&lt;66,0,IF((C633+D633)/2&gt;=80,5,IF((C633+D633)/2&gt;=70,4,IF((C633+D633)/2&gt;=60,3.5,IF((C633+D633)/2&gt;=50,3,IF((C633+D633)/2&gt;=40,2,IF((C633+D633)/2&gt;=33,1,0)))))))</f>
        <v/>
      </c>
      <c r="AD633">
        <f>IF(E633+F633&lt;66,0,IF((E633+F633)/2&gt;=80,5,IF((E633+F633)/2&gt;=70,4,IF((E633+F633)/2&gt;=60,3.5,IF((E633+F633)/2&gt;=50,3,IF((E633+F633)/2&gt;=40,2,IF((E633+F633)/2&gt;=33,1,0)))))))</f>
        <v/>
      </c>
      <c r="AE633">
        <f>IF(G633&lt;33,0,IF(G633&gt;=80,5,IF(G633&gt;=70,4,IF(G633&gt;=60,3.5,IF(G633&gt;=50,3,IF(G633&gt;=40,2,IF(G633&gt;=33,1,0)))))))</f>
        <v/>
      </c>
      <c r="AF633">
        <f>IF(H633+I633&lt;66,0,IF((H633+I633)/2&gt;=80,5,IF((H633+I633)/2&gt;=70,4,IF((H633+I633)/2&gt;=60,3.5,IF((H633+I633)/2&gt;=50,3,IF((H633+I633)/2&gt;=40,2,IF((H633+I633)/2&gt;=33,1,0)))))))</f>
        <v/>
      </c>
      <c r="AG633">
        <f>IF(Y633,0,IF((J633+K633+L633+M633)/2&gt;=80,5,IF((J633+K633+L633+M633)/2&gt;=70,4,IF((J633+K633+L633+M633)/2&gt;=60,3.5,IF((J633+K633+L633+M633)/2&gt;=50,3,IF((J633+K633+L633+M633)/2&gt;=40,2,IF((J633+K633+L633+M633)/2&gt;=33,1,0)))))))</f>
        <v/>
      </c>
      <c r="AH633">
        <f>IF(Z633,0,IF(N633+O633&gt;=80,5,IF(N633+O633&gt;=70,4,IF(N633+O633&gt;=60,3.5,IF(N633+O633&gt;=50,3,IF(N633+O633&gt;=40,2,IF(N633+O633&gt;=33,1,0)))))))</f>
        <v/>
      </c>
      <c r="AI633">
        <f>IF(AA633,0,IF(P633+Q633&gt;=80,5,IF(P633+Q633&gt;=70,4,IF(P633+Q633&gt;=60,3.5,IF(P633+Q633&gt;=50,3,IF(P633+Q633&gt;=40,2,IF(P633+Q633&gt;=33,1,0)))))))</f>
        <v/>
      </c>
      <c r="AJ633">
        <f>IF(R633&lt;8.25,0,IF(R633*2&gt;=80,5,IF(R633*2&gt;=70,4,IF(R633*2&gt;=60,3.5,IF(R633*2&gt;=50,3,IF(R633*2&gt;=40,2,IF(R633*2&gt;=33,1,0)))))))</f>
        <v/>
      </c>
      <c r="AK633">
        <f>IF(S633&lt;33,0,IF(S633&gt;=80,5,IF(S633&gt;=70,4,IF(S633&gt;=60,3.5,IF(S633&gt;=50,3,IF(S633&gt;=40,2,IF(S633&gt;=33,1,0)))))))</f>
        <v/>
      </c>
      <c r="AL633">
        <f>(AC633+AD633+AE633+AF633+AG633+AH633+AI633+AJ633)/8</f>
        <v/>
      </c>
      <c r="AM633">
        <f>IF(AK633&gt;=2,(AK633-2)/8,0)</f>
        <v/>
      </c>
    </row>
    <row r="634">
      <c r="T634">
        <f>SUM(C634:R634)</f>
        <v/>
      </c>
      <c r="U634" s="6">
        <f>ROUND(T634/11.5,2)</f>
        <v/>
      </c>
      <c r="V634" s="7">
        <f>IF(B634="","",IF(AB634,0,ROUND(AL634,2)))</f>
        <v/>
      </c>
      <c r="W634" s="7">
        <f>IF(B634="","",IF(AB634,0,MIN(5,ROUND(AL634+AM634,2))))</f>
        <v/>
      </c>
      <c r="X634" s="8">
        <f>IF(B634="","",IF(W634&gt;=5,"A+",IF(W634&gt;=4,"A",IF(W634&gt;=3.5,"A-",IF(W634&gt;=3,"B",IF(W634&gt;=2,"C",IF(W634&gt;=1,"D","F")))))))</f>
        <v/>
      </c>
      <c r="Y634">
        <f>NOT(OR(AND(J634&gt;=10,K634&gt;=23,L634&gt;=10,M634&gt;=23),AND(J634+L634&gt;=20,K634+M634&gt;=46)))</f>
        <v/>
      </c>
      <c r="Z634">
        <f>OR(N634&lt;10,O634&lt;23)</f>
        <v/>
      </c>
      <c r="AA634">
        <f>OR(P634&lt;10,Q634&lt;23)</f>
        <v/>
      </c>
      <c r="AB634">
        <f>OR((C634+D634)&lt;66,(E634+F634)&lt;66,G634&lt;33,(H634+I634)&lt;66,Y634,Z634,AA634,R634&lt;8.25)</f>
        <v/>
      </c>
      <c r="AC634">
        <f>IF(C634+D634&lt;66,0,IF((C634+D634)/2&gt;=80,5,IF((C634+D634)/2&gt;=70,4,IF((C634+D634)/2&gt;=60,3.5,IF((C634+D634)/2&gt;=50,3,IF((C634+D634)/2&gt;=40,2,IF((C634+D634)/2&gt;=33,1,0)))))))</f>
        <v/>
      </c>
      <c r="AD634">
        <f>IF(E634+F634&lt;66,0,IF((E634+F634)/2&gt;=80,5,IF((E634+F634)/2&gt;=70,4,IF((E634+F634)/2&gt;=60,3.5,IF((E634+F634)/2&gt;=50,3,IF((E634+F634)/2&gt;=40,2,IF((E634+F634)/2&gt;=33,1,0)))))))</f>
        <v/>
      </c>
      <c r="AE634">
        <f>IF(G634&lt;33,0,IF(G634&gt;=80,5,IF(G634&gt;=70,4,IF(G634&gt;=60,3.5,IF(G634&gt;=50,3,IF(G634&gt;=40,2,IF(G634&gt;=33,1,0)))))))</f>
        <v/>
      </c>
      <c r="AF634">
        <f>IF(H634+I634&lt;66,0,IF((H634+I634)/2&gt;=80,5,IF((H634+I634)/2&gt;=70,4,IF((H634+I634)/2&gt;=60,3.5,IF((H634+I634)/2&gt;=50,3,IF((H634+I634)/2&gt;=40,2,IF((H634+I634)/2&gt;=33,1,0)))))))</f>
        <v/>
      </c>
      <c r="AG634">
        <f>IF(Y634,0,IF((J634+K634+L634+M634)/2&gt;=80,5,IF((J634+K634+L634+M634)/2&gt;=70,4,IF((J634+K634+L634+M634)/2&gt;=60,3.5,IF((J634+K634+L634+M634)/2&gt;=50,3,IF((J634+K634+L634+M634)/2&gt;=40,2,IF((J634+K634+L634+M634)/2&gt;=33,1,0)))))))</f>
        <v/>
      </c>
      <c r="AH634">
        <f>IF(Z634,0,IF(N634+O634&gt;=80,5,IF(N634+O634&gt;=70,4,IF(N634+O634&gt;=60,3.5,IF(N634+O634&gt;=50,3,IF(N634+O634&gt;=40,2,IF(N634+O634&gt;=33,1,0)))))))</f>
        <v/>
      </c>
      <c r="AI634">
        <f>IF(AA634,0,IF(P634+Q634&gt;=80,5,IF(P634+Q634&gt;=70,4,IF(P634+Q634&gt;=60,3.5,IF(P634+Q634&gt;=50,3,IF(P634+Q634&gt;=40,2,IF(P634+Q634&gt;=33,1,0)))))))</f>
        <v/>
      </c>
      <c r="AJ634">
        <f>IF(R634&lt;8.25,0,IF(R634*2&gt;=80,5,IF(R634*2&gt;=70,4,IF(R634*2&gt;=60,3.5,IF(R634*2&gt;=50,3,IF(R634*2&gt;=40,2,IF(R634*2&gt;=33,1,0)))))))</f>
        <v/>
      </c>
      <c r="AK634">
        <f>IF(S634&lt;33,0,IF(S634&gt;=80,5,IF(S634&gt;=70,4,IF(S634&gt;=60,3.5,IF(S634&gt;=50,3,IF(S634&gt;=40,2,IF(S634&gt;=33,1,0)))))))</f>
        <v/>
      </c>
      <c r="AL634">
        <f>(AC634+AD634+AE634+AF634+AG634+AH634+AI634+AJ634)/8</f>
        <v/>
      </c>
      <c r="AM634">
        <f>IF(AK634&gt;=2,(AK634-2)/8,0)</f>
        <v/>
      </c>
    </row>
    <row r="635">
      <c r="T635">
        <f>SUM(C635:R635)</f>
        <v/>
      </c>
      <c r="U635" s="6">
        <f>ROUND(T635/11.5,2)</f>
        <v/>
      </c>
      <c r="V635" s="7">
        <f>IF(B635="","",IF(AB635,0,ROUND(AL635,2)))</f>
        <v/>
      </c>
      <c r="W635" s="7">
        <f>IF(B635="","",IF(AB635,0,MIN(5,ROUND(AL635+AM635,2))))</f>
        <v/>
      </c>
      <c r="X635" s="8">
        <f>IF(B635="","",IF(W635&gt;=5,"A+",IF(W635&gt;=4,"A",IF(W635&gt;=3.5,"A-",IF(W635&gt;=3,"B",IF(W635&gt;=2,"C",IF(W635&gt;=1,"D","F")))))))</f>
        <v/>
      </c>
      <c r="Y635">
        <f>NOT(OR(AND(J635&gt;=10,K635&gt;=23,L635&gt;=10,M635&gt;=23),AND(J635+L635&gt;=20,K635+M635&gt;=46)))</f>
        <v/>
      </c>
      <c r="Z635">
        <f>OR(N635&lt;10,O635&lt;23)</f>
        <v/>
      </c>
      <c r="AA635">
        <f>OR(P635&lt;10,Q635&lt;23)</f>
        <v/>
      </c>
      <c r="AB635">
        <f>OR((C635+D635)&lt;66,(E635+F635)&lt;66,G635&lt;33,(H635+I635)&lt;66,Y635,Z635,AA635,R635&lt;8.25)</f>
        <v/>
      </c>
      <c r="AC635">
        <f>IF(C635+D635&lt;66,0,IF((C635+D635)/2&gt;=80,5,IF((C635+D635)/2&gt;=70,4,IF((C635+D635)/2&gt;=60,3.5,IF((C635+D635)/2&gt;=50,3,IF((C635+D635)/2&gt;=40,2,IF((C635+D635)/2&gt;=33,1,0)))))))</f>
        <v/>
      </c>
      <c r="AD635">
        <f>IF(E635+F635&lt;66,0,IF((E635+F635)/2&gt;=80,5,IF((E635+F635)/2&gt;=70,4,IF((E635+F635)/2&gt;=60,3.5,IF((E635+F635)/2&gt;=50,3,IF((E635+F635)/2&gt;=40,2,IF((E635+F635)/2&gt;=33,1,0)))))))</f>
        <v/>
      </c>
      <c r="AE635">
        <f>IF(G635&lt;33,0,IF(G635&gt;=80,5,IF(G635&gt;=70,4,IF(G635&gt;=60,3.5,IF(G635&gt;=50,3,IF(G635&gt;=40,2,IF(G635&gt;=33,1,0)))))))</f>
        <v/>
      </c>
      <c r="AF635">
        <f>IF(H635+I635&lt;66,0,IF((H635+I635)/2&gt;=80,5,IF((H635+I635)/2&gt;=70,4,IF((H635+I635)/2&gt;=60,3.5,IF((H635+I635)/2&gt;=50,3,IF((H635+I635)/2&gt;=40,2,IF((H635+I635)/2&gt;=33,1,0)))))))</f>
        <v/>
      </c>
      <c r="AG635">
        <f>IF(Y635,0,IF((J635+K635+L635+M635)/2&gt;=80,5,IF((J635+K635+L635+M635)/2&gt;=70,4,IF((J635+K635+L635+M635)/2&gt;=60,3.5,IF((J635+K635+L635+M635)/2&gt;=50,3,IF((J635+K635+L635+M635)/2&gt;=40,2,IF((J635+K635+L635+M635)/2&gt;=33,1,0)))))))</f>
        <v/>
      </c>
      <c r="AH635">
        <f>IF(Z635,0,IF(N635+O635&gt;=80,5,IF(N635+O635&gt;=70,4,IF(N635+O635&gt;=60,3.5,IF(N635+O635&gt;=50,3,IF(N635+O635&gt;=40,2,IF(N635+O635&gt;=33,1,0)))))))</f>
        <v/>
      </c>
      <c r="AI635">
        <f>IF(AA635,0,IF(P635+Q635&gt;=80,5,IF(P635+Q635&gt;=70,4,IF(P635+Q635&gt;=60,3.5,IF(P635+Q635&gt;=50,3,IF(P635+Q635&gt;=40,2,IF(P635+Q635&gt;=33,1,0)))))))</f>
        <v/>
      </c>
      <c r="AJ635">
        <f>IF(R635&lt;8.25,0,IF(R635*2&gt;=80,5,IF(R635*2&gt;=70,4,IF(R635*2&gt;=60,3.5,IF(R635*2&gt;=50,3,IF(R635*2&gt;=40,2,IF(R635*2&gt;=33,1,0)))))))</f>
        <v/>
      </c>
      <c r="AK635">
        <f>IF(S635&lt;33,0,IF(S635&gt;=80,5,IF(S635&gt;=70,4,IF(S635&gt;=60,3.5,IF(S635&gt;=50,3,IF(S635&gt;=40,2,IF(S635&gt;=33,1,0)))))))</f>
        <v/>
      </c>
      <c r="AL635">
        <f>(AC635+AD635+AE635+AF635+AG635+AH635+AI635+AJ635)/8</f>
        <v/>
      </c>
      <c r="AM635">
        <f>IF(AK635&gt;=2,(AK635-2)/8,0)</f>
        <v/>
      </c>
    </row>
    <row r="636">
      <c r="T636">
        <f>SUM(C636:R636)</f>
        <v/>
      </c>
      <c r="U636" s="6">
        <f>ROUND(T636/11.5,2)</f>
        <v/>
      </c>
      <c r="V636" s="7">
        <f>IF(B636="","",IF(AB636,0,ROUND(AL636,2)))</f>
        <v/>
      </c>
      <c r="W636" s="7">
        <f>IF(B636="","",IF(AB636,0,MIN(5,ROUND(AL636+AM636,2))))</f>
        <v/>
      </c>
      <c r="X636" s="8">
        <f>IF(B636="","",IF(W636&gt;=5,"A+",IF(W636&gt;=4,"A",IF(W636&gt;=3.5,"A-",IF(W636&gt;=3,"B",IF(W636&gt;=2,"C",IF(W636&gt;=1,"D","F")))))))</f>
        <v/>
      </c>
      <c r="Y636">
        <f>NOT(OR(AND(J636&gt;=10,K636&gt;=23,L636&gt;=10,M636&gt;=23),AND(J636+L636&gt;=20,K636+M636&gt;=46)))</f>
        <v/>
      </c>
      <c r="Z636">
        <f>OR(N636&lt;10,O636&lt;23)</f>
        <v/>
      </c>
      <c r="AA636">
        <f>OR(P636&lt;10,Q636&lt;23)</f>
        <v/>
      </c>
      <c r="AB636">
        <f>OR((C636+D636)&lt;66,(E636+F636)&lt;66,G636&lt;33,(H636+I636)&lt;66,Y636,Z636,AA636,R636&lt;8.25)</f>
        <v/>
      </c>
      <c r="AC636">
        <f>IF(C636+D636&lt;66,0,IF((C636+D636)/2&gt;=80,5,IF((C636+D636)/2&gt;=70,4,IF((C636+D636)/2&gt;=60,3.5,IF((C636+D636)/2&gt;=50,3,IF((C636+D636)/2&gt;=40,2,IF((C636+D636)/2&gt;=33,1,0)))))))</f>
        <v/>
      </c>
      <c r="AD636">
        <f>IF(E636+F636&lt;66,0,IF((E636+F636)/2&gt;=80,5,IF((E636+F636)/2&gt;=70,4,IF((E636+F636)/2&gt;=60,3.5,IF((E636+F636)/2&gt;=50,3,IF((E636+F636)/2&gt;=40,2,IF((E636+F636)/2&gt;=33,1,0)))))))</f>
        <v/>
      </c>
      <c r="AE636">
        <f>IF(G636&lt;33,0,IF(G636&gt;=80,5,IF(G636&gt;=70,4,IF(G636&gt;=60,3.5,IF(G636&gt;=50,3,IF(G636&gt;=40,2,IF(G636&gt;=33,1,0)))))))</f>
        <v/>
      </c>
      <c r="AF636">
        <f>IF(H636+I636&lt;66,0,IF((H636+I636)/2&gt;=80,5,IF((H636+I636)/2&gt;=70,4,IF((H636+I636)/2&gt;=60,3.5,IF((H636+I636)/2&gt;=50,3,IF((H636+I636)/2&gt;=40,2,IF((H636+I636)/2&gt;=33,1,0)))))))</f>
        <v/>
      </c>
      <c r="AG636">
        <f>IF(Y636,0,IF((J636+K636+L636+M636)/2&gt;=80,5,IF((J636+K636+L636+M636)/2&gt;=70,4,IF((J636+K636+L636+M636)/2&gt;=60,3.5,IF((J636+K636+L636+M636)/2&gt;=50,3,IF((J636+K636+L636+M636)/2&gt;=40,2,IF((J636+K636+L636+M636)/2&gt;=33,1,0)))))))</f>
        <v/>
      </c>
      <c r="AH636">
        <f>IF(Z636,0,IF(N636+O636&gt;=80,5,IF(N636+O636&gt;=70,4,IF(N636+O636&gt;=60,3.5,IF(N636+O636&gt;=50,3,IF(N636+O636&gt;=40,2,IF(N636+O636&gt;=33,1,0)))))))</f>
        <v/>
      </c>
      <c r="AI636">
        <f>IF(AA636,0,IF(P636+Q636&gt;=80,5,IF(P636+Q636&gt;=70,4,IF(P636+Q636&gt;=60,3.5,IF(P636+Q636&gt;=50,3,IF(P636+Q636&gt;=40,2,IF(P636+Q636&gt;=33,1,0)))))))</f>
        <v/>
      </c>
      <c r="AJ636">
        <f>IF(R636&lt;8.25,0,IF(R636*2&gt;=80,5,IF(R636*2&gt;=70,4,IF(R636*2&gt;=60,3.5,IF(R636*2&gt;=50,3,IF(R636*2&gt;=40,2,IF(R636*2&gt;=33,1,0)))))))</f>
        <v/>
      </c>
      <c r="AK636">
        <f>IF(S636&lt;33,0,IF(S636&gt;=80,5,IF(S636&gt;=70,4,IF(S636&gt;=60,3.5,IF(S636&gt;=50,3,IF(S636&gt;=40,2,IF(S636&gt;=33,1,0)))))))</f>
        <v/>
      </c>
      <c r="AL636">
        <f>(AC636+AD636+AE636+AF636+AG636+AH636+AI636+AJ636)/8</f>
        <v/>
      </c>
      <c r="AM636">
        <f>IF(AK636&gt;=2,(AK636-2)/8,0)</f>
        <v/>
      </c>
    </row>
    <row r="637">
      <c r="T637">
        <f>SUM(C637:R637)</f>
        <v/>
      </c>
      <c r="U637" s="6">
        <f>ROUND(T637/11.5,2)</f>
        <v/>
      </c>
      <c r="V637" s="7">
        <f>IF(B637="","",IF(AB637,0,ROUND(AL637,2)))</f>
        <v/>
      </c>
      <c r="W637" s="7">
        <f>IF(B637="","",IF(AB637,0,MIN(5,ROUND(AL637+AM637,2))))</f>
        <v/>
      </c>
      <c r="X637" s="8">
        <f>IF(B637="","",IF(W637&gt;=5,"A+",IF(W637&gt;=4,"A",IF(W637&gt;=3.5,"A-",IF(W637&gt;=3,"B",IF(W637&gt;=2,"C",IF(W637&gt;=1,"D","F")))))))</f>
        <v/>
      </c>
      <c r="Y637">
        <f>NOT(OR(AND(J637&gt;=10,K637&gt;=23,L637&gt;=10,M637&gt;=23),AND(J637+L637&gt;=20,K637+M637&gt;=46)))</f>
        <v/>
      </c>
      <c r="Z637">
        <f>OR(N637&lt;10,O637&lt;23)</f>
        <v/>
      </c>
      <c r="AA637">
        <f>OR(P637&lt;10,Q637&lt;23)</f>
        <v/>
      </c>
      <c r="AB637">
        <f>OR((C637+D637)&lt;66,(E637+F637)&lt;66,G637&lt;33,(H637+I637)&lt;66,Y637,Z637,AA637,R637&lt;8.25)</f>
        <v/>
      </c>
      <c r="AC637">
        <f>IF(C637+D637&lt;66,0,IF((C637+D637)/2&gt;=80,5,IF((C637+D637)/2&gt;=70,4,IF((C637+D637)/2&gt;=60,3.5,IF((C637+D637)/2&gt;=50,3,IF((C637+D637)/2&gt;=40,2,IF((C637+D637)/2&gt;=33,1,0)))))))</f>
        <v/>
      </c>
      <c r="AD637">
        <f>IF(E637+F637&lt;66,0,IF((E637+F637)/2&gt;=80,5,IF((E637+F637)/2&gt;=70,4,IF((E637+F637)/2&gt;=60,3.5,IF((E637+F637)/2&gt;=50,3,IF((E637+F637)/2&gt;=40,2,IF((E637+F637)/2&gt;=33,1,0)))))))</f>
        <v/>
      </c>
      <c r="AE637">
        <f>IF(G637&lt;33,0,IF(G637&gt;=80,5,IF(G637&gt;=70,4,IF(G637&gt;=60,3.5,IF(G637&gt;=50,3,IF(G637&gt;=40,2,IF(G637&gt;=33,1,0)))))))</f>
        <v/>
      </c>
      <c r="AF637">
        <f>IF(H637+I637&lt;66,0,IF((H637+I637)/2&gt;=80,5,IF((H637+I637)/2&gt;=70,4,IF((H637+I637)/2&gt;=60,3.5,IF((H637+I637)/2&gt;=50,3,IF((H637+I637)/2&gt;=40,2,IF((H637+I637)/2&gt;=33,1,0)))))))</f>
        <v/>
      </c>
      <c r="AG637">
        <f>IF(Y637,0,IF((J637+K637+L637+M637)/2&gt;=80,5,IF((J637+K637+L637+M637)/2&gt;=70,4,IF((J637+K637+L637+M637)/2&gt;=60,3.5,IF((J637+K637+L637+M637)/2&gt;=50,3,IF((J637+K637+L637+M637)/2&gt;=40,2,IF((J637+K637+L637+M637)/2&gt;=33,1,0)))))))</f>
        <v/>
      </c>
      <c r="AH637">
        <f>IF(Z637,0,IF(N637+O637&gt;=80,5,IF(N637+O637&gt;=70,4,IF(N637+O637&gt;=60,3.5,IF(N637+O637&gt;=50,3,IF(N637+O637&gt;=40,2,IF(N637+O637&gt;=33,1,0)))))))</f>
        <v/>
      </c>
      <c r="AI637">
        <f>IF(AA637,0,IF(P637+Q637&gt;=80,5,IF(P637+Q637&gt;=70,4,IF(P637+Q637&gt;=60,3.5,IF(P637+Q637&gt;=50,3,IF(P637+Q637&gt;=40,2,IF(P637+Q637&gt;=33,1,0)))))))</f>
        <v/>
      </c>
      <c r="AJ637">
        <f>IF(R637&lt;8.25,0,IF(R637*2&gt;=80,5,IF(R637*2&gt;=70,4,IF(R637*2&gt;=60,3.5,IF(R637*2&gt;=50,3,IF(R637*2&gt;=40,2,IF(R637*2&gt;=33,1,0)))))))</f>
        <v/>
      </c>
      <c r="AK637">
        <f>IF(S637&lt;33,0,IF(S637&gt;=80,5,IF(S637&gt;=70,4,IF(S637&gt;=60,3.5,IF(S637&gt;=50,3,IF(S637&gt;=40,2,IF(S637&gt;=33,1,0)))))))</f>
        <v/>
      </c>
      <c r="AL637">
        <f>(AC637+AD637+AE637+AF637+AG637+AH637+AI637+AJ637)/8</f>
        <v/>
      </c>
      <c r="AM637">
        <f>IF(AK637&gt;=2,(AK637-2)/8,0)</f>
        <v/>
      </c>
    </row>
    <row r="638">
      <c r="T638">
        <f>SUM(C638:R638)</f>
        <v/>
      </c>
      <c r="U638" s="6">
        <f>ROUND(T638/11.5,2)</f>
        <v/>
      </c>
      <c r="V638" s="7">
        <f>IF(B638="","",IF(AB638,0,ROUND(AL638,2)))</f>
        <v/>
      </c>
      <c r="W638" s="7">
        <f>IF(B638="","",IF(AB638,0,MIN(5,ROUND(AL638+AM638,2))))</f>
        <v/>
      </c>
      <c r="X638" s="8">
        <f>IF(B638="","",IF(W638&gt;=5,"A+",IF(W638&gt;=4,"A",IF(W638&gt;=3.5,"A-",IF(W638&gt;=3,"B",IF(W638&gt;=2,"C",IF(W638&gt;=1,"D","F")))))))</f>
        <v/>
      </c>
      <c r="Y638">
        <f>NOT(OR(AND(J638&gt;=10,K638&gt;=23,L638&gt;=10,M638&gt;=23),AND(J638+L638&gt;=20,K638+M638&gt;=46)))</f>
        <v/>
      </c>
      <c r="Z638">
        <f>OR(N638&lt;10,O638&lt;23)</f>
        <v/>
      </c>
      <c r="AA638">
        <f>OR(P638&lt;10,Q638&lt;23)</f>
        <v/>
      </c>
      <c r="AB638">
        <f>OR((C638+D638)&lt;66,(E638+F638)&lt;66,G638&lt;33,(H638+I638)&lt;66,Y638,Z638,AA638,R638&lt;8.25)</f>
        <v/>
      </c>
      <c r="AC638">
        <f>IF(C638+D638&lt;66,0,IF((C638+D638)/2&gt;=80,5,IF((C638+D638)/2&gt;=70,4,IF((C638+D638)/2&gt;=60,3.5,IF((C638+D638)/2&gt;=50,3,IF((C638+D638)/2&gt;=40,2,IF((C638+D638)/2&gt;=33,1,0)))))))</f>
        <v/>
      </c>
      <c r="AD638">
        <f>IF(E638+F638&lt;66,0,IF((E638+F638)/2&gt;=80,5,IF((E638+F638)/2&gt;=70,4,IF((E638+F638)/2&gt;=60,3.5,IF((E638+F638)/2&gt;=50,3,IF((E638+F638)/2&gt;=40,2,IF((E638+F638)/2&gt;=33,1,0)))))))</f>
        <v/>
      </c>
      <c r="AE638">
        <f>IF(G638&lt;33,0,IF(G638&gt;=80,5,IF(G638&gt;=70,4,IF(G638&gt;=60,3.5,IF(G638&gt;=50,3,IF(G638&gt;=40,2,IF(G638&gt;=33,1,0)))))))</f>
        <v/>
      </c>
      <c r="AF638">
        <f>IF(H638+I638&lt;66,0,IF((H638+I638)/2&gt;=80,5,IF((H638+I638)/2&gt;=70,4,IF((H638+I638)/2&gt;=60,3.5,IF((H638+I638)/2&gt;=50,3,IF((H638+I638)/2&gt;=40,2,IF((H638+I638)/2&gt;=33,1,0)))))))</f>
        <v/>
      </c>
      <c r="AG638">
        <f>IF(Y638,0,IF((J638+K638+L638+M638)/2&gt;=80,5,IF((J638+K638+L638+M638)/2&gt;=70,4,IF((J638+K638+L638+M638)/2&gt;=60,3.5,IF((J638+K638+L638+M638)/2&gt;=50,3,IF((J638+K638+L638+M638)/2&gt;=40,2,IF((J638+K638+L638+M638)/2&gt;=33,1,0)))))))</f>
        <v/>
      </c>
      <c r="AH638">
        <f>IF(Z638,0,IF(N638+O638&gt;=80,5,IF(N638+O638&gt;=70,4,IF(N638+O638&gt;=60,3.5,IF(N638+O638&gt;=50,3,IF(N638+O638&gt;=40,2,IF(N638+O638&gt;=33,1,0)))))))</f>
        <v/>
      </c>
      <c r="AI638">
        <f>IF(AA638,0,IF(P638+Q638&gt;=80,5,IF(P638+Q638&gt;=70,4,IF(P638+Q638&gt;=60,3.5,IF(P638+Q638&gt;=50,3,IF(P638+Q638&gt;=40,2,IF(P638+Q638&gt;=33,1,0)))))))</f>
        <v/>
      </c>
      <c r="AJ638">
        <f>IF(R638&lt;8.25,0,IF(R638*2&gt;=80,5,IF(R638*2&gt;=70,4,IF(R638*2&gt;=60,3.5,IF(R638*2&gt;=50,3,IF(R638*2&gt;=40,2,IF(R638*2&gt;=33,1,0)))))))</f>
        <v/>
      </c>
      <c r="AK638">
        <f>IF(S638&lt;33,0,IF(S638&gt;=80,5,IF(S638&gt;=70,4,IF(S638&gt;=60,3.5,IF(S638&gt;=50,3,IF(S638&gt;=40,2,IF(S638&gt;=33,1,0)))))))</f>
        <v/>
      </c>
      <c r="AL638">
        <f>(AC638+AD638+AE638+AF638+AG638+AH638+AI638+AJ638)/8</f>
        <v/>
      </c>
      <c r="AM638">
        <f>IF(AK638&gt;=2,(AK638-2)/8,0)</f>
        <v/>
      </c>
    </row>
    <row r="639">
      <c r="T639">
        <f>SUM(C639:R639)</f>
        <v/>
      </c>
      <c r="U639" s="6">
        <f>ROUND(T639/11.5,2)</f>
        <v/>
      </c>
      <c r="V639" s="7">
        <f>IF(B639="","",IF(AB639,0,ROUND(AL639,2)))</f>
        <v/>
      </c>
      <c r="W639" s="7">
        <f>IF(B639="","",IF(AB639,0,MIN(5,ROUND(AL639+AM639,2))))</f>
        <v/>
      </c>
      <c r="X639" s="8">
        <f>IF(B639="","",IF(W639&gt;=5,"A+",IF(W639&gt;=4,"A",IF(W639&gt;=3.5,"A-",IF(W639&gt;=3,"B",IF(W639&gt;=2,"C",IF(W639&gt;=1,"D","F")))))))</f>
        <v/>
      </c>
      <c r="Y639">
        <f>NOT(OR(AND(J639&gt;=10,K639&gt;=23,L639&gt;=10,M639&gt;=23),AND(J639+L639&gt;=20,K639+M639&gt;=46)))</f>
        <v/>
      </c>
      <c r="Z639">
        <f>OR(N639&lt;10,O639&lt;23)</f>
        <v/>
      </c>
      <c r="AA639">
        <f>OR(P639&lt;10,Q639&lt;23)</f>
        <v/>
      </c>
      <c r="AB639">
        <f>OR((C639+D639)&lt;66,(E639+F639)&lt;66,G639&lt;33,(H639+I639)&lt;66,Y639,Z639,AA639,R639&lt;8.25)</f>
        <v/>
      </c>
      <c r="AC639">
        <f>IF(C639+D639&lt;66,0,IF((C639+D639)/2&gt;=80,5,IF((C639+D639)/2&gt;=70,4,IF((C639+D639)/2&gt;=60,3.5,IF((C639+D639)/2&gt;=50,3,IF((C639+D639)/2&gt;=40,2,IF((C639+D639)/2&gt;=33,1,0)))))))</f>
        <v/>
      </c>
      <c r="AD639">
        <f>IF(E639+F639&lt;66,0,IF((E639+F639)/2&gt;=80,5,IF((E639+F639)/2&gt;=70,4,IF((E639+F639)/2&gt;=60,3.5,IF((E639+F639)/2&gt;=50,3,IF((E639+F639)/2&gt;=40,2,IF((E639+F639)/2&gt;=33,1,0)))))))</f>
        <v/>
      </c>
      <c r="AE639">
        <f>IF(G639&lt;33,0,IF(G639&gt;=80,5,IF(G639&gt;=70,4,IF(G639&gt;=60,3.5,IF(G639&gt;=50,3,IF(G639&gt;=40,2,IF(G639&gt;=33,1,0)))))))</f>
        <v/>
      </c>
      <c r="AF639">
        <f>IF(H639+I639&lt;66,0,IF((H639+I639)/2&gt;=80,5,IF((H639+I639)/2&gt;=70,4,IF((H639+I639)/2&gt;=60,3.5,IF((H639+I639)/2&gt;=50,3,IF((H639+I639)/2&gt;=40,2,IF((H639+I639)/2&gt;=33,1,0)))))))</f>
        <v/>
      </c>
      <c r="AG639">
        <f>IF(Y639,0,IF((J639+K639+L639+M639)/2&gt;=80,5,IF((J639+K639+L639+M639)/2&gt;=70,4,IF((J639+K639+L639+M639)/2&gt;=60,3.5,IF((J639+K639+L639+M639)/2&gt;=50,3,IF((J639+K639+L639+M639)/2&gt;=40,2,IF((J639+K639+L639+M639)/2&gt;=33,1,0)))))))</f>
        <v/>
      </c>
      <c r="AH639">
        <f>IF(Z639,0,IF(N639+O639&gt;=80,5,IF(N639+O639&gt;=70,4,IF(N639+O639&gt;=60,3.5,IF(N639+O639&gt;=50,3,IF(N639+O639&gt;=40,2,IF(N639+O639&gt;=33,1,0)))))))</f>
        <v/>
      </c>
      <c r="AI639">
        <f>IF(AA639,0,IF(P639+Q639&gt;=80,5,IF(P639+Q639&gt;=70,4,IF(P639+Q639&gt;=60,3.5,IF(P639+Q639&gt;=50,3,IF(P639+Q639&gt;=40,2,IF(P639+Q639&gt;=33,1,0)))))))</f>
        <v/>
      </c>
      <c r="AJ639">
        <f>IF(R639&lt;8.25,0,IF(R639*2&gt;=80,5,IF(R639*2&gt;=70,4,IF(R639*2&gt;=60,3.5,IF(R639*2&gt;=50,3,IF(R639*2&gt;=40,2,IF(R639*2&gt;=33,1,0)))))))</f>
        <v/>
      </c>
      <c r="AK639">
        <f>IF(S639&lt;33,0,IF(S639&gt;=80,5,IF(S639&gt;=70,4,IF(S639&gt;=60,3.5,IF(S639&gt;=50,3,IF(S639&gt;=40,2,IF(S639&gt;=33,1,0)))))))</f>
        <v/>
      </c>
      <c r="AL639">
        <f>(AC639+AD639+AE639+AF639+AG639+AH639+AI639+AJ639)/8</f>
        <v/>
      </c>
      <c r="AM639">
        <f>IF(AK639&gt;=2,(AK639-2)/8,0)</f>
        <v/>
      </c>
    </row>
    <row r="640">
      <c r="T640">
        <f>SUM(C640:R640)</f>
        <v/>
      </c>
      <c r="U640" s="6">
        <f>ROUND(T640/11.5,2)</f>
        <v/>
      </c>
      <c r="V640" s="7">
        <f>IF(B640="","",IF(AB640,0,ROUND(AL640,2)))</f>
        <v/>
      </c>
      <c r="W640" s="7">
        <f>IF(B640="","",IF(AB640,0,MIN(5,ROUND(AL640+AM640,2))))</f>
        <v/>
      </c>
      <c r="X640" s="8">
        <f>IF(B640="","",IF(W640&gt;=5,"A+",IF(W640&gt;=4,"A",IF(W640&gt;=3.5,"A-",IF(W640&gt;=3,"B",IF(W640&gt;=2,"C",IF(W640&gt;=1,"D","F")))))))</f>
        <v/>
      </c>
      <c r="Y640">
        <f>NOT(OR(AND(J640&gt;=10,K640&gt;=23,L640&gt;=10,M640&gt;=23),AND(J640+L640&gt;=20,K640+M640&gt;=46)))</f>
        <v/>
      </c>
      <c r="Z640">
        <f>OR(N640&lt;10,O640&lt;23)</f>
        <v/>
      </c>
      <c r="AA640">
        <f>OR(P640&lt;10,Q640&lt;23)</f>
        <v/>
      </c>
      <c r="AB640">
        <f>OR((C640+D640)&lt;66,(E640+F640)&lt;66,G640&lt;33,(H640+I640)&lt;66,Y640,Z640,AA640,R640&lt;8.25)</f>
        <v/>
      </c>
      <c r="AC640">
        <f>IF(C640+D640&lt;66,0,IF((C640+D640)/2&gt;=80,5,IF((C640+D640)/2&gt;=70,4,IF((C640+D640)/2&gt;=60,3.5,IF((C640+D640)/2&gt;=50,3,IF((C640+D640)/2&gt;=40,2,IF((C640+D640)/2&gt;=33,1,0)))))))</f>
        <v/>
      </c>
      <c r="AD640">
        <f>IF(E640+F640&lt;66,0,IF((E640+F640)/2&gt;=80,5,IF((E640+F640)/2&gt;=70,4,IF((E640+F640)/2&gt;=60,3.5,IF((E640+F640)/2&gt;=50,3,IF((E640+F640)/2&gt;=40,2,IF((E640+F640)/2&gt;=33,1,0)))))))</f>
        <v/>
      </c>
      <c r="AE640">
        <f>IF(G640&lt;33,0,IF(G640&gt;=80,5,IF(G640&gt;=70,4,IF(G640&gt;=60,3.5,IF(G640&gt;=50,3,IF(G640&gt;=40,2,IF(G640&gt;=33,1,0)))))))</f>
        <v/>
      </c>
      <c r="AF640">
        <f>IF(H640+I640&lt;66,0,IF((H640+I640)/2&gt;=80,5,IF((H640+I640)/2&gt;=70,4,IF((H640+I640)/2&gt;=60,3.5,IF((H640+I640)/2&gt;=50,3,IF((H640+I640)/2&gt;=40,2,IF((H640+I640)/2&gt;=33,1,0)))))))</f>
        <v/>
      </c>
      <c r="AG640">
        <f>IF(Y640,0,IF((J640+K640+L640+M640)/2&gt;=80,5,IF((J640+K640+L640+M640)/2&gt;=70,4,IF((J640+K640+L640+M640)/2&gt;=60,3.5,IF((J640+K640+L640+M640)/2&gt;=50,3,IF((J640+K640+L640+M640)/2&gt;=40,2,IF((J640+K640+L640+M640)/2&gt;=33,1,0)))))))</f>
        <v/>
      </c>
      <c r="AH640">
        <f>IF(Z640,0,IF(N640+O640&gt;=80,5,IF(N640+O640&gt;=70,4,IF(N640+O640&gt;=60,3.5,IF(N640+O640&gt;=50,3,IF(N640+O640&gt;=40,2,IF(N640+O640&gt;=33,1,0)))))))</f>
        <v/>
      </c>
      <c r="AI640">
        <f>IF(AA640,0,IF(P640+Q640&gt;=80,5,IF(P640+Q640&gt;=70,4,IF(P640+Q640&gt;=60,3.5,IF(P640+Q640&gt;=50,3,IF(P640+Q640&gt;=40,2,IF(P640+Q640&gt;=33,1,0)))))))</f>
        <v/>
      </c>
      <c r="AJ640">
        <f>IF(R640&lt;8.25,0,IF(R640*2&gt;=80,5,IF(R640*2&gt;=70,4,IF(R640*2&gt;=60,3.5,IF(R640*2&gt;=50,3,IF(R640*2&gt;=40,2,IF(R640*2&gt;=33,1,0)))))))</f>
        <v/>
      </c>
      <c r="AK640">
        <f>IF(S640&lt;33,0,IF(S640&gt;=80,5,IF(S640&gt;=70,4,IF(S640&gt;=60,3.5,IF(S640&gt;=50,3,IF(S640&gt;=40,2,IF(S640&gt;=33,1,0)))))))</f>
        <v/>
      </c>
      <c r="AL640">
        <f>(AC640+AD640+AE640+AF640+AG640+AH640+AI640+AJ640)/8</f>
        <v/>
      </c>
      <c r="AM640">
        <f>IF(AK640&gt;=2,(AK640-2)/8,0)</f>
        <v/>
      </c>
    </row>
    <row r="641">
      <c r="T641">
        <f>SUM(C641:R641)</f>
        <v/>
      </c>
      <c r="U641" s="6">
        <f>ROUND(T641/11.5,2)</f>
        <v/>
      </c>
      <c r="V641" s="7">
        <f>IF(B641="","",IF(AB641,0,ROUND(AL641,2)))</f>
        <v/>
      </c>
      <c r="W641" s="7">
        <f>IF(B641="","",IF(AB641,0,MIN(5,ROUND(AL641+AM641,2))))</f>
        <v/>
      </c>
      <c r="X641" s="8">
        <f>IF(B641="","",IF(W641&gt;=5,"A+",IF(W641&gt;=4,"A",IF(W641&gt;=3.5,"A-",IF(W641&gt;=3,"B",IF(W641&gt;=2,"C",IF(W641&gt;=1,"D","F")))))))</f>
        <v/>
      </c>
      <c r="Y641">
        <f>NOT(OR(AND(J641&gt;=10,K641&gt;=23,L641&gt;=10,M641&gt;=23),AND(J641+L641&gt;=20,K641+M641&gt;=46)))</f>
        <v/>
      </c>
      <c r="Z641">
        <f>OR(N641&lt;10,O641&lt;23)</f>
        <v/>
      </c>
      <c r="AA641">
        <f>OR(P641&lt;10,Q641&lt;23)</f>
        <v/>
      </c>
      <c r="AB641">
        <f>OR((C641+D641)&lt;66,(E641+F641)&lt;66,G641&lt;33,(H641+I641)&lt;66,Y641,Z641,AA641,R641&lt;8.25)</f>
        <v/>
      </c>
      <c r="AC641">
        <f>IF(C641+D641&lt;66,0,IF((C641+D641)/2&gt;=80,5,IF((C641+D641)/2&gt;=70,4,IF((C641+D641)/2&gt;=60,3.5,IF((C641+D641)/2&gt;=50,3,IF((C641+D641)/2&gt;=40,2,IF((C641+D641)/2&gt;=33,1,0)))))))</f>
        <v/>
      </c>
      <c r="AD641">
        <f>IF(E641+F641&lt;66,0,IF((E641+F641)/2&gt;=80,5,IF((E641+F641)/2&gt;=70,4,IF((E641+F641)/2&gt;=60,3.5,IF((E641+F641)/2&gt;=50,3,IF((E641+F641)/2&gt;=40,2,IF((E641+F641)/2&gt;=33,1,0)))))))</f>
        <v/>
      </c>
      <c r="AE641">
        <f>IF(G641&lt;33,0,IF(G641&gt;=80,5,IF(G641&gt;=70,4,IF(G641&gt;=60,3.5,IF(G641&gt;=50,3,IF(G641&gt;=40,2,IF(G641&gt;=33,1,0)))))))</f>
        <v/>
      </c>
      <c r="AF641">
        <f>IF(H641+I641&lt;66,0,IF((H641+I641)/2&gt;=80,5,IF((H641+I641)/2&gt;=70,4,IF((H641+I641)/2&gt;=60,3.5,IF((H641+I641)/2&gt;=50,3,IF((H641+I641)/2&gt;=40,2,IF((H641+I641)/2&gt;=33,1,0)))))))</f>
        <v/>
      </c>
      <c r="AG641">
        <f>IF(Y641,0,IF((J641+K641+L641+M641)/2&gt;=80,5,IF((J641+K641+L641+M641)/2&gt;=70,4,IF((J641+K641+L641+M641)/2&gt;=60,3.5,IF((J641+K641+L641+M641)/2&gt;=50,3,IF((J641+K641+L641+M641)/2&gt;=40,2,IF((J641+K641+L641+M641)/2&gt;=33,1,0)))))))</f>
        <v/>
      </c>
      <c r="AH641">
        <f>IF(Z641,0,IF(N641+O641&gt;=80,5,IF(N641+O641&gt;=70,4,IF(N641+O641&gt;=60,3.5,IF(N641+O641&gt;=50,3,IF(N641+O641&gt;=40,2,IF(N641+O641&gt;=33,1,0)))))))</f>
        <v/>
      </c>
      <c r="AI641">
        <f>IF(AA641,0,IF(P641+Q641&gt;=80,5,IF(P641+Q641&gt;=70,4,IF(P641+Q641&gt;=60,3.5,IF(P641+Q641&gt;=50,3,IF(P641+Q641&gt;=40,2,IF(P641+Q641&gt;=33,1,0)))))))</f>
        <v/>
      </c>
      <c r="AJ641">
        <f>IF(R641&lt;8.25,0,IF(R641*2&gt;=80,5,IF(R641*2&gt;=70,4,IF(R641*2&gt;=60,3.5,IF(R641*2&gt;=50,3,IF(R641*2&gt;=40,2,IF(R641*2&gt;=33,1,0)))))))</f>
        <v/>
      </c>
      <c r="AK641">
        <f>IF(S641&lt;33,0,IF(S641&gt;=80,5,IF(S641&gt;=70,4,IF(S641&gt;=60,3.5,IF(S641&gt;=50,3,IF(S641&gt;=40,2,IF(S641&gt;=33,1,0)))))))</f>
        <v/>
      </c>
      <c r="AL641">
        <f>(AC641+AD641+AE641+AF641+AG641+AH641+AI641+AJ641)/8</f>
        <v/>
      </c>
      <c r="AM641">
        <f>IF(AK641&gt;=2,(AK641-2)/8,0)</f>
        <v/>
      </c>
    </row>
    <row r="642">
      <c r="T642">
        <f>SUM(C642:R642)</f>
        <v/>
      </c>
      <c r="U642" s="6">
        <f>ROUND(T642/11.5,2)</f>
        <v/>
      </c>
      <c r="V642" s="7">
        <f>IF(B642="","",IF(AB642,0,ROUND(AL642,2)))</f>
        <v/>
      </c>
      <c r="W642" s="7">
        <f>IF(B642="","",IF(AB642,0,MIN(5,ROUND(AL642+AM642,2))))</f>
        <v/>
      </c>
      <c r="X642" s="8">
        <f>IF(B642="","",IF(W642&gt;=5,"A+",IF(W642&gt;=4,"A",IF(W642&gt;=3.5,"A-",IF(W642&gt;=3,"B",IF(W642&gt;=2,"C",IF(W642&gt;=1,"D","F")))))))</f>
        <v/>
      </c>
      <c r="Y642">
        <f>NOT(OR(AND(J642&gt;=10,K642&gt;=23,L642&gt;=10,M642&gt;=23),AND(J642+L642&gt;=20,K642+M642&gt;=46)))</f>
        <v/>
      </c>
      <c r="Z642">
        <f>OR(N642&lt;10,O642&lt;23)</f>
        <v/>
      </c>
      <c r="AA642">
        <f>OR(P642&lt;10,Q642&lt;23)</f>
        <v/>
      </c>
      <c r="AB642">
        <f>OR((C642+D642)&lt;66,(E642+F642)&lt;66,G642&lt;33,(H642+I642)&lt;66,Y642,Z642,AA642,R642&lt;8.25)</f>
        <v/>
      </c>
      <c r="AC642">
        <f>IF(C642+D642&lt;66,0,IF((C642+D642)/2&gt;=80,5,IF((C642+D642)/2&gt;=70,4,IF((C642+D642)/2&gt;=60,3.5,IF((C642+D642)/2&gt;=50,3,IF((C642+D642)/2&gt;=40,2,IF((C642+D642)/2&gt;=33,1,0)))))))</f>
        <v/>
      </c>
      <c r="AD642">
        <f>IF(E642+F642&lt;66,0,IF((E642+F642)/2&gt;=80,5,IF((E642+F642)/2&gt;=70,4,IF((E642+F642)/2&gt;=60,3.5,IF((E642+F642)/2&gt;=50,3,IF((E642+F642)/2&gt;=40,2,IF((E642+F642)/2&gt;=33,1,0)))))))</f>
        <v/>
      </c>
      <c r="AE642">
        <f>IF(G642&lt;33,0,IF(G642&gt;=80,5,IF(G642&gt;=70,4,IF(G642&gt;=60,3.5,IF(G642&gt;=50,3,IF(G642&gt;=40,2,IF(G642&gt;=33,1,0)))))))</f>
        <v/>
      </c>
      <c r="AF642">
        <f>IF(H642+I642&lt;66,0,IF((H642+I642)/2&gt;=80,5,IF((H642+I642)/2&gt;=70,4,IF((H642+I642)/2&gt;=60,3.5,IF((H642+I642)/2&gt;=50,3,IF((H642+I642)/2&gt;=40,2,IF((H642+I642)/2&gt;=33,1,0)))))))</f>
        <v/>
      </c>
      <c r="AG642">
        <f>IF(Y642,0,IF((J642+K642+L642+M642)/2&gt;=80,5,IF((J642+K642+L642+M642)/2&gt;=70,4,IF((J642+K642+L642+M642)/2&gt;=60,3.5,IF((J642+K642+L642+M642)/2&gt;=50,3,IF((J642+K642+L642+M642)/2&gt;=40,2,IF((J642+K642+L642+M642)/2&gt;=33,1,0)))))))</f>
        <v/>
      </c>
      <c r="AH642">
        <f>IF(Z642,0,IF(N642+O642&gt;=80,5,IF(N642+O642&gt;=70,4,IF(N642+O642&gt;=60,3.5,IF(N642+O642&gt;=50,3,IF(N642+O642&gt;=40,2,IF(N642+O642&gt;=33,1,0)))))))</f>
        <v/>
      </c>
      <c r="AI642">
        <f>IF(AA642,0,IF(P642+Q642&gt;=80,5,IF(P642+Q642&gt;=70,4,IF(P642+Q642&gt;=60,3.5,IF(P642+Q642&gt;=50,3,IF(P642+Q642&gt;=40,2,IF(P642+Q642&gt;=33,1,0)))))))</f>
        <v/>
      </c>
      <c r="AJ642">
        <f>IF(R642&lt;8.25,0,IF(R642*2&gt;=80,5,IF(R642*2&gt;=70,4,IF(R642*2&gt;=60,3.5,IF(R642*2&gt;=50,3,IF(R642*2&gt;=40,2,IF(R642*2&gt;=33,1,0)))))))</f>
        <v/>
      </c>
      <c r="AK642">
        <f>IF(S642&lt;33,0,IF(S642&gt;=80,5,IF(S642&gt;=70,4,IF(S642&gt;=60,3.5,IF(S642&gt;=50,3,IF(S642&gt;=40,2,IF(S642&gt;=33,1,0)))))))</f>
        <v/>
      </c>
      <c r="AL642">
        <f>(AC642+AD642+AE642+AF642+AG642+AH642+AI642+AJ642)/8</f>
        <v/>
      </c>
      <c r="AM642">
        <f>IF(AK642&gt;=2,(AK642-2)/8,0)</f>
        <v/>
      </c>
    </row>
    <row r="643">
      <c r="T643">
        <f>SUM(C643:R643)</f>
        <v/>
      </c>
      <c r="U643" s="6">
        <f>ROUND(T643/11.5,2)</f>
        <v/>
      </c>
      <c r="V643" s="7">
        <f>IF(B643="","",IF(AB643,0,ROUND(AL643,2)))</f>
        <v/>
      </c>
      <c r="W643" s="7">
        <f>IF(B643="","",IF(AB643,0,MIN(5,ROUND(AL643+AM643,2))))</f>
        <v/>
      </c>
      <c r="X643" s="8">
        <f>IF(B643="","",IF(W643&gt;=5,"A+",IF(W643&gt;=4,"A",IF(W643&gt;=3.5,"A-",IF(W643&gt;=3,"B",IF(W643&gt;=2,"C",IF(W643&gt;=1,"D","F")))))))</f>
        <v/>
      </c>
      <c r="Y643">
        <f>NOT(OR(AND(J643&gt;=10,K643&gt;=23,L643&gt;=10,M643&gt;=23),AND(J643+L643&gt;=20,K643+M643&gt;=46)))</f>
        <v/>
      </c>
      <c r="Z643">
        <f>OR(N643&lt;10,O643&lt;23)</f>
        <v/>
      </c>
      <c r="AA643">
        <f>OR(P643&lt;10,Q643&lt;23)</f>
        <v/>
      </c>
      <c r="AB643">
        <f>OR((C643+D643)&lt;66,(E643+F643)&lt;66,G643&lt;33,(H643+I643)&lt;66,Y643,Z643,AA643,R643&lt;8.25)</f>
        <v/>
      </c>
      <c r="AC643">
        <f>IF(C643+D643&lt;66,0,IF((C643+D643)/2&gt;=80,5,IF((C643+D643)/2&gt;=70,4,IF((C643+D643)/2&gt;=60,3.5,IF((C643+D643)/2&gt;=50,3,IF((C643+D643)/2&gt;=40,2,IF((C643+D643)/2&gt;=33,1,0)))))))</f>
        <v/>
      </c>
      <c r="AD643">
        <f>IF(E643+F643&lt;66,0,IF((E643+F643)/2&gt;=80,5,IF((E643+F643)/2&gt;=70,4,IF((E643+F643)/2&gt;=60,3.5,IF((E643+F643)/2&gt;=50,3,IF((E643+F643)/2&gt;=40,2,IF((E643+F643)/2&gt;=33,1,0)))))))</f>
        <v/>
      </c>
      <c r="AE643">
        <f>IF(G643&lt;33,0,IF(G643&gt;=80,5,IF(G643&gt;=70,4,IF(G643&gt;=60,3.5,IF(G643&gt;=50,3,IF(G643&gt;=40,2,IF(G643&gt;=33,1,0)))))))</f>
        <v/>
      </c>
      <c r="AF643">
        <f>IF(H643+I643&lt;66,0,IF((H643+I643)/2&gt;=80,5,IF((H643+I643)/2&gt;=70,4,IF((H643+I643)/2&gt;=60,3.5,IF((H643+I643)/2&gt;=50,3,IF((H643+I643)/2&gt;=40,2,IF((H643+I643)/2&gt;=33,1,0)))))))</f>
        <v/>
      </c>
      <c r="AG643">
        <f>IF(Y643,0,IF((J643+K643+L643+M643)/2&gt;=80,5,IF((J643+K643+L643+M643)/2&gt;=70,4,IF((J643+K643+L643+M643)/2&gt;=60,3.5,IF((J643+K643+L643+M643)/2&gt;=50,3,IF((J643+K643+L643+M643)/2&gt;=40,2,IF((J643+K643+L643+M643)/2&gt;=33,1,0)))))))</f>
        <v/>
      </c>
      <c r="AH643">
        <f>IF(Z643,0,IF(N643+O643&gt;=80,5,IF(N643+O643&gt;=70,4,IF(N643+O643&gt;=60,3.5,IF(N643+O643&gt;=50,3,IF(N643+O643&gt;=40,2,IF(N643+O643&gt;=33,1,0)))))))</f>
        <v/>
      </c>
      <c r="AI643">
        <f>IF(AA643,0,IF(P643+Q643&gt;=80,5,IF(P643+Q643&gt;=70,4,IF(P643+Q643&gt;=60,3.5,IF(P643+Q643&gt;=50,3,IF(P643+Q643&gt;=40,2,IF(P643+Q643&gt;=33,1,0)))))))</f>
        <v/>
      </c>
      <c r="AJ643">
        <f>IF(R643&lt;8.25,0,IF(R643*2&gt;=80,5,IF(R643*2&gt;=70,4,IF(R643*2&gt;=60,3.5,IF(R643*2&gt;=50,3,IF(R643*2&gt;=40,2,IF(R643*2&gt;=33,1,0)))))))</f>
        <v/>
      </c>
      <c r="AK643">
        <f>IF(S643&lt;33,0,IF(S643&gt;=80,5,IF(S643&gt;=70,4,IF(S643&gt;=60,3.5,IF(S643&gt;=50,3,IF(S643&gt;=40,2,IF(S643&gt;=33,1,0)))))))</f>
        <v/>
      </c>
      <c r="AL643">
        <f>(AC643+AD643+AE643+AF643+AG643+AH643+AI643+AJ643)/8</f>
        <v/>
      </c>
      <c r="AM643">
        <f>IF(AK643&gt;=2,(AK643-2)/8,0)</f>
        <v/>
      </c>
    </row>
    <row r="644">
      <c r="T644">
        <f>SUM(C644:R644)</f>
        <v/>
      </c>
      <c r="U644" s="6">
        <f>ROUND(T644/11.5,2)</f>
        <v/>
      </c>
      <c r="V644" s="7">
        <f>IF(B644="","",IF(AB644,0,ROUND(AL644,2)))</f>
        <v/>
      </c>
      <c r="W644" s="7">
        <f>IF(B644="","",IF(AB644,0,MIN(5,ROUND(AL644+AM644,2))))</f>
        <v/>
      </c>
      <c r="X644" s="8">
        <f>IF(B644="","",IF(W644&gt;=5,"A+",IF(W644&gt;=4,"A",IF(W644&gt;=3.5,"A-",IF(W644&gt;=3,"B",IF(W644&gt;=2,"C",IF(W644&gt;=1,"D","F")))))))</f>
        <v/>
      </c>
      <c r="Y644">
        <f>NOT(OR(AND(J644&gt;=10,K644&gt;=23,L644&gt;=10,M644&gt;=23),AND(J644+L644&gt;=20,K644+M644&gt;=46)))</f>
        <v/>
      </c>
      <c r="Z644">
        <f>OR(N644&lt;10,O644&lt;23)</f>
        <v/>
      </c>
      <c r="AA644">
        <f>OR(P644&lt;10,Q644&lt;23)</f>
        <v/>
      </c>
      <c r="AB644">
        <f>OR((C644+D644)&lt;66,(E644+F644)&lt;66,G644&lt;33,(H644+I644)&lt;66,Y644,Z644,AA644,R644&lt;8.25)</f>
        <v/>
      </c>
      <c r="AC644">
        <f>IF(C644+D644&lt;66,0,IF((C644+D644)/2&gt;=80,5,IF((C644+D644)/2&gt;=70,4,IF((C644+D644)/2&gt;=60,3.5,IF((C644+D644)/2&gt;=50,3,IF((C644+D644)/2&gt;=40,2,IF((C644+D644)/2&gt;=33,1,0)))))))</f>
        <v/>
      </c>
      <c r="AD644">
        <f>IF(E644+F644&lt;66,0,IF((E644+F644)/2&gt;=80,5,IF((E644+F644)/2&gt;=70,4,IF((E644+F644)/2&gt;=60,3.5,IF((E644+F644)/2&gt;=50,3,IF((E644+F644)/2&gt;=40,2,IF((E644+F644)/2&gt;=33,1,0)))))))</f>
        <v/>
      </c>
      <c r="AE644">
        <f>IF(G644&lt;33,0,IF(G644&gt;=80,5,IF(G644&gt;=70,4,IF(G644&gt;=60,3.5,IF(G644&gt;=50,3,IF(G644&gt;=40,2,IF(G644&gt;=33,1,0)))))))</f>
        <v/>
      </c>
      <c r="AF644">
        <f>IF(H644+I644&lt;66,0,IF((H644+I644)/2&gt;=80,5,IF((H644+I644)/2&gt;=70,4,IF((H644+I644)/2&gt;=60,3.5,IF((H644+I644)/2&gt;=50,3,IF((H644+I644)/2&gt;=40,2,IF((H644+I644)/2&gt;=33,1,0)))))))</f>
        <v/>
      </c>
      <c r="AG644">
        <f>IF(Y644,0,IF((J644+K644+L644+M644)/2&gt;=80,5,IF((J644+K644+L644+M644)/2&gt;=70,4,IF((J644+K644+L644+M644)/2&gt;=60,3.5,IF((J644+K644+L644+M644)/2&gt;=50,3,IF((J644+K644+L644+M644)/2&gt;=40,2,IF((J644+K644+L644+M644)/2&gt;=33,1,0)))))))</f>
        <v/>
      </c>
      <c r="AH644">
        <f>IF(Z644,0,IF(N644+O644&gt;=80,5,IF(N644+O644&gt;=70,4,IF(N644+O644&gt;=60,3.5,IF(N644+O644&gt;=50,3,IF(N644+O644&gt;=40,2,IF(N644+O644&gt;=33,1,0)))))))</f>
        <v/>
      </c>
      <c r="AI644">
        <f>IF(AA644,0,IF(P644+Q644&gt;=80,5,IF(P644+Q644&gt;=70,4,IF(P644+Q644&gt;=60,3.5,IF(P644+Q644&gt;=50,3,IF(P644+Q644&gt;=40,2,IF(P644+Q644&gt;=33,1,0)))))))</f>
        <v/>
      </c>
      <c r="AJ644">
        <f>IF(R644&lt;8.25,0,IF(R644*2&gt;=80,5,IF(R644*2&gt;=70,4,IF(R644*2&gt;=60,3.5,IF(R644*2&gt;=50,3,IF(R644*2&gt;=40,2,IF(R644*2&gt;=33,1,0)))))))</f>
        <v/>
      </c>
      <c r="AK644">
        <f>IF(S644&lt;33,0,IF(S644&gt;=80,5,IF(S644&gt;=70,4,IF(S644&gt;=60,3.5,IF(S644&gt;=50,3,IF(S644&gt;=40,2,IF(S644&gt;=33,1,0)))))))</f>
        <v/>
      </c>
      <c r="AL644">
        <f>(AC644+AD644+AE644+AF644+AG644+AH644+AI644+AJ644)/8</f>
        <v/>
      </c>
      <c r="AM644">
        <f>IF(AK644&gt;=2,(AK644-2)/8,0)</f>
        <v/>
      </c>
    </row>
    <row r="645">
      <c r="T645">
        <f>SUM(C645:R645)</f>
        <v/>
      </c>
      <c r="U645" s="6">
        <f>ROUND(T645/11.5,2)</f>
        <v/>
      </c>
      <c r="V645" s="7">
        <f>IF(B645="","",IF(AB645,0,ROUND(AL645,2)))</f>
        <v/>
      </c>
      <c r="W645" s="7">
        <f>IF(B645="","",IF(AB645,0,MIN(5,ROUND(AL645+AM645,2))))</f>
        <v/>
      </c>
      <c r="X645" s="8">
        <f>IF(B645="","",IF(W645&gt;=5,"A+",IF(W645&gt;=4,"A",IF(W645&gt;=3.5,"A-",IF(W645&gt;=3,"B",IF(W645&gt;=2,"C",IF(W645&gt;=1,"D","F")))))))</f>
        <v/>
      </c>
      <c r="Y645">
        <f>NOT(OR(AND(J645&gt;=10,K645&gt;=23,L645&gt;=10,M645&gt;=23),AND(J645+L645&gt;=20,K645+M645&gt;=46)))</f>
        <v/>
      </c>
      <c r="Z645">
        <f>OR(N645&lt;10,O645&lt;23)</f>
        <v/>
      </c>
      <c r="AA645">
        <f>OR(P645&lt;10,Q645&lt;23)</f>
        <v/>
      </c>
      <c r="AB645">
        <f>OR((C645+D645)&lt;66,(E645+F645)&lt;66,G645&lt;33,(H645+I645)&lt;66,Y645,Z645,AA645,R645&lt;8.25)</f>
        <v/>
      </c>
      <c r="AC645">
        <f>IF(C645+D645&lt;66,0,IF((C645+D645)/2&gt;=80,5,IF((C645+D645)/2&gt;=70,4,IF((C645+D645)/2&gt;=60,3.5,IF((C645+D645)/2&gt;=50,3,IF((C645+D645)/2&gt;=40,2,IF((C645+D645)/2&gt;=33,1,0)))))))</f>
        <v/>
      </c>
      <c r="AD645">
        <f>IF(E645+F645&lt;66,0,IF((E645+F645)/2&gt;=80,5,IF((E645+F645)/2&gt;=70,4,IF((E645+F645)/2&gt;=60,3.5,IF((E645+F645)/2&gt;=50,3,IF((E645+F645)/2&gt;=40,2,IF((E645+F645)/2&gt;=33,1,0)))))))</f>
        <v/>
      </c>
      <c r="AE645">
        <f>IF(G645&lt;33,0,IF(G645&gt;=80,5,IF(G645&gt;=70,4,IF(G645&gt;=60,3.5,IF(G645&gt;=50,3,IF(G645&gt;=40,2,IF(G645&gt;=33,1,0)))))))</f>
        <v/>
      </c>
      <c r="AF645">
        <f>IF(H645+I645&lt;66,0,IF((H645+I645)/2&gt;=80,5,IF((H645+I645)/2&gt;=70,4,IF((H645+I645)/2&gt;=60,3.5,IF((H645+I645)/2&gt;=50,3,IF((H645+I645)/2&gt;=40,2,IF((H645+I645)/2&gt;=33,1,0)))))))</f>
        <v/>
      </c>
      <c r="AG645">
        <f>IF(Y645,0,IF((J645+K645+L645+M645)/2&gt;=80,5,IF((J645+K645+L645+M645)/2&gt;=70,4,IF((J645+K645+L645+M645)/2&gt;=60,3.5,IF((J645+K645+L645+M645)/2&gt;=50,3,IF((J645+K645+L645+M645)/2&gt;=40,2,IF((J645+K645+L645+M645)/2&gt;=33,1,0)))))))</f>
        <v/>
      </c>
      <c r="AH645">
        <f>IF(Z645,0,IF(N645+O645&gt;=80,5,IF(N645+O645&gt;=70,4,IF(N645+O645&gt;=60,3.5,IF(N645+O645&gt;=50,3,IF(N645+O645&gt;=40,2,IF(N645+O645&gt;=33,1,0)))))))</f>
        <v/>
      </c>
      <c r="AI645">
        <f>IF(AA645,0,IF(P645+Q645&gt;=80,5,IF(P645+Q645&gt;=70,4,IF(P645+Q645&gt;=60,3.5,IF(P645+Q645&gt;=50,3,IF(P645+Q645&gt;=40,2,IF(P645+Q645&gt;=33,1,0)))))))</f>
        <v/>
      </c>
      <c r="AJ645">
        <f>IF(R645&lt;8.25,0,IF(R645*2&gt;=80,5,IF(R645*2&gt;=70,4,IF(R645*2&gt;=60,3.5,IF(R645*2&gt;=50,3,IF(R645*2&gt;=40,2,IF(R645*2&gt;=33,1,0)))))))</f>
        <v/>
      </c>
      <c r="AK645">
        <f>IF(S645&lt;33,0,IF(S645&gt;=80,5,IF(S645&gt;=70,4,IF(S645&gt;=60,3.5,IF(S645&gt;=50,3,IF(S645&gt;=40,2,IF(S645&gt;=33,1,0)))))))</f>
        <v/>
      </c>
      <c r="AL645">
        <f>(AC645+AD645+AE645+AF645+AG645+AH645+AI645+AJ645)/8</f>
        <v/>
      </c>
      <c r="AM645">
        <f>IF(AK645&gt;=2,(AK645-2)/8,0)</f>
        <v/>
      </c>
    </row>
    <row r="646">
      <c r="T646">
        <f>SUM(C646:R646)</f>
        <v/>
      </c>
      <c r="U646" s="6">
        <f>ROUND(T646/11.5,2)</f>
        <v/>
      </c>
      <c r="V646" s="7">
        <f>IF(B646="","",IF(AB646,0,ROUND(AL646,2)))</f>
        <v/>
      </c>
      <c r="W646" s="7">
        <f>IF(B646="","",IF(AB646,0,MIN(5,ROUND(AL646+AM646,2))))</f>
        <v/>
      </c>
      <c r="X646" s="8">
        <f>IF(B646="","",IF(W646&gt;=5,"A+",IF(W646&gt;=4,"A",IF(W646&gt;=3.5,"A-",IF(W646&gt;=3,"B",IF(W646&gt;=2,"C",IF(W646&gt;=1,"D","F")))))))</f>
        <v/>
      </c>
      <c r="Y646">
        <f>NOT(OR(AND(J646&gt;=10,K646&gt;=23,L646&gt;=10,M646&gt;=23),AND(J646+L646&gt;=20,K646+M646&gt;=46)))</f>
        <v/>
      </c>
      <c r="Z646">
        <f>OR(N646&lt;10,O646&lt;23)</f>
        <v/>
      </c>
      <c r="AA646">
        <f>OR(P646&lt;10,Q646&lt;23)</f>
        <v/>
      </c>
      <c r="AB646">
        <f>OR((C646+D646)&lt;66,(E646+F646)&lt;66,G646&lt;33,(H646+I646)&lt;66,Y646,Z646,AA646,R646&lt;8.25)</f>
        <v/>
      </c>
      <c r="AC646">
        <f>IF(C646+D646&lt;66,0,IF((C646+D646)/2&gt;=80,5,IF((C646+D646)/2&gt;=70,4,IF((C646+D646)/2&gt;=60,3.5,IF((C646+D646)/2&gt;=50,3,IF((C646+D646)/2&gt;=40,2,IF((C646+D646)/2&gt;=33,1,0)))))))</f>
        <v/>
      </c>
      <c r="AD646">
        <f>IF(E646+F646&lt;66,0,IF((E646+F646)/2&gt;=80,5,IF((E646+F646)/2&gt;=70,4,IF((E646+F646)/2&gt;=60,3.5,IF((E646+F646)/2&gt;=50,3,IF((E646+F646)/2&gt;=40,2,IF((E646+F646)/2&gt;=33,1,0)))))))</f>
        <v/>
      </c>
      <c r="AE646">
        <f>IF(G646&lt;33,0,IF(G646&gt;=80,5,IF(G646&gt;=70,4,IF(G646&gt;=60,3.5,IF(G646&gt;=50,3,IF(G646&gt;=40,2,IF(G646&gt;=33,1,0)))))))</f>
        <v/>
      </c>
      <c r="AF646">
        <f>IF(H646+I646&lt;66,0,IF((H646+I646)/2&gt;=80,5,IF((H646+I646)/2&gt;=70,4,IF((H646+I646)/2&gt;=60,3.5,IF((H646+I646)/2&gt;=50,3,IF((H646+I646)/2&gt;=40,2,IF((H646+I646)/2&gt;=33,1,0)))))))</f>
        <v/>
      </c>
      <c r="AG646">
        <f>IF(Y646,0,IF((J646+K646+L646+M646)/2&gt;=80,5,IF((J646+K646+L646+M646)/2&gt;=70,4,IF((J646+K646+L646+M646)/2&gt;=60,3.5,IF((J646+K646+L646+M646)/2&gt;=50,3,IF((J646+K646+L646+M646)/2&gt;=40,2,IF((J646+K646+L646+M646)/2&gt;=33,1,0)))))))</f>
        <v/>
      </c>
      <c r="AH646">
        <f>IF(Z646,0,IF(N646+O646&gt;=80,5,IF(N646+O646&gt;=70,4,IF(N646+O646&gt;=60,3.5,IF(N646+O646&gt;=50,3,IF(N646+O646&gt;=40,2,IF(N646+O646&gt;=33,1,0)))))))</f>
        <v/>
      </c>
      <c r="AI646">
        <f>IF(AA646,0,IF(P646+Q646&gt;=80,5,IF(P646+Q646&gt;=70,4,IF(P646+Q646&gt;=60,3.5,IF(P646+Q646&gt;=50,3,IF(P646+Q646&gt;=40,2,IF(P646+Q646&gt;=33,1,0)))))))</f>
        <v/>
      </c>
      <c r="AJ646">
        <f>IF(R646&lt;8.25,0,IF(R646*2&gt;=80,5,IF(R646*2&gt;=70,4,IF(R646*2&gt;=60,3.5,IF(R646*2&gt;=50,3,IF(R646*2&gt;=40,2,IF(R646*2&gt;=33,1,0)))))))</f>
        <v/>
      </c>
      <c r="AK646">
        <f>IF(S646&lt;33,0,IF(S646&gt;=80,5,IF(S646&gt;=70,4,IF(S646&gt;=60,3.5,IF(S646&gt;=50,3,IF(S646&gt;=40,2,IF(S646&gt;=33,1,0)))))))</f>
        <v/>
      </c>
      <c r="AL646">
        <f>(AC646+AD646+AE646+AF646+AG646+AH646+AI646+AJ646)/8</f>
        <v/>
      </c>
      <c r="AM646">
        <f>IF(AK646&gt;=2,(AK646-2)/8,0)</f>
        <v/>
      </c>
    </row>
    <row r="647">
      <c r="T647">
        <f>SUM(C647:R647)</f>
        <v/>
      </c>
      <c r="U647" s="6">
        <f>ROUND(T647/11.5,2)</f>
        <v/>
      </c>
      <c r="V647" s="7">
        <f>IF(B647="","",IF(AB647,0,ROUND(AL647,2)))</f>
        <v/>
      </c>
      <c r="W647" s="7">
        <f>IF(B647="","",IF(AB647,0,MIN(5,ROUND(AL647+AM647,2))))</f>
        <v/>
      </c>
      <c r="X647" s="8">
        <f>IF(B647="","",IF(W647&gt;=5,"A+",IF(W647&gt;=4,"A",IF(W647&gt;=3.5,"A-",IF(W647&gt;=3,"B",IF(W647&gt;=2,"C",IF(W647&gt;=1,"D","F")))))))</f>
        <v/>
      </c>
      <c r="Y647">
        <f>NOT(OR(AND(J647&gt;=10,K647&gt;=23,L647&gt;=10,M647&gt;=23),AND(J647+L647&gt;=20,K647+M647&gt;=46)))</f>
        <v/>
      </c>
      <c r="Z647">
        <f>OR(N647&lt;10,O647&lt;23)</f>
        <v/>
      </c>
      <c r="AA647">
        <f>OR(P647&lt;10,Q647&lt;23)</f>
        <v/>
      </c>
      <c r="AB647">
        <f>OR((C647+D647)&lt;66,(E647+F647)&lt;66,G647&lt;33,(H647+I647)&lt;66,Y647,Z647,AA647,R647&lt;8.25)</f>
        <v/>
      </c>
      <c r="AC647">
        <f>IF(C647+D647&lt;66,0,IF((C647+D647)/2&gt;=80,5,IF((C647+D647)/2&gt;=70,4,IF((C647+D647)/2&gt;=60,3.5,IF((C647+D647)/2&gt;=50,3,IF((C647+D647)/2&gt;=40,2,IF((C647+D647)/2&gt;=33,1,0)))))))</f>
        <v/>
      </c>
      <c r="AD647">
        <f>IF(E647+F647&lt;66,0,IF((E647+F647)/2&gt;=80,5,IF((E647+F647)/2&gt;=70,4,IF((E647+F647)/2&gt;=60,3.5,IF((E647+F647)/2&gt;=50,3,IF((E647+F647)/2&gt;=40,2,IF((E647+F647)/2&gt;=33,1,0)))))))</f>
        <v/>
      </c>
      <c r="AE647">
        <f>IF(G647&lt;33,0,IF(G647&gt;=80,5,IF(G647&gt;=70,4,IF(G647&gt;=60,3.5,IF(G647&gt;=50,3,IF(G647&gt;=40,2,IF(G647&gt;=33,1,0)))))))</f>
        <v/>
      </c>
      <c r="AF647">
        <f>IF(H647+I647&lt;66,0,IF((H647+I647)/2&gt;=80,5,IF((H647+I647)/2&gt;=70,4,IF((H647+I647)/2&gt;=60,3.5,IF((H647+I647)/2&gt;=50,3,IF((H647+I647)/2&gt;=40,2,IF((H647+I647)/2&gt;=33,1,0)))))))</f>
        <v/>
      </c>
      <c r="AG647">
        <f>IF(Y647,0,IF((J647+K647+L647+M647)/2&gt;=80,5,IF((J647+K647+L647+M647)/2&gt;=70,4,IF((J647+K647+L647+M647)/2&gt;=60,3.5,IF((J647+K647+L647+M647)/2&gt;=50,3,IF((J647+K647+L647+M647)/2&gt;=40,2,IF((J647+K647+L647+M647)/2&gt;=33,1,0)))))))</f>
        <v/>
      </c>
      <c r="AH647">
        <f>IF(Z647,0,IF(N647+O647&gt;=80,5,IF(N647+O647&gt;=70,4,IF(N647+O647&gt;=60,3.5,IF(N647+O647&gt;=50,3,IF(N647+O647&gt;=40,2,IF(N647+O647&gt;=33,1,0)))))))</f>
        <v/>
      </c>
      <c r="AI647">
        <f>IF(AA647,0,IF(P647+Q647&gt;=80,5,IF(P647+Q647&gt;=70,4,IF(P647+Q647&gt;=60,3.5,IF(P647+Q647&gt;=50,3,IF(P647+Q647&gt;=40,2,IF(P647+Q647&gt;=33,1,0)))))))</f>
        <v/>
      </c>
      <c r="AJ647">
        <f>IF(R647&lt;8.25,0,IF(R647*2&gt;=80,5,IF(R647*2&gt;=70,4,IF(R647*2&gt;=60,3.5,IF(R647*2&gt;=50,3,IF(R647*2&gt;=40,2,IF(R647*2&gt;=33,1,0)))))))</f>
        <v/>
      </c>
      <c r="AK647">
        <f>IF(S647&lt;33,0,IF(S647&gt;=80,5,IF(S647&gt;=70,4,IF(S647&gt;=60,3.5,IF(S647&gt;=50,3,IF(S647&gt;=40,2,IF(S647&gt;=33,1,0)))))))</f>
        <v/>
      </c>
      <c r="AL647">
        <f>(AC647+AD647+AE647+AF647+AG647+AH647+AI647+AJ647)/8</f>
        <v/>
      </c>
      <c r="AM647">
        <f>IF(AK647&gt;=2,(AK647-2)/8,0)</f>
        <v/>
      </c>
    </row>
    <row r="648">
      <c r="T648">
        <f>SUM(C648:R648)</f>
        <v/>
      </c>
      <c r="U648" s="6">
        <f>ROUND(T648/11.5,2)</f>
        <v/>
      </c>
      <c r="V648" s="7">
        <f>IF(B648="","",IF(AB648,0,ROUND(AL648,2)))</f>
        <v/>
      </c>
      <c r="W648" s="7">
        <f>IF(B648="","",IF(AB648,0,MIN(5,ROUND(AL648+AM648,2))))</f>
        <v/>
      </c>
      <c r="X648" s="8">
        <f>IF(B648="","",IF(W648&gt;=5,"A+",IF(W648&gt;=4,"A",IF(W648&gt;=3.5,"A-",IF(W648&gt;=3,"B",IF(W648&gt;=2,"C",IF(W648&gt;=1,"D","F")))))))</f>
        <v/>
      </c>
      <c r="Y648">
        <f>NOT(OR(AND(J648&gt;=10,K648&gt;=23,L648&gt;=10,M648&gt;=23),AND(J648+L648&gt;=20,K648+M648&gt;=46)))</f>
        <v/>
      </c>
      <c r="Z648">
        <f>OR(N648&lt;10,O648&lt;23)</f>
        <v/>
      </c>
      <c r="AA648">
        <f>OR(P648&lt;10,Q648&lt;23)</f>
        <v/>
      </c>
      <c r="AB648">
        <f>OR((C648+D648)&lt;66,(E648+F648)&lt;66,G648&lt;33,(H648+I648)&lt;66,Y648,Z648,AA648,R648&lt;8.25)</f>
        <v/>
      </c>
      <c r="AC648">
        <f>IF(C648+D648&lt;66,0,IF((C648+D648)/2&gt;=80,5,IF((C648+D648)/2&gt;=70,4,IF((C648+D648)/2&gt;=60,3.5,IF((C648+D648)/2&gt;=50,3,IF((C648+D648)/2&gt;=40,2,IF((C648+D648)/2&gt;=33,1,0)))))))</f>
        <v/>
      </c>
      <c r="AD648">
        <f>IF(E648+F648&lt;66,0,IF((E648+F648)/2&gt;=80,5,IF((E648+F648)/2&gt;=70,4,IF((E648+F648)/2&gt;=60,3.5,IF((E648+F648)/2&gt;=50,3,IF((E648+F648)/2&gt;=40,2,IF((E648+F648)/2&gt;=33,1,0)))))))</f>
        <v/>
      </c>
      <c r="AE648">
        <f>IF(G648&lt;33,0,IF(G648&gt;=80,5,IF(G648&gt;=70,4,IF(G648&gt;=60,3.5,IF(G648&gt;=50,3,IF(G648&gt;=40,2,IF(G648&gt;=33,1,0)))))))</f>
        <v/>
      </c>
      <c r="AF648">
        <f>IF(H648+I648&lt;66,0,IF((H648+I648)/2&gt;=80,5,IF((H648+I648)/2&gt;=70,4,IF((H648+I648)/2&gt;=60,3.5,IF((H648+I648)/2&gt;=50,3,IF((H648+I648)/2&gt;=40,2,IF((H648+I648)/2&gt;=33,1,0)))))))</f>
        <v/>
      </c>
      <c r="AG648">
        <f>IF(Y648,0,IF((J648+K648+L648+M648)/2&gt;=80,5,IF((J648+K648+L648+M648)/2&gt;=70,4,IF((J648+K648+L648+M648)/2&gt;=60,3.5,IF((J648+K648+L648+M648)/2&gt;=50,3,IF((J648+K648+L648+M648)/2&gt;=40,2,IF((J648+K648+L648+M648)/2&gt;=33,1,0)))))))</f>
        <v/>
      </c>
      <c r="AH648">
        <f>IF(Z648,0,IF(N648+O648&gt;=80,5,IF(N648+O648&gt;=70,4,IF(N648+O648&gt;=60,3.5,IF(N648+O648&gt;=50,3,IF(N648+O648&gt;=40,2,IF(N648+O648&gt;=33,1,0)))))))</f>
        <v/>
      </c>
      <c r="AI648">
        <f>IF(AA648,0,IF(P648+Q648&gt;=80,5,IF(P648+Q648&gt;=70,4,IF(P648+Q648&gt;=60,3.5,IF(P648+Q648&gt;=50,3,IF(P648+Q648&gt;=40,2,IF(P648+Q648&gt;=33,1,0)))))))</f>
        <v/>
      </c>
      <c r="AJ648">
        <f>IF(R648&lt;8.25,0,IF(R648*2&gt;=80,5,IF(R648*2&gt;=70,4,IF(R648*2&gt;=60,3.5,IF(R648*2&gt;=50,3,IF(R648*2&gt;=40,2,IF(R648*2&gt;=33,1,0)))))))</f>
        <v/>
      </c>
      <c r="AK648">
        <f>IF(S648&lt;33,0,IF(S648&gt;=80,5,IF(S648&gt;=70,4,IF(S648&gt;=60,3.5,IF(S648&gt;=50,3,IF(S648&gt;=40,2,IF(S648&gt;=33,1,0)))))))</f>
        <v/>
      </c>
      <c r="AL648">
        <f>(AC648+AD648+AE648+AF648+AG648+AH648+AI648+AJ648)/8</f>
        <v/>
      </c>
      <c r="AM648">
        <f>IF(AK648&gt;=2,(AK648-2)/8,0)</f>
        <v/>
      </c>
    </row>
    <row r="649">
      <c r="T649">
        <f>SUM(C649:R649)</f>
        <v/>
      </c>
      <c r="U649" s="6">
        <f>ROUND(T649/11.5,2)</f>
        <v/>
      </c>
      <c r="V649" s="7">
        <f>IF(B649="","",IF(AB649,0,ROUND(AL649,2)))</f>
        <v/>
      </c>
      <c r="W649" s="7">
        <f>IF(B649="","",IF(AB649,0,MIN(5,ROUND(AL649+AM649,2))))</f>
        <v/>
      </c>
      <c r="X649" s="8">
        <f>IF(B649="","",IF(W649&gt;=5,"A+",IF(W649&gt;=4,"A",IF(W649&gt;=3.5,"A-",IF(W649&gt;=3,"B",IF(W649&gt;=2,"C",IF(W649&gt;=1,"D","F")))))))</f>
        <v/>
      </c>
      <c r="Y649">
        <f>NOT(OR(AND(J649&gt;=10,K649&gt;=23,L649&gt;=10,M649&gt;=23),AND(J649+L649&gt;=20,K649+M649&gt;=46)))</f>
        <v/>
      </c>
      <c r="Z649">
        <f>OR(N649&lt;10,O649&lt;23)</f>
        <v/>
      </c>
      <c r="AA649">
        <f>OR(P649&lt;10,Q649&lt;23)</f>
        <v/>
      </c>
      <c r="AB649">
        <f>OR((C649+D649)&lt;66,(E649+F649)&lt;66,G649&lt;33,(H649+I649)&lt;66,Y649,Z649,AA649,R649&lt;8.25)</f>
        <v/>
      </c>
      <c r="AC649">
        <f>IF(C649+D649&lt;66,0,IF((C649+D649)/2&gt;=80,5,IF((C649+D649)/2&gt;=70,4,IF((C649+D649)/2&gt;=60,3.5,IF((C649+D649)/2&gt;=50,3,IF((C649+D649)/2&gt;=40,2,IF((C649+D649)/2&gt;=33,1,0)))))))</f>
        <v/>
      </c>
      <c r="AD649">
        <f>IF(E649+F649&lt;66,0,IF((E649+F649)/2&gt;=80,5,IF((E649+F649)/2&gt;=70,4,IF((E649+F649)/2&gt;=60,3.5,IF((E649+F649)/2&gt;=50,3,IF((E649+F649)/2&gt;=40,2,IF((E649+F649)/2&gt;=33,1,0)))))))</f>
        <v/>
      </c>
      <c r="AE649">
        <f>IF(G649&lt;33,0,IF(G649&gt;=80,5,IF(G649&gt;=70,4,IF(G649&gt;=60,3.5,IF(G649&gt;=50,3,IF(G649&gt;=40,2,IF(G649&gt;=33,1,0)))))))</f>
        <v/>
      </c>
      <c r="AF649">
        <f>IF(H649+I649&lt;66,0,IF((H649+I649)/2&gt;=80,5,IF((H649+I649)/2&gt;=70,4,IF((H649+I649)/2&gt;=60,3.5,IF((H649+I649)/2&gt;=50,3,IF((H649+I649)/2&gt;=40,2,IF((H649+I649)/2&gt;=33,1,0)))))))</f>
        <v/>
      </c>
      <c r="AG649">
        <f>IF(Y649,0,IF((J649+K649+L649+M649)/2&gt;=80,5,IF((J649+K649+L649+M649)/2&gt;=70,4,IF((J649+K649+L649+M649)/2&gt;=60,3.5,IF((J649+K649+L649+M649)/2&gt;=50,3,IF((J649+K649+L649+M649)/2&gt;=40,2,IF((J649+K649+L649+M649)/2&gt;=33,1,0)))))))</f>
        <v/>
      </c>
      <c r="AH649">
        <f>IF(Z649,0,IF(N649+O649&gt;=80,5,IF(N649+O649&gt;=70,4,IF(N649+O649&gt;=60,3.5,IF(N649+O649&gt;=50,3,IF(N649+O649&gt;=40,2,IF(N649+O649&gt;=33,1,0)))))))</f>
        <v/>
      </c>
      <c r="AI649">
        <f>IF(AA649,0,IF(P649+Q649&gt;=80,5,IF(P649+Q649&gt;=70,4,IF(P649+Q649&gt;=60,3.5,IF(P649+Q649&gt;=50,3,IF(P649+Q649&gt;=40,2,IF(P649+Q649&gt;=33,1,0)))))))</f>
        <v/>
      </c>
      <c r="AJ649">
        <f>IF(R649&lt;8.25,0,IF(R649*2&gt;=80,5,IF(R649*2&gt;=70,4,IF(R649*2&gt;=60,3.5,IF(R649*2&gt;=50,3,IF(R649*2&gt;=40,2,IF(R649*2&gt;=33,1,0)))))))</f>
        <v/>
      </c>
      <c r="AK649">
        <f>IF(S649&lt;33,0,IF(S649&gt;=80,5,IF(S649&gt;=70,4,IF(S649&gt;=60,3.5,IF(S649&gt;=50,3,IF(S649&gt;=40,2,IF(S649&gt;=33,1,0)))))))</f>
        <v/>
      </c>
      <c r="AL649">
        <f>(AC649+AD649+AE649+AF649+AG649+AH649+AI649+AJ649)/8</f>
        <v/>
      </c>
      <c r="AM649">
        <f>IF(AK649&gt;=2,(AK649-2)/8,0)</f>
        <v/>
      </c>
    </row>
    <row r="650">
      <c r="T650">
        <f>SUM(C650:R650)</f>
        <v/>
      </c>
      <c r="U650" s="6">
        <f>ROUND(T650/11.5,2)</f>
        <v/>
      </c>
      <c r="V650" s="7">
        <f>IF(B650="","",IF(AB650,0,ROUND(AL650,2)))</f>
        <v/>
      </c>
      <c r="W650" s="7">
        <f>IF(B650="","",IF(AB650,0,MIN(5,ROUND(AL650+AM650,2))))</f>
        <v/>
      </c>
      <c r="X650" s="8">
        <f>IF(B650="","",IF(W650&gt;=5,"A+",IF(W650&gt;=4,"A",IF(W650&gt;=3.5,"A-",IF(W650&gt;=3,"B",IF(W650&gt;=2,"C",IF(W650&gt;=1,"D","F")))))))</f>
        <v/>
      </c>
      <c r="Y650">
        <f>NOT(OR(AND(J650&gt;=10,K650&gt;=23,L650&gt;=10,M650&gt;=23),AND(J650+L650&gt;=20,K650+M650&gt;=46)))</f>
        <v/>
      </c>
      <c r="Z650">
        <f>OR(N650&lt;10,O650&lt;23)</f>
        <v/>
      </c>
      <c r="AA650">
        <f>OR(P650&lt;10,Q650&lt;23)</f>
        <v/>
      </c>
      <c r="AB650">
        <f>OR((C650+D650)&lt;66,(E650+F650)&lt;66,G650&lt;33,(H650+I650)&lt;66,Y650,Z650,AA650,R650&lt;8.25)</f>
        <v/>
      </c>
      <c r="AC650">
        <f>IF(C650+D650&lt;66,0,IF((C650+D650)/2&gt;=80,5,IF((C650+D650)/2&gt;=70,4,IF((C650+D650)/2&gt;=60,3.5,IF((C650+D650)/2&gt;=50,3,IF((C650+D650)/2&gt;=40,2,IF((C650+D650)/2&gt;=33,1,0)))))))</f>
        <v/>
      </c>
      <c r="AD650">
        <f>IF(E650+F650&lt;66,0,IF((E650+F650)/2&gt;=80,5,IF((E650+F650)/2&gt;=70,4,IF((E650+F650)/2&gt;=60,3.5,IF((E650+F650)/2&gt;=50,3,IF((E650+F650)/2&gt;=40,2,IF((E650+F650)/2&gt;=33,1,0)))))))</f>
        <v/>
      </c>
      <c r="AE650">
        <f>IF(G650&lt;33,0,IF(G650&gt;=80,5,IF(G650&gt;=70,4,IF(G650&gt;=60,3.5,IF(G650&gt;=50,3,IF(G650&gt;=40,2,IF(G650&gt;=33,1,0)))))))</f>
        <v/>
      </c>
      <c r="AF650">
        <f>IF(H650+I650&lt;66,0,IF((H650+I650)/2&gt;=80,5,IF((H650+I650)/2&gt;=70,4,IF((H650+I650)/2&gt;=60,3.5,IF((H650+I650)/2&gt;=50,3,IF((H650+I650)/2&gt;=40,2,IF((H650+I650)/2&gt;=33,1,0)))))))</f>
        <v/>
      </c>
      <c r="AG650">
        <f>IF(Y650,0,IF((J650+K650+L650+M650)/2&gt;=80,5,IF((J650+K650+L650+M650)/2&gt;=70,4,IF((J650+K650+L650+M650)/2&gt;=60,3.5,IF((J650+K650+L650+M650)/2&gt;=50,3,IF((J650+K650+L650+M650)/2&gt;=40,2,IF((J650+K650+L650+M650)/2&gt;=33,1,0)))))))</f>
        <v/>
      </c>
      <c r="AH650">
        <f>IF(Z650,0,IF(N650+O650&gt;=80,5,IF(N650+O650&gt;=70,4,IF(N650+O650&gt;=60,3.5,IF(N650+O650&gt;=50,3,IF(N650+O650&gt;=40,2,IF(N650+O650&gt;=33,1,0)))))))</f>
        <v/>
      </c>
      <c r="AI650">
        <f>IF(AA650,0,IF(P650+Q650&gt;=80,5,IF(P650+Q650&gt;=70,4,IF(P650+Q650&gt;=60,3.5,IF(P650+Q650&gt;=50,3,IF(P650+Q650&gt;=40,2,IF(P650+Q650&gt;=33,1,0)))))))</f>
        <v/>
      </c>
      <c r="AJ650">
        <f>IF(R650&lt;8.25,0,IF(R650*2&gt;=80,5,IF(R650*2&gt;=70,4,IF(R650*2&gt;=60,3.5,IF(R650*2&gt;=50,3,IF(R650*2&gt;=40,2,IF(R650*2&gt;=33,1,0)))))))</f>
        <v/>
      </c>
      <c r="AK650">
        <f>IF(S650&lt;33,0,IF(S650&gt;=80,5,IF(S650&gt;=70,4,IF(S650&gt;=60,3.5,IF(S650&gt;=50,3,IF(S650&gt;=40,2,IF(S650&gt;=33,1,0)))))))</f>
        <v/>
      </c>
      <c r="AL650">
        <f>(AC650+AD650+AE650+AF650+AG650+AH650+AI650+AJ650)/8</f>
        <v/>
      </c>
      <c r="AM650">
        <f>IF(AK650&gt;=2,(AK650-2)/8,0)</f>
        <v/>
      </c>
    </row>
    <row r="651">
      <c r="T651">
        <f>SUM(C651:R651)</f>
        <v/>
      </c>
      <c r="U651" s="6">
        <f>ROUND(T651/11.5,2)</f>
        <v/>
      </c>
      <c r="V651" s="7">
        <f>IF(B651="","",IF(AB651,0,ROUND(AL651,2)))</f>
        <v/>
      </c>
      <c r="W651" s="7">
        <f>IF(B651="","",IF(AB651,0,MIN(5,ROUND(AL651+AM651,2))))</f>
        <v/>
      </c>
      <c r="X651" s="8">
        <f>IF(B651="","",IF(W651&gt;=5,"A+",IF(W651&gt;=4,"A",IF(W651&gt;=3.5,"A-",IF(W651&gt;=3,"B",IF(W651&gt;=2,"C",IF(W651&gt;=1,"D","F")))))))</f>
        <v/>
      </c>
      <c r="Y651">
        <f>NOT(OR(AND(J651&gt;=10,K651&gt;=23,L651&gt;=10,M651&gt;=23),AND(J651+L651&gt;=20,K651+M651&gt;=46)))</f>
        <v/>
      </c>
      <c r="Z651">
        <f>OR(N651&lt;10,O651&lt;23)</f>
        <v/>
      </c>
      <c r="AA651">
        <f>OR(P651&lt;10,Q651&lt;23)</f>
        <v/>
      </c>
      <c r="AB651">
        <f>OR((C651+D651)&lt;66,(E651+F651)&lt;66,G651&lt;33,(H651+I651)&lt;66,Y651,Z651,AA651,R651&lt;8.25)</f>
        <v/>
      </c>
      <c r="AC651">
        <f>IF(C651+D651&lt;66,0,IF((C651+D651)/2&gt;=80,5,IF((C651+D651)/2&gt;=70,4,IF((C651+D651)/2&gt;=60,3.5,IF((C651+D651)/2&gt;=50,3,IF((C651+D651)/2&gt;=40,2,IF((C651+D651)/2&gt;=33,1,0)))))))</f>
        <v/>
      </c>
      <c r="AD651">
        <f>IF(E651+F651&lt;66,0,IF((E651+F651)/2&gt;=80,5,IF((E651+F651)/2&gt;=70,4,IF((E651+F651)/2&gt;=60,3.5,IF((E651+F651)/2&gt;=50,3,IF((E651+F651)/2&gt;=40,2,IF((E651+F651)/2&gt;=33,1,0)))))))</f>
        <v/>
      </c>
      <c r="AE651">
        <f>IF(G651&lt;33,0,IF(G651&gt;=80,5,IF(G651&gt;=70,4,IF(G651&gt;=60,3.5,IF(G651&gt;=50,3,IF(G651&gt;=40,2,IF(G651&gt;=33,1,0)))))))</f>
        <v/>
      </c>
      <c r="AF651">
        <f>IF(H651+I651&lt;66,0,IF((H651+I651)/2&gt;=80,5,IF((H651+I651)/2&gt;=70,4,IF((H651+I651)/2&gt;=60,3.5,IF((H651+I651)/2&gt;=50,3,IF((H651+I651)/2&gt;=40,2,IF((H651+I651)/2&gt;=33,1,0)))))))</f>
        <v/>
      </c>
      <c r="AG651">
        <f>IF(Y651,0,IF((J651+K651+L651+M651)/2&gt;=80,5,IF((J651+K651+L651+M651)/2&gt;=70,4,IF((J651+K651+L651+M651)/2&gt;=60,3.5,IF((J651+K651+L651+M651)/2&gt;=50,3,IF((J651+K651+L651+M651)/2&gt;=40,2,IF((J651+K651+L651+M651)/2&gt;=33,1,0)))))))</f>
        <v/>
      </c>
      <c r="AH651">
        <f>IF(Z651,0,IF(N651+O651&gt;=80,5,IF(N651+O651&gt;=70,4,IF(N651+O651&gt;=60,3.5,IF(N651+O651&gt;=50,3,IF(N651+O651&gt;=40,2,IF(N651+O651&gt;=33,1,0)))))))</f>
        <v/>
      </c>
      <c r="AI651">
        <f>IF(AA651,0,IF(P651+Q651&gt;=80,5,IF(P651+Q651&gt;=70,4,IF(P651+Q651&gt;=60,3.5,IF(P651+Q651&gt;=50,3,IF(P651+Q651&gt;=40,2,IF(P651+Q651&gt;=33,1,0)))))))</f>
        <v/>
      </c>
      <c r="AJ651">
        <f>IF(R651&lt;8.25,0,IF(R651*2&gt;=80,5,IF(R651*2&gt;=70,4,IF(R651*2&gt;=60,3.5,IF(R651*2&gt;=50,3,IF(R651*2&gt;=40,2,IF(R651*2&gt;=33,1,0)))))))</f>
        <v/>
      </c>
      <c r="AK651">
        <f>IF(S651&lt;33,0,IF(S651&gt;=80,5,IF(S651&gt;=70,4,IF(S651&gt;=60,3.5,IF(S651&gt;=50,3,IF(S651&gt;=40,2,IF(S651&gt;=33,1,0)))))))</f>
        <v/>
      </c>
      <c r="AL651">
        <f>(AC651+AD651+AE651+AF651+AG651+AH651+AI651+AJ651)/8</f>
        <v/>
      </c>
      <c r="AM651">
        <f>IF(AK651&gt;=2,(AK651-2)/8,0)</f>
        <v/>
      </c>
    </row>
    <row r="652">
      <c r="T652">
        <f>SUM(C652:R652)</f>
        <v/>
      </c>
      <c r="U652" s="6">
        <f>ROUND(T652/11.5,2)</f>
        <v/>
      </c>
      <c r="V652" s="7">
        <f>IF(B652="","",IF(AB652,0,ROUND(AL652,2)))</f>
        <v/>
      </c>
      <c r="W652" s="7">
        <f>IF(B652="","",IF(AB652,0,MIN(5,ROUND(AL652+AM652,2))))</f>
        <v/>
      </c>
      <c r="X652" s="8">
        <f>IF(B652="","",IF(W652&gt;=5,"A+",IF(W652&gt;=4,"A",IF(W652&gt;=3.5,"A-",IF(W652&gt;=3,"B",IF(W652&gt;=2,"C",IF(W652&gt;=1,"D","F")))))))</f>
        <v/>
      </c>
      <c r="Y652">
        <f>NOT(OR(AND(J652&gt;=10,K652&gt;=23,L652&gt;=10,M652&gt;=23),AND(J652+L652&gt;=20,K652+M652&gt;=46)))</f>
        <v/>
      </c>
      <c r="Z652">
        <f>OR(N652&lt;10,O652&lt;23)</f>
        <v/>
      </c>
      <c r="AA652">
        <f>OR(P652&lt;10,Q652&lt;23)</f>
        <v/>
      </c>
      <c r="AB652">
        <f>OR((C652+D652)&lt;66,(E652+F652)&lt;66,G652&lt;33,(H652+I652)&lt;66,Y652,Z652,AA652,R652&lt;8.25)</f>
        <v/>
      </c>
      <c r="AC652">
        <f>IF(C652+D652&lt;66,0,IF((C652+D652)/2&gt;=80,5,IF((C652+D652)/2&gt;=70,4,IF((C652+D652)/2&gt;=60,3.5,IF((C652+D652)/2&gt;=50,3,IF((C652+D652)/2&gt;=40,2,IF((C652+D652)/2&gt;=33,1,0)))))))</f>
        <v/>
      </c>
      <c r="AD652">
        <f>IF(E652+F652&lt;66,0,IF((E652+F652)/2&gt;=80,5,IF((E652+F652)/2&gt;=70,4,IF((E652+F652)/2&gt;=60,3.5,IF((E652+F652)/2&gt;=50,3,IF((E652+F652)/2&gt;=40,2,IF((E652+F652)/2&gt;=33,1,0)))))))</f>
        <v/>
      </c>
      <c r="AE652">
        <f>IF(G652&lt;33,0,IF(G652&gt;=80,5,IF(G652&gt;=70,4,IF(G652&gt;=60,3.5,IF(G652&gt;=50,3,IF(G652&gt;=40,2,IF(G652&gt;=33,1,0)))))))</f>
        <v/>
      </c>
      <c r="AF652">
        <f>IF(H652+I652&lt;66,0,IF((H652+I652)/2&gt;=80,5,IF((H652+I652)/2&gt;=70,4,IF((H652+I652)/2&gt;=60,3.5,IF((H652+I652)/2&gt;=50,3,IF((H652+I652)/2&gt;=40,2,IF((H652+I652)/2&gt;=33,1,0)))))))</f>
        <v/>
      </c>
      <c r="AG652">
        <f>IF(Y652,0,IF((J652+K652+L652+M652)/2&gt;=80,5,IF((J652+K652+L652+M652)/2&gt;=70,4,IF((J652+K652+L652+M652)/2&gt;=60,3.5,IF((J652+K652+L652+M652)/2&gt;=50,3,IF((J652+K652+L652+M652)/2&gt;=40,2,IF((J652+K652+L652+M652)/2&gt;=33,1,0)))))))</f>
        <v/>
      </c>
      <c r="AH652">
        <f>IF(Z652,0,IF(N652+O652&gt;=80,5,IF(N652+O652&gt;=70,4,IF(N652+O652&gt;=60,3.5,IF(N652+O652&gt;=50,3,IF(N652+O652&gt;=40,2,IF(N652+O652&gt;=33,1,0)))))))</f>
        <v/>
      </c>
      <c r="AI652">
        <f>IF(AA652,0,IF(P652+Q652&gt;=80,5,IF(P652+Q652&gt;=70,4,IF(P652+Q652&gt;=60,3.5,IF(P652+Q652&gt;=50,3,IF(P652+Q652&gt;=40,2,IF(P652+Q652&gt;=33,1,0)))))))</f>
        <v/>
      </c>
      <c r="AJ652">
        <f>IF(R652&lt;8.25,0,IF(R652*2&gt;=80,5,IF(R652*2&gt;=70,4,IF(R652*2&gt;=60,3.5,IF(R652*2&gt;=50,3,IF(R652*2&gt;=40,2,IF(R652*2&gt;=33,1,0)))))))</f>
        <v/>
      </c>
      <c r="AK652">
        <f>IF(S652&lt;33,0,IF(S652&gt;=80,5,IF(S652&gt;=70,4,IF(S652&gt;=60,3.5,IF(S652&gt;=50,3,IF(S652&gt;=40,2,IF(S652&gt;=33,1,0)))))))</f>
        <v/>
      </c>
      <c r="AL652">
        <f>(AC652+AD652+AE652+AF652+AG652+AH652+AI652+AJ652)/8</f>
        <v/>
      </c>
      <c r="AM652">
        <f>IF(AK652&gt;=2,(AK652-2)/8,0)</f>
        <v/>
      </c>
    </row>
    <row r="653">
      <c r="T653">
        <f>SUM(C653:R653)</f>
        <v/>
      </c>
      <c r="U653" s="6">
        <f>ROUND(T653/11.5,2)</f>
        <v/>
      </c>
      <c r="V653" s="7">
        <f>IF(B653="","",IF(AB653,0,ROUND(AL653,2)))</f>
        <v/>
      </c>
      <c r="W653" s="7">
        <f>IF(B653="","",IF(AB653,0,MIN(5,ROUND(AL653+AM653,2))))</f>
        <v/>
      </c>
      <c r="X653" s="8">
        <f>IF(B653="","",IF(W653&gt;=5,"A+",IF(W653&gt;=4,"A",IF(W653&gt;=3.5,"A-",IF(W653&gt;=3,"B",IF(W653&gt;=2,"C",IF(W653&gt;=1,"D","F")))))))</f>
        <v/>
      </c>
      <c r="Y653">
        <f>NOT(OR(AND(J653&gt;=10,K653&gt;=23,L653&gt;=10,M653&gt;=23),AND(J653+L653&gt;=20,K653+M653&gt;=46)))</f>
        <v/>
      </c>
      <c r="Z653">
        <f>OR(N653&lt;10,O653&lt;23)</f>
        <v/>
      </c>
      <c r="AA653">
        <f>OR(P653&lt;10,Q653&lt;23)</f>
        <v/>
      </c>
      <c r="AB653">
        <f>OR((C653+D653)&lt;66,(E653+F653)&lt;66,G653&lt;33,(H653+I653)&lt;66,Y653,Z653,AA653,R653&lt;8.25)</f>
        <v/>
      </c>
      <c r="AC653">
        <f>IF(C653+D653&lt;66,0,IF((C653+D653)/2&gt;=80,5,IF((C653+D653)/2&gt;=70,4,IF((C653+D653)/2&gt;=60,3.5,IF((C653+D653)/2&gt;=50,3,IF((C653+D653)/2&gt;=40,2,IF((C653+D653)/2&gt;=33,1,0)))))))</f>
        <v/>
      </c>
      <c r="AD653">
        <f>IF(E653+F653&lt;66,0,IF((E653+F653)/2&gt;=80,5,IF((E653+F653)/2&gt;=70,4,IF((E653+F653)/2&gt;=60,3.5,IF((E653+F653)/2&gt;=50,3,IF((E653+F653)/2&gt;=40,2,IF((E653+F653)/2&gt;=33,1,0)))))))</f>
        <v/>
      </c>
      <c r="AE653">
        <f>IF(G653&lt;33,0,IF(G653&gt;=80,5,IF(G653&gt;=70,4,IF(G653&gt;=60,3.5,IF(G653&gt;=50,3,IF(G653&gt;=40,2,IF(G653&gt;=33,1,0)))))))</f>
        <v/>
      </c>
      <c r="AF653">
        <f>IF(H653+I653&lt;66,0,IF((H653+I653)/2&gt;=80,5,IF((H653+I653)/2&gt;=70,4,IF((H653+I653)/2&gt;=60,3.5,IF((H653+I653)/2&gt;=50,3,IF((H653+I653)/2&gt;=40,2,IF((H653+I653)/2&gt;=33,1,0)))))))</f>
        <v/>
      </c>
      <c r="AG653">
        <f>IF(Y653,0,IF((J653+K653+L653+M653)/2&gt;=80,5,IF((J653+K653+L653+M653)/2&gt;=70,4,IF((J653+K653+L653+M653)/2&gt;=60,3.5,IF((J653+K653+L653+M653)/2&gt;=50,3,IF((J653+K653+L653+M653)/2&gt;=40,2,IF((J653+K653+L653+M653)/2&gt;=33,1,0)))))))</f>
        <v/>
      </c>
      <c r="AH653">
        <f>IF(Z653,0,IF(N653+O653&gt;=80,5,IF(N653+O653&gt;=70,4,IF(N653+O653&gt;=60,3.5,IF(N653+O653&gt;=50,3,IF(N653+O653&gt;=40,2,IF(N653+O653&gt;=33,1,0)))))))</f>
        <v/>
      </c>
      <c r="AI653">
        <f>IF(AA653,0,IF(P653+Q653&gt;=80,5,IF(P653+Q653&gt;=70,4,IF(P653+Q653&gt;=60,3.5,IF(P653+Q653&gt;=50,3,IF(P653+Q653&gt;=40,2,IF(P653+Q653&gt;=33,1,0)))))))</f>
        <v/>
      </c>
      <c r="AJ653">
        <f>IF(R653&lt;8.25,0,IF(R653*2&gt;=80,5,IF(R653*2&gt;=70,4,IF(R653*2&gt;=60,3.5,IF(R653*2&gt;=50,3,IF(R653*2&gt;=40,2,IF(R653*2&gt;=33,1,0)))))))</f>
        <v/>
      </c>
      <c r="AK653">
        <f>IF(S653&lt;33,0,IF(S653&gt;=80,5,IF(S653&gt;=70,4,IF(S653&gt;=60,3.5,IF(S653&gt;=50,3,IF(S653&gt;=40,2,IF(S653&gt;=33,1,0)))))))</f>
        <v/>
      </c>
      <c r="AL653">
        <f>(AC653+AD653+AE653+AF653+AG653+AH653+AI653+AJ653)/8</f>
        <v/>
      </c>
      <c r="AM653">
        <f>IF(AK653&gt;=2,(AK653-2)/8,0)</f>
        <v/>
      </c>
    </row>
    <row r="654">
      <c r="T654">
        <f>SUM(C654:R654)</f>
        <v/>
      </c>
      <c r="U654" s="6">
        <f>ROUND(T654/11.5,2)</f>
        <v/>
      </c>
      <c r="V654" s="7">
        <f>IF(B654="","",IF(AB654,0,ROUND(AL654,2)))</f>
        <v/>
      </c>
      <c r="W654" s="7">
        <f>IF(B654="","",IF(AB654,0,MIN(5,ROUND(AL654+AM654,2))))</f>
        <v/>
      </c>
      <c r="X654" s="8">
        <f>IF(B654="","",IF(W654&gt;=5,"A+",IF(W654&gt;=4,"A",IF(W654&gt;=3.5,"A-",IF(W654&gt;=3,"B",IF(W654&gt;=2,"C",IF(W654&gt;=1,"D","F")))))))</f>
        <v/>
      </c>
      <c r="Y654">
        <f>NOT(OR(AND(J654&gt;=10,K654&gt;=23,L654&gt;=10,M654&gt;=23),AND(J654+L654&gt;=20,K654+M654&gt;=46)))</f>
        <v/>
      </c>
      <c r="Z654">
        <f>OR(N654&lt;10,O654&lt;23)</f>
        <v/>
      </c>
      <c r="AA654">
        <f>OR(P654&lt;10,Q654&lt;23)</f>
        <v/>
      </c>
      <c r="AB654">
        <f>OR((C654+D654)&lt;66,(E654+F654)&lt;66,G654&lt;33,(H654+I654)&lt;66,Y654,Z654,AA654,R654&lt;8.25)</f>
        <v/>
      </c>
      <c r="AC654">
        <f>IF(C654+D654&lt;66,0,IF((C654+D654)/2&gt;=80,5,IF((C654+D654)/2&gt;=70,4,IF((C654+D654)/2&gt;=60,3.5,IF((C654+D654)/2&gt;=50,3,IF((C654+D654)/2&gt;=40,2,IF((C654+D654)/2&gt;=33,1,0)))))))</f>
        <v/>
      </c>
      <c r="AD654">
        <f>IF(E654+F654&lt;66,0,IF((E654+F654)/2&gt;=80,5,IF((E654+F654)/2&gt;=70,4,IF((E654+F654)/2&gt;=60,3.5,IF((E654+F654)/2&gt;=50,3,IF((E654+F654)/2&gt;=40,2,IF((E654+F654)/2&gt;=33,1,0)))))))</f>
        <v/>
      </c>
      <c r="AE654">
        <f>IF(G654&lt;33,0,IF(G654&gt;=80,5,IF(G654&gt;=70,4,IF(G654&gt;=60,3.5,IF(G654&gt;=50,3,IF(G654&gt;=40,2,IF(G654&gt;=33,1,0)))))))</f>
        <v/>
      </c>
      <c r="AF654">
        <f>IF(H654+I654&lt;66,0,IF((H654+I654)/2&gt;=80,5,IF((H654+I654)/2&gt;=70,4,IF((H654+I654)/2&gt;=60,3.5,IF((H654+I654)/2&gt;=50,3,IF((H654+I654)/2&gt;=40,2,IF((H654+I654)/2&gt;=33,1,0)))))))</f>
        <v/>
      </c>
      <c r="AG654">
        <f>IF(Y654,0,IF((J654+K654+L654+M654)/2&gt;=80,5,IF((J654+K654+L654+M654)/2&gt;=70,4,IF((J654+K654+L654+M654)/2&gt;=60,3.5,IF((J654+K654+L654+M654)/2&gt;=50,3,IF((J654+K654+L654+M654)/2&gt;=40,2,IF((J654+K654+L654+M654)/2&gt;=33,1,0)))))))</f>
        <v/>
      </c>
      <c r="AH654">
        <f>IF(Z654,0,IF(N654+O654&gt;=80,5,IF(N654+O654&gt;=70,4,IF(N654+O654&gt;=60,3.5,IF(N654+O654&gt;=50,3,IF(N654+O654&gt;=40,2,IF(N654+O654&gt;=33,1,0)))))))</f>
        <v/>
      </c>
      <c r="AI654">
        <f>IF(AA654,0,IF(P654+Q654&gt;=80,5,IF(P654+Q654&gt;=70,4,IF(P654+Q654&gt;=60,3.5,IF(P654+Q654&gt;=50,3,IF(P654+Q654&gt;=40,2,IF(P654+Q654&gt;=33,1,0)))))))</f>
        <v/>
      </c>
      <c r="AJ654">
        <f>IF(R654&lt;8.25,0,IF(R654*2&gt;=80,5,IF(R654*2&gt;=70,4,IF(R654*2&gt;=60,3.5,IF(R654*2&gt;=50,3,IF(R654*2&gt;=40,2,IF(R654*2&gt;=33,1,0)))))))</f>
        <v/>
      </c>
      <c r="AK654">
        <f>IF(S654&lt;33,0,IF(S654&gt;=80,5,IF(S654&gt;=70,4,IF(S654&gt;=60,3.5,IF(S654&gt;=50,3,IF(S654&gt;=40,2,IF(S654&gt;=33,1,0)))))))</f>
        <v/>
      </c>
      <c r="AL654">
        <f>(AC654+AD654+AE654+AF654+AG654+AH654+AI654+AJ654)/8</f>
        <v/>
      </c>
      <c r="AM654">
        <f>IF(AK654&gt;=2,(AK654-2)/8,0)</f>
        <v/>
      </c>
    </row>
    <row r="655">
      <c r="T655">
        <f>SUM(C655:R655)</f>
        <v/>
      </c>
      <c r="U655" s="6">
        <f>ROUND(T655/11.5,2)</f>
        <v/>
      </c>
      <c r="V655" s="7">
        <f>IF(B655="","",IF(AB655,0,ROUND(AL655,2)))</f>
        <v/>
      </c>
      <c r="W655" s="7">
        <f>IF(B655="","",IF(AB655,0,MIN(5,ROUND(AL655+AM655,2))))</f>
        <v/>
      </c>
      <c r="X655" s="8">
        <f>IF(B655="","",IF(W655&gt;=5,"A+",IF(W655&gt;=4,"A",IF(W655&gt;=3.5,"A-",IF(W655&gt;=3,"B",IF(W655&gt;=2,"C",IF(W655&gt;=1,"D","F")))))))</f>
        <v/>
      </c>
      <c r="Y655">
        <f>NOT(OR(AND(J655&gt;=10,K655&gt;=23,L655&gt;=10,M655&gt;=23),AND(J655+L655&gt;=20,K655+M655&gt;=46)))</f>
        <v/>
      </c>
      <c r="Z655">
        <f>OR(N655&lt;10,O655&lt;23)</f>
        <v/>
      </c>
      <c r="AA655">
        <f>OR(P655&lt;10,Q655&lt;23)</f>
        <v/>
      </c>
      <c r="AB655">
        <f>OR((C655+D655)&lt;66,(E655+F655)&lt;66,G655&lt;33,(H655+I655)&lt;66,Y655,Z655,AA655,R655&lt;8.25)</f>
        <v/>
      </c>
      <c r="AC655">
        <f>IF(C655+D655&lt;66,0,IF((C655+D655)/2&gt;=80,5,IF((C655+D655)/2&gt;=70,4,IF((C655+D655)/2&gt;=60,3.5,IF((C655+D655)/2&gt;=50,3,IF((C655+D655)/2&gt;=40,2,IF((C655+D655)/2&gt;=33,1,0)))))))</f>
        <v/>
      </c>
      <c r="AD655">
        <f>IF(E655+F655&lt;66,0,IF((E655+F655)/2&gt;=80,5,IF((E655+F655)/2&gt;=70,4,IF((E655+F655)/2&gt;=60,3.5,IF((E655+F655)/2&gt;=50,3,IF((E655+F655)/2&gt;=40,2,IF((E655+F655)/2&gt;=33,1,0)))))))</f>
        <v/>
      </c>
      <c r="AE655">
        <f>IF(G655&lt;33,0,IF(G655&gt;=80,5,IF(G655&gt;=70,4,IF(G655&gt;=60,3.5,IF(G655&gt;=50,3,IF(G655&gt;=40,2,IF(G655&gt;=33,1,0)))))))</f>
        <v/>
      </c>
      <c r="AF655">
        <f>IF(H655+I655&lt;66,0,IF((H655+I655)/2&gt;=80,5,IF((H655+I655)/2&gt;=70,4,IF((H655+I655)/2&gt;=60,3.5,IF((H655+I655)/2&gt;=50,3,IF((H655+I655)/2&gt;=40,2,IF((H655+I655)/2&gt;=33,1,0)))))))</f>
        <v/>
      </c>
      <c r="AG655">
        <f>IF(Y655,0,IF((J655+K655+L655+M655)/2&gt;=80,5,IF((J655+K655+L655+M655)/2&gt;=70,4,IF((J655+K655+L655+M655)/2&gt;=60,3.5,IF((J655+K655+L655+M655)/2&gt;=50,3,IF((J655+K655+L655+M655)/2&gt;=40,2,IF((J655+K655+L655+M655)/2&gt;=33,1,0)))))))</f>
        <v/>
      </c>
      <c r="AH655">
        <f>IF(Z655,0,IF(N655+O655&gt;=80,5,IF(N655+O655&gt;=70,4,IF(N655+O655&gt;=60,3.5,IF(N655+O655&gt;=50,3,IF(N655+O655&gt;=40,2,IF(N655+O655&gt;=33,1,0)))))))</f>
        <v/>
      </c>
      <c r="AI655">
        <f>IF(AA655,0,IF(P655+Q655&gt;=80,5,IF(P655+Q655&gt;=70,4,IF(P655+Q655&gt;=60,3.5,IF(P655+Q655&gt;=50,3,IF(P655+Q655&gt;=40,2,IF(P655+Q655&gt;=33,1,0)))))))</f>
        <v/>
      </c>
      <c r="AJ655">
        <f>IF(R655&lt;8.25,0,IF(R655*2&gt;=80,5,IF(R655*2&gt;=70,4,IF(R655*2&gt;=60,3.5,IF(R655*2&gt;=50,3,IF(R655*2&gt;=40,2,IF(R655*2&gt;=33,1,0)))))))</f>
        <v/>
      </c>
      <c r="AK655">
        <f>IF(S655&lt;33,0,IF(S655&gt;=80,5,IF(S655&gt;=70,4,IF(S655&gt;=60,3.5,IF(S655&gt;=50,3,IF(S655&gt;=40,2,IF(S655&gt;=33,1,0)))))))</f>
        <v/>
      </c>
      <c r="AL655">
        <f>(AC655+AD655+AE655+AF655+AG655+AH655+AI655+AJ655)/8</f>
        <v/>
      </c>
      <c r="AM655">
        <f>IF(AK655&gt;=2,(AK655-2)/8,0)</f>
        <v/>
      </c>
    </row>
    <row r="656">
      <c r="T656">
        <f>SUM(C656:R656)</f>
        <v/>
      </c>
      <c r="U656" s="6">
        <f>ROUND(T656/11.5,2)</f>
        <v/>
      </c>
      <c r="V656" s="7">
        <f>IF(B656="","",IF(AB656,0,ROUND(AL656,2)))</f>
        <v/>
      </c>
      <c r="W656" s="7">
        <f>IF(B656="","",IF(AB656,0,MIN(5,ROUND(AL656+AM656,2))))</f>
        <v/>
      </c>
      <c r="X656" s="8">
        <f>IF(B656="","",IF(W656&gt;=5,"A+",IF(W656&gt;=4,"A",IF(W656&gt;=3.5,"A-",IF(W656&gt;=3,"B",IF(W656&gt;=2,"C",IF(W656&gt;=1,"D","F")))))))</f>
        <v/>
      </c>
      <c r="Y656">
        <f>NOT(OR(AND(J656&gt;=10,K656&gt;=23,L656&gt;=10,M656&gt;=23),AND(J656+L656&gt;=20,K656+M656&gt;=46)))</f>
        <v/>
      </c>
      <c r="Z656">
        <f>OR(N656&lt;10,O656&lt;23)</f>
        <v/>
      </c>
      <c r="AA656">
        <f>OR(P656&lt;10,Q656&lt;23)</f>
        <v/>
      </c>
      <c r="AB656">
        <f>OR((C656+D656)&lt;66,(E656+F656)&lt;66,G656&lt;33,(H656+I656)&lt;66,Y656,Z656,AA656,R656&lt;8.25)</f>
        <v/>
      </c>
      <c r="AC656">
        <f>IF(C656+D656&lt;66,0,IF((C656+D656)/2&gt;=80,5,IF((C656+D656)/2&gt;=70,4,IF((C656+D656)/2&gt;=60,3.5,IF((C656+D656)/2&gt;=50,3,IF((C656+D656)/2&gt;=40,2,IF((C656+D656)/2&gt;=33,1,0)))))))</f>
        <v/>
      </c>
      <c r="AD656">
        <f>IF(E656+F656&lt;66,0,IF((E656+F656)/2&gt;=80,5,IF((E656+F656)/2&gt;=70,4,IF((E656+F656)/2&gt;=60,3.5,IF((E656+F656)/2&gt;=50,3,IF((E656+F656)/2&gt;=40,2,IF((E656+F656)/2&gt;=33,1,0)))))))</f>
        <v/>
      </c>
      <c r="AE656">
        <f>IF(G656&lt;33,0,IF(G656&gt;=80,5,IF(G656&gt;=70,4,IF(G656&gt;=60,3.5,IF(G656&gt;=50,3,IF(G656&gt;=40,2,IF(G656&gt;=33,1,0)))))))</f>
        <v/>
      </c>
      <c r="AF656">
        <f>IF(H656+I656&lt;66,0,IF((H656+I656)/2&gt;=80,5,IF((H656+I656)/2&gt;=70,4,IF((H656+I656)/2&gt;=60,3.5,IF((H656+I656)/2&gt;=50,3,IF((H656+I656)/2&gt;=40,2,IF((H656+I656)/2&gt;=33,1,0)))))))</f>
        <v/>
      </c>
      <c r="AG656">
        <f>IF(Y656,0,IF((J656+K656+L656+M656)/2&gt;=80,5,IF((J656+K656+L656+M656)/2&gt;=70,4,IF((J656+K656+L656+M656)/2&gt;=60,3.5,IF((J656+K656+L656+M656)/2&gt;=50,3,IF((J656+K656+L656+M656)/2&gt;=40,2,IF((J656+K656+L656+M656)/2&gt;=33,1,0)))))))</f>
        <v/>
      </c>
      <c r="AH656">
        <f>IF(Z656,0,IF(N656+O656&gt;=80,5,IF(N656+O656&gt;=70,4,IF(N656+O656&gt;=60,3.5,IF(N656+O656&gt;=50,3,IF(N656+O656&gt;=40,2,IF(N656+O656&gt;=33,1,0)))))))</f>
        <v/>
      </c>
      <c r="AI656">
        <f>IF(AA656,0,IF(P656+Q656&gt;=80,5,IF(P656+Q656&gt;=70,4,IF(P656+Q656&gt;=60,3.5,IF(P656+Q656&gt;=50,3,IF(P656+Q656&gt;=40,2,IF(P656+Q656&gt;=33,1,0)))))))</f>
        <v/>
      </c>
      <c r="AJ656">
        <f>IF(R656&lt;8.25,0,IF(R656*2&gt;=80,5,IF(R656*2&gt;=70,4,IF(R656*2&gt;=60,3.5,IF(R656*2&gt;=50,3,IF(R656*2&gt;=40,2,IF(R656*2&gt;=33,1,0)))))))</f>
        <v/>
      </c>
      <c r="AK656">
        <f>IF(S656&lt;33,0,IF(S656&gt;=80,5,IF(S656&gt;=70,4,IF(S656&gt;=60,3.5,IF(S656&gt;=50,3,IF(S656&gt;=40,2,IF(S656&gt;=33,1,0)))))))</f>
        <v/>
      </c>
      <c r="AL656">
        <f>(AC656+AD656+AE656+AF656+AG656+AH656+AI656+AJ656)/8</f>
        <v/>
      </c>
      <c r="AM656">
        <f>IF(AK656&gt;=2,(AK656-2)/8,0)</f>
        <v/>
      </c>
    </row>
    <row r="657">
      <c r="T657">
        <f>SUM(C657:R657)</f>
        <v/>
      </c>
      <c r="U657" s="6">
        <f>ROUND(T657/11.5,2)</f>
        <v/>
      </c>
      <c r="V657" s="7">
        <f>IF(B657="","",IF(AB657,0,ROUND(AL657,2)))</f>
        <v/>
      </c>
      <c r="W657" s="7">
        <f>IF(B657="","",IF(AB657,0,MIN(5,ROUND(AL657+AM657,2))))</f>
        <v/>
      </c>
      <c r="X657" s="8">
        <f>IF(B657="","",IF(W657&gt;=5,"A+",IF(W657&gt;=4,"A",IF(W657&gt;=3.5,"A-",IF(W657&gt;=3,"B",IF(W657&gt;=2,"C",IF(W657&gt;=1,"D","F")))))))</f>
        <v/>
      </c>
      <c r="Y657">
        <f>NOT(OR(AND(J657&gt;=10,K657&gt;=23,L657&gt;=10,M657&gt;=23),AND(J657+L657&gt;=20,K657+M657&gt;=46)))</f>
        <v/>
      </c>
      <c r="Z657">
        <f>OR(N657&lt;10,O657&lt;23)</f>
        <v/>
      </c>
      <c r="AA657">
        <f>OR(P657&lt;10,Q657&lt;23)</f>
        <v/>
      </c>
      <c r="AB657">
        <f>OR((C657+D657)&lt;66,(E657+F657)&lt;66,G657&lt;33,(H657+I657)&lt;66,Y657,Z657,AA657,R657&lt;8.25)</f>
        <v/>
      </c>
      <c r="AC657">
        <f>IF(C657+D657&lt;66,0,IF((C657+D657)/2&gt;=80,5,IF((C657+D657)/2&gt;=70,4,IF((C657+D657)/2&gt;=60,3.5,IF((C657+D657)/2&gt;=50,3,IF((C657+D657)/2&gt;=40,2,IF((C657+D657)/2&gt;=33,1,0)))))))</f>
        <v/>
      </c>
      <c r="AD657">
        <f>IF(E657+F657&lt;66,0,IF((E657+F657)/2&gt;=80,5,IF((E657+F657)/2&gt;=70,4,IF((E657+F657)/2&gt;=60,3.5,IF((E657+F657)/2&gt;=50,3,IF((E657+F657)/2&gt;=40,2,IF((E657+F657)/2&gt;=33,1,0)))))))</f>
        <v/>
      </c>
      <c r="AE657">
        <f>IF(G657&lt;33,0,IF(G657&gt;=80,5,IF(G657&gt;=70,4,IF(G657&gt;=60,3.5,IF(G657&gt;=50,3,IF(G657&gt;=40,2,IF(G657&gt;=33,1,0)))))))</f>
        <v/>
      </c>
      <c r="AF657">
        <f>IF(H657+I657&lt;66,0,IF((H657+I657)/2&gt;=80,5,IF((H657+I657)/2&gt;=70,4,IF((H657+I657)/2&gt;=60,3.5,IF((H657+I657)/2&gt;=50,3,IF((H657+I657)/2&gt;=40,2,IF((H657+I657)/2&gt;=33,1,0)))))))</f>
        <v/>
      </c>
      <c r="AG657">
        <f>IF(Y657,0,IF((J657+K657+L657+M657)/2&gt;=80,5,IF((J657+K657+L657+M657)/2&gt;=70,4,IF((J657+K657+L657+M657)/2&gt;=60,3.5,IF((J657+K657+L657+M657)/2&gt;=50,3,IF((J657+K657+L657+M657)/2&gt;=40,2,IF((J657+K657+L657+M657)/2&gt;=33,1,0)))))))</f>
        <v/>
      </c>
      <c r="AH657">
        <f>IF(Z657,0,IF(N657+O657&gt;=80,5,IF(N657+O657&gt;=70,4,IF(N657+O657&gt;=60,3.5,IF(N657+O657&gt;=50,3,IF(N657+O657&gt;=40,2,IF(N657+O657&gt;=33,1,0)))))))</f>
        <v/>
      </c>
      <c r="AI657">
        <f>IF(AA657,0,IF(P657+Q657&gt;=80,5,IF(P657+Q657&gt;=70,4,IF(P657+Q657&gt;=60,3.5,IF(P657+Q657&gt;=50,3,IF(P657+Q657&gt;=40,2,IF(P657+Q657&gt;=33,1,0)))))))</f>
        <v/>
      </c>
      <c r="AJ657">
        <f>IF(R657&lt;8.25,0,IF(R657*2&gt;=80,5,IF(R657*2&gt;=70,4,IF(R657*2&gt;=60,3.5,IF(R657*2&gt;=50,3,IF(R657*2&gt;=40,2,IF(R657*2&gt;=33,1,0)))))))</f>
        <v/>
      </c>
      <c r="AK657">
        <f>IF(S657&lt;33,0,IF(S657&gt;=80,5,IF(S657&gt;=70,4,IF(S657&gt;=60,3.5,IF(S657&gt;=50,3,IF(S657&gt;=40,2,IF(S657&gt;=33,1,0)))))))</f>
        <v/>
      </c>
      <c r="AL657">
        <f>(AC657+AD657+AE657+AF657+AG657+AH657+AI657+AJ657)/8</f>
        <v/>
      </c>
      <c r="AM657">
        <f>IF(AK657&gt;=2,(AK657-2)/8,0)</f>
        <v/>
      </c>
    </row>
    <row r="658">
      <c r="T658">
        <f>SUM(C658:R658)</f>
        <v/>
      </c>
      <c r="U658" s="6">
        <f>ROUND(T658/11.5,2)</f>
        <v/>
      </c>
      <c r="V658" s="7">
        <f>IF(B658="","",IF(AB658,0,ROUND(AL658,2)))</f>
        <v/>
      </c>
      <c r="W658" s="7">
        <f>IF(B658="","",IF(AB658,0,MIN(5,ROUND(AL658+AM658,2))))</f>
        <v/>
      </c>
      <c r="X658" s="8">
        <f>IF(B658="","",IF(W658&gt;=5,"A+",IF(W658&gt;=4,"A",IF(W658&gt;=3.5,"A-",IF(W658&gt;=3,"B",IF(W658&gt;=2,"C",IF(W658&gt;=1,"D","F")))))))</f>
        <v/>
      </c>
      <c r="Y658">
        <f>NOT(OR(AND(J658&gt;=10,K658&gt;=23,L658&gt;=10,M658&gt;=23),AND(J658+L658&gt;=20,K658+M658&gt;=46)))</f>
        <v/>
      </c>
      <c r="Z658">
        <f>OR(N658&lt;10,O658&lt;23)</f>
        <v/>
      </c>
      <c r="AA658">
        <f>OR(P658&lt;10,Q658&lt;23)</f>
        <v/>
      </c>
      <c r="AB658">
        <f>OR((C658+D658)&lt;66,(E658+F658)&lt;66,G658&lt;33,(H658+I658)&lt;66,Y658,Z658,AA658,R658&lt;8.25)</f>
        <v/>
      </c>
      <c r="AC658">
        <f>IF(C658+D658&lt;66,0,IF((C658+D658)/2&gt;=80,5,IF((C658+D658)/2&gt;=70,4,IF((C658+D658)/2&gt;=60,3.5,IF((C658+D658)/2&gt;=50,3,IF((C658+D658)/2&gt;=40,2,IF((C658+D658)/2&gt;=33,1,0)))))))</f>
        <v/>
      </c>
      <c r="AD658">
        <f>IF(E658+F658&lt;66,0,IF((E658+F658)/2&gt;=80,5,IF((E658+F658)/2&gt;=70,4,IF((E658+F658)/2&gt;=60,3.5,IF((E658+F658)/2&gt;=50,3,IF((E658+F658)/2&gt;=40,2,IF((E658+F658)/2&gt;=33,1,0)))))))</f>
        <v/>
      </c>
      <c r="AE658">
        <f>IF(G658&lt;33,0,IF(G658&gt;=80,5,IF(G658&gt;=70,4,IF(G658&gt;=60,3.5,IF(G658&gt;=50,3,IF(G658&gt;=40,2,IF(G658&gt;=33,1,0)))))))</f>
        <v/>
      </c>
      <c r="AF658">
        <f>IF(H658+I658&lt;66,0,IF((H658+I658)/2&gt;=80,5,IF((H658+I658)/2&gt;=70,4,IF((H658+I658)/2&gt;=60,3.5,IF((H658+I658)/2&gt;=50,3,IF((H658+I658)/2&gt;=40,2,IF((H658+I658)/2&gt;=33,1,0)))))))</f>
        <v/>
      </c>
      <c r="AG658">
        <f>IF(Y658,0,IF((J658+K658+L658+M658)/2&gt;=80,5,IF((J658+K658+L658+M658)/2&gt;=70,4,IF((J658+K658+L658+M658)/2&gt;=60,3.5,IF((J658+K658+L658+M658)/2&gt;=50,3,IF((J658+K658+L658+M658)/2&gt;=40,2,IF((J658+K658+L658+M658)/2&gt;=33,1,0)))))))</f>
        <v/>
      </c>
      <c r="AH658">
        <f>IF(Z658,0,IF(N658+O658&gt;=80,5,IF(N658+O658&gt;=70,4,IF(N658+O658&gt;=60,3.5,IF(N658+O658&gt;=50,3,IF(N658+O658&gt;=40,2,IF(N658+O658&gt;=33,1,0)))))))</f>
        <v/>
      </c>
      <c r="AI658">
        <f>IF(AA658,0,IF(P658+Q658&gt;=80,5,IF(P658+Q658&gt;=70,4,IF(P658+Q658&gt;=60,3.5,IF(P658+Q658&gt;=50,3,IF(P658+Q658&gt;=40,2,IF(P658+Q658&gt;=33,1,0)))))))</f>
        <v/>
      </c>
      <c r="AJ658">
        <f>IF(R658&lt;8.25,0,IF(R658*2&gt;=80,5,IF(R658*2&gt;=70,4,IF(R658*2&gt;=60,3.5,IF(R658*2&gt;=50,3,IF(R658*2&gt;=40,2,IF(R658*2&gt;=33,1,0)))))))</f>
        <v/>
      </c>
      <c r="AK658">
        <f>IF(S658&lt;33,0,IF(S658&gt;=80,5,IF(S658&gt;=70,4,IF(S658&gt;=60,3.5,IF(S658&gt;=50,3,IF(S658&gt;=40,2,IF(S658&gt;=33,1,0)))))))</f>
        <v/>
      </c>
      <c r="AL658">
        <f>(AC658+AD658+AE658+AF658+AG658+AH658+AI658+AJ658)/8</f>
        <v/>
      </c>
      <c r="AM658">
        <f>IF(AK658&gt;=2,(AK658-2)/8,0)</f>
        <v/>
      </c>
    </row>
    <row r="659">
      <c r="T659">
        <f>SUM(C659:R659)</f>
        <v/>
      </c>
      <c r="U659" s="6">
        <f>ROUND(T659/11.5,2)</f>
        <v/>
      </c>
      <c r="V659" s="7">
        <f>IF(B659="","",IF(AB659,0,ROUND(AL659,2)))</f>
        <v/>
      </c>
      <c r="W659" s="7">
        <f>IF(B659="","",IF(AB659,0,MIN(5,ROUND(AL659+AM659,2))))</f>
        <v/>
      </c>
      <c r="X659" s="8">
        <f>IF(B659="","",IF(W659&gt;=5,"A+",IF(W659&gt;=4,"A",IF(W659&gt;=3.5,"A-",IF(W659&gt;=3,"B",IF(W659&gt;=2,"C",IF(W659&gt;=1,"D","F")))))))</f>
        <v/>
      </c>
      <c r="Y659">
        <f>NOT(OR(AND(J659&gt;=10,K659&gt;=23,L659&gt;=10,M659&gt;=23),AND(J659+L659&gt;=20,K659+M659&gt;=46)))</f>
        <v/>
      </c>
      <c r="Z659">
        <f>OR(N659&lt;10,O659&lt;23)</f>
        <v/>
      </c>
      <c r="AA659">
        <f>OR(P659&lt;10,Q659&lt;23)</f>
        <v/>
      </c>
      <c r="AB659">
        <f>OR((C659+D659)&lt;66,(E659+F659)&lt;66,G659&lt;33,(H659+I659)&lt;66,Y659,Z659,AA659,R659&lt;8.25)</f>
        <v/>
      </c>
      <c r="AC659">
        <f>IF(C659+D659&lt;66,0,IF((C659+D659)/2&gt;=80,5,IF((C659+D659)/2&gt;=70,4,IF((C659+D659)/2&gt;=60,3.5,IF((C659+D659)/2&gt;=50,3,IF((C659+D659)/2&gt;=40,2,IF((C659+D659)/2&gt;=33,1,0)))))))</f>
        <v/>
      </c>
      <c r="AD659">
        <f>IF(E659+F659&lt;66,0,IF((E659+F659)/2&gt;=80,5,IF((E659+F659)/2&gt;=70,4,IF((E659+F659)/2&gt;=60,3.5,IF((E659+F659)/2&gt;=50,3,IF((E659+F659)/2&gt;=40,2,IF((E659+F659)/2&gt;=33,1,0)))))))</f>
        <v/>
      </c>
      <c r="AE659">
        <f>IF(G659&lt;33,0,IF(G659&gt;=80,5,IF(G659&gt;=70,4,IF(G659&gt;=60,3.5,IF(G659&gt;=50,3,IF(G659&gt;=40,2,IF(G659&gt;=33,1,0)))))))</f>
        <v/>
      </c>
      <c r="AF659">
        <f>IF(H659+I659&lt;66,0,IF((H659+I659)/2&gt;=80,5,IF((H659+I659)/2&gt;=70,4,IF((H659+I659)/2&gt;=60,3.5,IF((H659+I659)/2&gt;=50,3,IF((H659+I659)/2&gt;=40,2,IF((H659+I659)/2&gt;=33,1,0)))))))</f>
        <v/>
      </c>
      <c r="AG659">
        <f>IF(Y659,0,IF((J659+K659+L659+M659)/2&gt;=80,5,IF((J659+K659+L659+M659)/2&gt;=70,4,IF((J659+K659+L659+M659)/2&gt;=60,3.5,IF((J659+K659+L659+M659)/2&gt;=50,3,IF((J659+K659+L659+M659)/2&gt;=40,2,IF((J659+K659+L659+M659)/2&gt;=33,1,0)))))))</f>
        <v/>
      </c>
      <c r="AH659">
        <f>IF(Z659,0,IF(N659+O659&gt;=80,5,IF(N659+O659&gt;=70,4,IF(N659+O659&gt;=60,3.5,IF(N659+O659&gt;=50,3,IF(N659+O659&gt;=40,2,IF(N659+O659&gt;=33,1,0)))))))</f>
        <v/>
      </c>
      <c r="AI659">
        <f>IF(AA659,0,IF(P659+Q659&gt;=80,5,IF(P659+Q659&gt;=70,4,IF(P659+Q659&gt;=60,3.5,IF(P659+Q659&gt;=50,3,IF(P659+Q659&gt;=40,2,IF(P659+Q659&gt;=33,1,0)))))))</f>
        <v/>
      </c>
      <c r="AJ659">
        <f>IF(R659&lt;8.25,0,IF(R659*2&gt;=80,5,IF(R659*2&gt;=70,4,IF(R659*2&gt;=60,3.5,IF(R659*2&gt;=50,3,IF(R659*2&gt;=40,2,IF(R659*2&gt;=33,1,0)))))))</f>
        <v/>
      </c>
      <c r="AK659">
        <f>IF(S659&lt;33,0,IF(S659&gt;=80,5,IF(S659&gt;=70,4,IF(S659&gt;=60,3.5,IF(S659&gt;=50,3,IF(S659&gt;=40,2,IF(S659&gt;=33,1,0)))))))</f>
        <v/>
      </c>
      <c r="AL659">
        <f>(AC659+AD659+AE659+AF659+AG659+AH659+AI659+AJ659)/8</f>
        <v/>
      </c>
      <c r="AM659">
        <f>IF(AK659&gt;=2,(AK659-2)/8,0)</f>
        <v/>
      </c>
    </row>
    <row r="660">
      <c r="T660">
        <f>SUM(C660:R660)</f>
        <v/>
      </c>
      <c r="U660" s="6">
        <f>ROUND(T660/11.5,2)</f>
        <v/>
      </c>
      <c r="V660" s="7">
        <f>IF(B660="","",IF(AB660,0,ROUND(AL660,2)))</f>
        <v/>
      </c>
      <c r="W660" s="7">
        <f>IF(B660="","",IF(AB660,0,MIN(5,ROUND(AL660+AM660,2))))</f>
        <v/>
      </c>
      <c r="X660" s="8">
        <f>IF(B660="","",IF(W660&gt;=5,"A+",IF(W660&gt;=4,"A",IF(W660&gt;=3.5,"A-",IF(W660&gt;=3,"B",IF(W660&gt;=2,"C",IF(W660&gt;=1,"D","F")))))))</f>
        <v/>
      </c>
      <c r="Y660">
        <f>NOT(OR(AND(J660&gt;=10,K660&gt;=23,L660&gt;=10,M660&gt;=23),AND(J660+L660&gt;=20,K660+M660&gt;=46)))</f>
        <v/>
      </c>
      <c r="Z660">
        <f>OR(N660&lt;10,O660&lt;23)</f>
        <v/>
      </c>
      <c r="AA660">
        <f>OR(P660&lt;10,Q660&lt;23)</f>
        <v/>
      </c>
      <c r="AB660">
        <f>OR((C660+D660)&lt;66,(E660+F660)&lt;66,G660&lt;33,(H660+I660)&lt;66,Y660,Z660,AA660,R660&lt;8.25)</f>
        <v/>
      </c>
      <c r="AC660">
        <f>IF(C660+D660&lt;66,0,IF((C660+D660)/2&gt;=80,5,IF((C660+D660)/2&gt;=70,4,IF((C660+D660)/2&gt;=60,3.5,IF((C660+D660)/2&gt;=50,3,IF((C660+D660)/2&gt;=40,2,IF((C660+D660)/2&gt;=33,1,0)))))))</f>
        <v/>
      </c>
      <c r="AD660">
        <f>IF(E660+F660&lt;66,0,IF((E660+F660)/2&gt;=80,5,IF((E660+F660)/2&gt;=70,4,IF((E660+F660)/2&gt;=60,3.5,IF((E660+F660)/2&gt;=50,3,IF((E660+F660)/2&gt;=40,2,IF((E660+F660)/2&gt;=33,1,0)))))))</f>
        <v/>
      </c>
      <c r="AE660">
        <f>IF(G660&lt;33,0,IF(G660&gt;=80,5,IF(G660&gt;=70,4,IF(G660&gt;=60,3.5,IF(G660&gt;=50,3,IF(G660&gt;=40,2,IF(G660&gt;=33,1,0)))))))</f>
        <v/>
      </c>
      <c r="AF660">
        <f>IF(H660+I660&lt;66,0,IF((H660+I660)/2&gt;=80,5,IF((H660+I660)/2&gt;=70,4,IF((H660+I660)/2&gt;=60,3.5,IF((H660+I660)/2&gt;=50,3,IF((H660+I660)/2&gt;=40,2,IF((H660+I660)/2&gt;=33,1,0)))))))</f>
        <v/>
      </c>
      <c r="AG660">
        <f>IF(Y660,0,IF((J660+K660+L660+M660)/2&gt;=80,5,IF((J660+K660+L660+M660)/2&gt;=70,4,IF((J660+K660+L660+M660)/2&gt;=60,3.5,IF((J660+K660+L660+M660)/2&gt;=50,3,IF((J660+K660+L660+M660)/2&gt;=40,2,IF((J660+K660+L660+M660)/2&gt;=33,1,0)))))))</f>
        <v/>
      </c>
      <c r="AH660">
        <f>IF(Z660,0,IF(N660+O660&gt;=80,5,IF(N660+O660&gt;=70,4,IF(N660+O660&gt;=60,3.5,IF(N660+O660&gt;=50,3,IF(N660+O660&gt;=40,2,IF(N660+O660&gt;=33,1,0)))))))</f>
        <v/>
      </c>
      <c r="AI660">
        <f>IF(AA660,0,IF(P660+Q660&gt;=80,5,IF(P660+Q660&gt;=70,4,IF(P660+Q660&gt;=60,3.5,IF(P660+Q660&gt;=50,3,IF(P660+Q660&gt;=40,2,IF(P660+Q660&gt;=33,1,0)))))))</f>
        <v/>
      </c>
      <c r="AJ660">
        <f>IF(R660&lt;8.25,0,IF(R660*2&gt;=80,5,IF(R660*2&gt;=70,4,IF(R660*2&gt;=60,3.5,IF(R660*2&gt;=50,3,IF(R660*2&gt;=40,2,IF(R660*2&gt;=33,1,0)))))))</f>
        <v/>
      </c>
      <c r="AK660">
        <f>IF(S660&lt;33,0,IF(S660&gt;=80,5,IF(S660&gt;=70,4,IF(S660&gt;=60,3.5,IF(S660&gt;=50,3,IF(S660&gt;=40,2,IF(S660&gt;=33,1,0)))))))</f>
        <v/>
      </c>
      <c r="AL660">
        <f>(AC660+AD660+AE660+AF660+AG660+AH660+AI660+AJ660)/8</f>
        <v/>
      </c>
      <c r="AM660">
        <f>IF(AK660&gt;=2,(AK660-2)/8,0)</f>
        <v/>
      </c>
    </row>
    <row r="661">
      <c r="T661">
        <f>SUM(C661:R661)</f>
        <v/>
      </c>
      <c r="U661" s="6">
        <f>ROUND(T661/11.5,2)</f>
        <v/>
      </c>
      <c r="V661" s="7">
        <f>IF(B661="","",IF(AB661,0,ROUND(AL661,2)))</f>
        <v/>
      </c>
      <c r="W661" s="7">
        <f>IF(B661="","",IF(AB661,0,MIN(5,ROUND(AL661+AM661,2))))</f>
        <v/>
      </c>
      <c r="X661" s="8">
        <f>IF(B661="","",IF(W661&gt;=5,"A+",IF(W661&gt;=4,"A",IF(W661&gt;=3.5,"A-",IF(W661&gt;=3,"B",IF(W661&gt;=2,"C",IF(W661&gt;=1,"D","F")))))))</f>
        <v/>
      </c>
      <c r="Y661">
        <f>NOT(OR(AND(J661&gt;=10,K661&gt;=23,L661&gt;=10,M661&gt;=23),AND(J661+L661&gt;=20,K661+M661&gt;=46)))</f>
        <v/>
      </c>
      <c r="Z661">
        <f>OR(N661&lt;10,O661&lt;23)</f>
        <v/>
      </c>
      <c r="AA661">
        <f>OR(P661&lt;10,Q661&lt;23)</f>
        <v/>
      </c>
      <c r="AB661">
        <f>OR((C661+D661)&lt;66,(E661+F661)&lt;66,G661&lt;33,(H661+I661)&lt;66,Y661,Z661,AA661,R661&lt;8.25)</f>
        <v/>
      </c>
      <c r="AC661">
        <f>IF(C661+D661&lt;66,0,IF((C661+D661)/2&gt;=80,5,IF((C661+D661)/2&gt;=70,4,IF((C661+D661)/2&gt;=60,3.5,IF((C661+D661)/2&gt;=50,3,IF((C661+D661)/2&gt;=40,2,IF((C661+D661)/2&gt;=33,1,0)))))))</f>
        <v/>
      </c>
      <c r="AD661">
        <f>IF(E661+F661&lt;66,0,IF((E661+F661)/2&gt;=80,5,IF((E661+F661)/2&gt;=70,4,IF((E661+F661)/2&gt;=60,3.5,IF((E661+F661)/2&gt;=50,3,IF((E661+F661)/2&gt;=40,2,IF((E661+F661)/2&gt;=33,1,0)))))))</f>
        <v/>
      </c>
      <c r="AE661">
        <f>IF(G661&lt;33,0,IF(G661&gt;=80,5,IF(G661&gt;=70,4,IF(G661&gt;=60,3.5,IF(G661&gt;=50,3,IF(G661&gt;=40,2,IF(G661&gt;=33,1,0)))))))</f>
        <v/>
      </c>
      <c r="AF661">
        <f>IF(H661+I661&lt;66,0,IF((H661+I661)/2&gt;=80,5,IF((H661+I661)/2&gt;=70,4,IF((H661+I661)/2&gt;=60,3.5,IF((H661+I661)/2&gt;=50,3,IF((H661+I661)/2&gt;=40,2,IF((H661+I661)/2&gt;=33,1,0)))))))</f>
        <v/>
      </c>
      <c r="AG661">
        <f>IF(Y661,0,IF((J661+K661+L661+M661)/2&gt;=80,5,IF((J661+K661+L661+M661)/2&gt;=70,4,IF((J661+K661+L661+M661)/2&gt;=60,3.5,IF((J661+K661+L661+M661)/2&gt;=50,3,IF((J661+K661+L661+M661)/2&gt;=40,2,IF((J661+K661+L661+M661)/2&gt;=33,1,0)))))))</f>
        <v/>
      </c>
      <c r="AH661">
        <f>IF(Z661,0,IF(N661+O661&gt;=80,5,IF(N661+O661&gt;=70,4,IF(N661+O661&gt;=60,3.5,IF(N661+O661&gt;=50,3,IF(N661+O661&gt;=40,2,IF(N661+O661&gt;=33,1,0)))))))</f>
        <v/>
      </c>
      <c r="AI661">
        <f>IF(AA661,0,IF(P661+Q661&gt;=80,5,IF(P661+Q661&gt;=70,4,IF(P661+Q661&gt;=60,3.5,IF(P661+Q661&gt;=50,3,IF(P661+Q661&gt;=40,2,IF(P661+Q661&gt;=33,1,0)))))))</f>
        <v/>
      </c>
      <c r="AJ661">
        <f>IF(R661&lt;8.25,0,IF(R661*2&gt;=80,5,IF(R661*2&gt;=70,4,IF(R661*2&gt;=60,3.5,IF(R661*2&gt;=50,3,IF(R661*2&gt;=40,2,IF(R661*2&gt;=33,1,0)))))))</f>
        <v/>
      </c>
      <c r="AK661">
        <f>IF(S661&lt;33,0,IF(S661&gt;=80,5,IF(S661&gt;=70,4,IF(S661&gt;=60,3.5,IF(S661&gt;=50,3,IF(S661&gt;=40,2,IF(S661&gt;=33,1,0)))))))</f>
        <v/>
      </c>
      <c r="AL661">
        <f>(AC661+AD661+AE661+AF661+AG661+AH661+AI661+AJ661)/8</f>
        <v/>
      </c>
      <c r="AM661">
        <f>IF(AK661&gt;=2,(AK661-2)/8,0)</f>
        <v/>
      </c>
    </row>
    <row r="662">
      <c r="T662">
        <f>SUM(C662:R662)</f>
        <v/>
      </c>
      <c r="U662" s="6">
        <f>ROUND(T662/11.5,2)</f>
        <v/>
      </c>
      <c r="V662" s="7">
        <f>IF(B662="","",IF(AB662,0,ROUND(AL662,2)))</f>
        <v/>
      </c>
      <c r="W662" s="7">
        <f>IF(B662="","",IF(AB662,0,MIN(5,ROUND(AL662+AM662,2))))</f>
        <v/>
      </c>
      <c r="X662" s="8">
        <f>IF(B662="","",IF(W662&gt;=5,"A+",IF(W662&gt;=4,"A",IF(W662&gt;=3.5,"A-",IF(W662&gt;=3,"B",IF(W662&gt;=2,"C",IF(W662&gt;=1,"D","F")))))))</f>
        <v/>
      </c>
      <c r="Y662">
        <f>NOT(OR(AND(J662&gt;=10,K662&gt;=23,L662&gt;=10,M662&gt;=23),AND(J662+L662&gt;=20,K662+M662&gt;=46)))</f>
        <v/>
      </c>
      <c r="Z662">
        <f>OR(N662&lt;10,O662&lt;23)</f>
        <v/>
      </c>
      <c r="AA662">
        <f>OR(P662&lt;10,Q662&lt;23)</f>
        <v/>
      </c>
      <c r="AB662">
        <f>OR((C662+D662)&lt;66,(E662+F662)&lt;66,G662&lt;33,(H662+I662)&lt;66,Y662,Z662,AA662,R662&lt;8.25)</f>
        <v/>
      </c>
      <c r="AC662">
        <f>IF(C662+D662&lt;66,0,IF((C662+D662)/2&gt;=80,5,IF((C662+D662)/2&gt;=70,4,IF((C662+D662)/2&gt;=60,3.5,IF((C662+D662)/2&gt;=50,3,IF((C662+D662)/2&gt;=40,2,IF((C662+D662)/2&gt;=33,1,0)))))))</f>
        <v/>
      </c>
      <c r="AD662">
        <f>IF(E662+F662&lt;66,0,IF((E662+F662)/2&gt;=80,5,IF((E662+F662)/2&gt;=70,4,IF((E662+F662)/2&gt;=60,3.5,IF((E662+F662)/2&gt;=50,3,IF((E662+F662)/2&gt;=40,2,IF((E662+F662)/2&gt;=33,1,0)))))))</f>
        <v/>
      </c>
      <c r="AE662">
        <f>IF(G662&lt;33,0,IF(G662&gt;=80,5,IF(G662&gt;=70,4,IF(G662&gt;=60,3.5,IF(G662&gt;=50,3,IF(G662&gt;=40,2,IF(G662&gt;=33,1,0)))))))</f>
        <v/>
      </c>
      <c r="AF662">
        <f>IF(H662+I662&lt;66,0,IF((H662+I662)/2&gt;=80,5,IF((H662+I662)/2&gt;=70,4,IF((H662+I662)/2&gt;=60,3.5,IF((H662+I662)/2&gt;=50,3,IF((H662+I662)/2&gt;=40,2,IF((H662+I662)/2&gt;=33,1,0)))))))</f>
        <v/>
      </c>
      <c r="AG662">
        <f>IF(Y662,0,IF((J662+K662+L662+M662)/2&gt;=80,5,IF((J662+K662+L662+M662)/2&gt;=70,4,IF((J662+K662+L662+M662)/2&gt;=60,3.5,IF((J662+K662+L662+M662)/2&gt;=50,3,IF((J662+K662+L662+M662)/2&gt;=40,2,IF((J662+K662+L662+M662)/2&gt;=33,1,0)))))))</f>
        <v/>
      </c>
      <c r="AH662">
        <f>IF(Z662,0,IF(N662+O662&gt;=80,5,IF(N662+O662&gt;=70,4,IF(N662+O662&gt;=60,3.5,IF(N662+O662&gt;=50,3,IF(N662+O662&gt;=40,2,IF(N662+O662&gt;=33,1,0)))))))</f>
        <v/>
      </c>
      <c r="AI662">
        <f>IF(AA662,0,IF(P662+Q662&gt;=80,5,IF(P662+Q662&gt;=70,4,IF(P662+Q662&gt;=60,3.5,IF(P662+Q662&gt;=50,3,IF(P662+Q662&gt;=40,2,IF(P662+Q662&gt;=33,1,0)))))))</f>
        <v/>
      </c>
      <c r="AJ662">
        <f>IF(R662&lt;8.25,0,IF(R662*2&gt;=80,5,IF(R662*2&gt;=70,4,IF(R662*2&gt;=60,3.5,IF(R662*2&gt;=50,3,IF(R662*2&gt;=40,2,IF(R662*2&gt;=33,1,0)))))))</f>
        <v/>
      </c>
      <c r="AK662">
        <f>IF(S662&lt;33,0,IF(S662&gt;=80,5,IF(S662&gt;=70,4,IF(S662&gt;=60,3.5,IF(S662&gt;=50,3,IF(S662&gt;=40,2,IF(S662&gt;=33,1,0)))))))</f>
        <v/>
      </c>
      <c r="AL662">
        <f>(AC662+AD662+AE662+AF662+AG662+AH662+AI662+AJ662)/8</f>
        <v/>
      </c>
      <c r="AM662">
        <f>IF(AK662&gt;=2,(AK662-2)/8,0)</f>
        <v/>
      </c>
    </row>
    <row r="663">
      <c r="T663">
        <f>SUM(C663:R663)</f>
        <v/>
      </c>
      <c r="U663" s="6">
        <f>ROUND(T663/11.5,2)</f>
        <v/>
      </c>
      <c r="V663" s="7">
        <f>IF(B663="","",IF(AB663,0,ROUND(AL663,2)))</f>
        <v/>
      </c>
      <c r="W663" s="7">
        <f>IF(B663="","",IF(AB663,0,MIN(5,ROUND(AL663+AM663,2))))</f>
        <v/>
      </c>
      <c r="X663" s="8">
        <f>IF(B663="","",IF(W663&gt;=5,"A+",IF(W663&gt;=4,"A",IF(W663&gt;=3.5,"A-",IF(W663&gt;=3,"B",IF(W663&gt;=2,"C",IF(W663&gt;=1,"D","F")))))))</f>
        <v/>
      </c>
      <c r="Y663">
        <f>NOT(OR(AND(J663&gt;=10,K663&gt;=23,L663&gt;=10,M663&gt;=23),AND(J663+L663&gt;=20,K663+M663&gt;=46)))</f>
        <v/>
      </c>
      <c r="Z663">
        <f>OR(N663&lt;10,O663&lt;23)</f>
        <v/>
      </c>
      <c r="AA663">
        <f>OR(P663&lt;10,Q663&lt;23)</f>
        <v/>
      </c>
      <c r="AB663">
        <f>OR((C663+D663)&lt;66,(E663+F663)&lt;66,G663&lt;33,(H663+I663)&lt;66,Y663,Z663,AA663,R663&lt;8.25)</f>
        <v/>
      </c>
      <c r="AC663">
        <f>IF(C663+D663&lt;66,0,IF((C663+D663)/2&gt;=80,5,IF((C663+D663)/2&gt;=70,4,IF((C663+D663)/2&gt;=60,3.5,IF((C663+D663)/2&gt;=50,3,IF((C663+D663)/2&gt;=40,2,IF((C663+D663)/2&gt;=33,1,0)))))))</f>
        <v/>
      </c>
      <c r="AD663">
        <f>IF(E663+F663&lt;66,0,IF((E663+F663)/2&gt;=80,5,IF((E663+F663)/2&gt;=70,4,IF((E663+F663)/2&gt;=60,3.5,IF((E663+F663)/2&gt;=50,3,IF((E663+F663)/2&gt;=40,2,IF((E663+F663)/2&gt;=33,1,0)))))))</f>
        <v/>
      </c>
      <c r="AE663">
        <f>IF(G663&lt;33,0,IF(G663&gt;=80,5,IF(G663&gt;=70,4,IF(G663&gt;=60,3.5,IF(G663&gt;=50,3,IF(G663&gt;=40,2,IF(G663&gt;=33,1,0)))))))</f>
        <v/>
      </c>
      <c r="AF663">
        <f>IF(H663+I663&lt;66,0,IF((H663+I663)/2&gt;=80,5,IF((H663+I663)/2&gt;=70,4,IF((H663+I663)/2&gt;=60,3.5,IF((H663+I663)/2&gt;=50,3,IF((H663+I663)/2&gt;=40,2,IF((H663+I663)/2&gt;=33,1,0)))))))</f>
        <v/>
      </c>
      <c r="AG663">
        <f>IF(Y663,0,IF((J663+K663+L663+M663)/2&gt;=80,5,IF((J663+K663+L663+M663)/2&gt;=70,4,IF((J663+K663+L663+M663)/2&gt;=60,3.5,IF((J663+K663+L663+M663)/2&gt;=50,3,IF((J663+K663+L663+M663)/2&gt;=40,2,IF((J663+K663+L663+M663)/2&gt;=33,1,0)))))))</f>
        <v/>
      </c>
      <c r="AH663">
        <f>IF(Z663,0,IF(N663+O663&gt;=80,5,IF(N663+O663&gt;=70,4,IF(N663+O663&gt;=60,3.5,IF(N663+O663&gt;=50,3,IF(N663+O663&gt;=40,2,IF(N663+O663&gt;=33,1,0)))))))</f>
        <v/>
      </c>
      <c r="AI663">
        <f>IF(AA663,0,IF(P663+Q663&gt;=80,5,IF(P663+Q663&gt;=70,4,IF(P663+Q663&gt;=60,3.5,IF(P663+Q663&gt;=50,3,IF(P663+Q663&gt;=40,2,IF(P663+Q663&gt;=33,1,0)))))))</f>
        <v/>
      </c>
      <c r="AJ663">
        <f>IF(R663&lt;8.25,0,IF(R663*2&gt;=80,5,IF(R663*2&gt;=70,4,IF(R663*2&gt;=60,3.5,IF(R663*2&gt;=50,3,IF(R663*2&gt;=40,2,IF(R663*2&gt;=33,1,0)))))))</f>
        <v/>
      </c>
      <c r="AK663">
        <f>IF(S663&lt;33,0,IF(S663&gt;=80,5,IF(S663&gt;=70,4,IF(S663&gt;=60,3.5,IF(S663&gt;=50,3,IF(S663&gt;=40,2,IF(S663&gt;=33,1,0)))))))</f>
        <v/>
      </c>
      <c r="AL663">
        <f>(AC663+AD663+AE663+AF663+AG663+AH663+AI663+AJ663)/8</f>
        <v/>
      </c>
      <c r="AM663">
        <f>IF(AK663&gt;=2,(AK663-2)/8,0)</f>
        <v/>
      </c>
    </row>
    <row r="664">
      <c r="T664">
        <f>SUM(C664:R664)</f>
        <v/>
      </c>
      <c r="U664" s="6">
        <f>ROUND(T664/11.5,2)</f>
        <v/>
      </c>
      <c r="V664" s="7">
        <f>IF(B664="","",IF(AB664,0,ROUND(AL664,2)))</f>
        <v/>
      </c>
      <c r="W664" s="7">
        <f>IF(B664="","",IF(AB664,0,MIN(5,ROUND(AL664+AM664,2))))</f>
        <v/>
      </c>
      <c r="X664" s="8">
        <f>IF(B664="","",IF(W664&gt;=5,"A+",IF(W664&gt;=4,"A",IF(W664&gt;=3.5,"A-",IF(W664&gt;=3,"B",IF(W664&gt;=2,"C",IF(W664&gt;=1,"D","F")))))))</f>
        <v/>
      </c>
      <c r="Y664">
        <f>NOT(OR(AND(J664&gt;=10,K664&gt;=23,L664&gt;=10,M664&gt;=23),AND(J664+L664&gt;=20,K664+M664&gt;=46)))</f>
        <v/>
      </c>
      <c r="Z664">
        <f>OR(N664&lt;10,O664&lt;23)</f>
        <v/>
      </c>
      <c r="AA664">
        <f>OR(P664&lt;10,Q664&lt;23)</f>
        <v/>
      </c>
      <c r="AB664">
        <f>OR((C664+D664)&lt;66,(E664+F664)&lt;66,G664&lt;33,(H664+I664)&lt;66,Y664,Z664,AA664,R664&lt;8.25)</f>
        <v/>
      </c>
      <c r="AC664">
        <f>IF(C664+D664&lt;66,0,IF((C664+D664)/2&gt;=80,5,IF((C664+D664)/2&gt;=70,4,IF((C664+D664)/2&gt;=60,3.5,IF((C664+D664)/2&gt;=50,3,IF((C664+D664)/2&gt;=40,2,IF((C664+D664)/2&gt;=33,1,0)))))))</f>
        <v/>
      </c>
      <c r="AD664">
        <f>IF(E664+F664&lt;66,0,IF((E664+F664)/2&gt;=80,5,IF((E664+F664)/2&gt;=70,4,IF((E664+F664)/2&gt;=60,3.5,IF((E664+F664)/2&gt;=50,3,IF((E664+F664)/2&gt;=40,2,IF((E664+F664)/2&gt;=33,1,0)))))))</f>
        <v/>
      </c>
      <c r="AE664">
        <f>IF(G664&lt;33,0,IF(G664&gt;=80,5,IF(G664&gt;=70,4,IF(G664&gt;=60,3.5,IF(G664&gt;=50,3,IF(G664&gt;=40,2,IF(G664&gt;=33,1,0)))))))</f>
        <v/>
      </c>
      <c r="AF664">
        <f>IF(H664+I664&lt;66,0,IF((H664+I664)/2&gt;=80,5,IF((H664+I664)/2&gt;=70,4,IF((H664+I664)/2&gt;=60,3.5,IF((H664+I664)/2&gt;=50,3,IF((H664+I664)/2&gt;=40,2,IF((H664+I664)/2&gt;=33,1,0)))))))</f>
        <v/>
      </c>
      <c r="AG664">
        <f>IF(Y664,0,IF((J664+K664+L664+M664)/2&gt;=80,5,IF((J664+K664+L664+M664)/2&gt;=70,4,IF((J664+K664+L664+M664)/2&gt;=60,3.5,IF((J664+K664+L664+M664)/2&gt;=50,3,IF((J664+K664+L664+M664)/2&gt;=40,2,IF((J664+K664+L664+M664)/2&gt;=33,1,0)))))))</f>
        <v/>
      </c>
      <c r="AH664">
        <f>IF(Z664,0,IF(N664+O664&gt;=80,5,IF(N664+O664&gt;=70,4,IF(N664+O664&gt;=60,3.5,IF(N664+O664&gt;=50,3,IF(N664+O664&gt;=40,2,IF(N664+O664&gt;=33,1,0)))))))</f>
        <v/>
      </c>
      <c r="AI664">
        <f>IF(AA664,0,IF(P664+Q664&gt;=80,5,IF(P664+Q664&gt;=70,4,IF(P664+Q664&gt;=60,3.5,IF(P664+Q664&gt;=50,3,IF(P664+Q664&gt;=40,2,IF(P664+Q664&gt;=33,1,0)))))))</f>
        <v/>
      </c>
      <c r="AJ664">
        <f>IF(R664&lt;8.25,0,IF(R664*2&gt;=80,5,IF(R664*2&gt;=70,4,IF(R664*2&gt;=60,3.5,IF(R664*2&gt;=50,3,IF(R664*2&gt;=40,2,IF(R664*2&gt;=33,1,0)))))))</f>
        <v/>
      </c>
      <c r="AK664">
        <f>IF(S664&lt;33,0,IF(S664&gt;=80,5,IF(S664&gt;=70,4,IF(S664&gt;=60,3.5,IF(S664&gt;=50,3,IF(S664&gt;=40,2,IF(S664&gt;=33,1,0)))))))</f>
        <v/>
      </c>
      <c r="AL664">
        <f>(AC664+AD664+AE664+AF664+AG664+AH664+AI664+AJ664)/8</f>
        <v/>
      </c>
      <c r="AM664">
        <f>IF(AK664&gt;=2,(AK664-2)/8,0)</f>
        <v/>
      </c>
    </row>
    <row r="665">
      <c r="T665">
        <f>SUM(C665:R665)</f>
        <v/>
      </c>
      <c r="U665" s="6">
        <f>ROUND(T665/11.5,2)</f>
        <v/>
      </c>
      <c r="V665" s="7">
        <f>IF(B665="","",IF(AB665,0,ROUND(AL665,2)))</f>
        <v/>
      </c>
      <c r="W665" s="7">
        <f>IF(B665="","",IF(AB665,0,MIN(5,ROUND(AL665+AM665,2))))</f>
        <v/>
      </c>
      <c r="X665" s="8">
        <f>IF(B665="","",IF(W665&gt;=5,"A+",IF(W665&gt;=4,"A",IF(W665&gt;=3.5,"A-",IF(W665&gt;=3,"B",IF(W665&gt;=2,"C",IF(W665&gt;=1,"D","F")))))))</f>
        <v/>
      </c>
      <c r="Y665">
        <f>NOT(OR(AND(J665&gt;=10,K665&gt;=23,L665&gt;=10,M665&gt;=23),AND(J665+L665&gt;=20,K665+M665&gt;=46)))</f>
        <v/>
      </c>
      <c r="Z665">
        <f>OR(N665&lt;10,O665&lt;23)</f>
        <v/>
      </c>
      <c r="AA665">
        <f>OR(P665&lt;10,Q665&lt;23)</f>
        <v/>
      </c>
      <c r="AB665">
        <f>OR((C665+D665)&lt;66,(E665+F665)&lt;66,G665&lt;33,(H665+I665)&lt;66,Y665,Z665,AA665,R665&lt;8.25)</f>
        <v/>
      </c>
      <c r="AC665">
        <f>IF(C665+D665&lt;66,0,IF((C665+D665)/2&gt;=80,5,IF((C665+D665)/2&gt;=70,4,IF((C665+D665)/2&gt;=60,3.5,IF((C665+D665)/2&gt;=50,3,IF((C665+D665)/2&gt;=40,2,IF((C665+D665)/2&gt;=33,1,0)))))))</f>
        <v/>
      </c>
      <c r="AD665">
        <f>IF(E665+F665&lt;66,0,IF((E665+F665)/2&gt;=80,5,IF((E665+F665)/2&gt;=70,4,IF((E665+F665)/2&gt;=60,3.5,IF((E665+F665)/2&gt;=50,3,IF((E665+F665)/2&gt;=40,2,IF((E665+F665)/2&gt;=33,1,0)))))))</f>
        <v/>
      </c>
      <c r="AE665">
        <f>IF(G665&lt;33,0,IF(G665&gt;=80,5,IF(G665&gt;=70,4,IF(G665&gt;=60,3.5,IF(G665&gt;=50,3,IF(G665&gt;=40,2,IF(G665&gt;=33,1,0)))))))</f>
        <v/>
      </c>
      <c r="AF665">
        <f>IF(H665+I665&lt;66,0,IF((H665+I665)/2&gt;=80,5,IF((H665+I665)/2&gt;=70,4,IF((H665+I665)/2&gt;=60,3.5,IF((H665+I665)/2&gt;=50,3,IF((H665+I665)/2&gt;=40,2,IF((H665+I665)/2&gt;=33,1,0)))))))</f>
        <v/>
      </c>
      <c r="AG665">
        <f>IF(Y665,0,IF((J665+K665+L665+M665)/2&gt;=80,5,IF((J665+K665+L665+M665)/2&gt;=70,4,IF((J665+K665+L665+M665)/2&gt;=60,3.5,IF((J665+K665+L665+M665)/2&gt;=50,3,IF((J665+K665+L665+M665)/2&gt;=40,2,IF((J665+K665+L665+M665)/2&gt;=33,1,0)))))))</f>
        <v/>
      </c>
      <c r="AH665">
        <f>IF(Z665,0,IF(N665+O665&gt;=80,5,IF(N665+O665&gt;=70,4,IF(N665+O665&gt;=60,3.5,IF(N665+O665&gt;=50,3,IF(N665+O665&gt;=40,2,IF(N665+O665&gt;=33,1,0)))))))</f>
        <v/>
      </c>
      <c r="AI665">
        <f>IF(AA665,0,IF(P665+Q665&gt;=80,5,IF(P665+Q665&gt;=70,4,IF(P665+Q665&gt;=60,3.5,IF(P665+Q665&gt;=50,3,IF(P665+Q665&gt;=40,2,IF(P665+Q665&gt;=33,1,0)))))))</f>
        <v/>
      </c>
      <c r="AJ665">
        <f>IF(R665&lt;8.25,0,IF(R665*2&gt;=80,5,IF(R665*2&gt;=70,4,IF(R665*2&gt;=60,3.5,IF(R665*2&gt;=50,3,IF(R665*2&gt;=40,2,IF(R665*2&gt;=33,1,0)))))))</f>
        <v/>
      </c>
      <c r="AK665">
        <f>IF(S665&lt;33,0,IF(S665&gt;=80,5,IF(S665&gt;=70,4,IF(S665&gt;=60,3.5,IF(S665&gt;=50,3,IF(S665&gt;=40,2,IF(S665&gt;=33,1,0)))))))</f>
        <v/>
      </c>
      <c r="AL665">
        <f>(AC665+AD665+AE665+AF665+AG665+AH665+AI665+AJ665)/8</f>
        <v/>
      </c>
      <c r="AM665">
        <f>IF(AK665&gt;=2,(AK665-2)/8,0)</f>
        <v/>
      </c>
    </row>
    <row r="666">
      <c r="T666">
        <f>SUM(C666:R666)</f>
        <v/>
      </c>
      <c r="U666" s="6">
        <f>ROUND(T666/11.5,2)</f>
        <v/>
      </c>
      <c r="V666" s="7">
        <f>IF(B666="","",IF(AB666,0,ROUND(AL666,2)))</f>
        <v/>
      </c>
      <c r="W666" s="7">
        <f>IF(B666="","",IF(AB666,0,MIN(5,ROUND(AL666+AM666,2))))</f>
        <v/>
      </c>
      <c r="X666" s="8">
        <f>IF(B666="","",IF(W666&gt;=5,"A+",IF(W666&gt;=4,"A",IF(W666&gt;=3.5,"A-",IF(W666&gt;=3,"B",IF(W666&gt;=2,"C",IF(W666&gt;=1,"D","F")))))))</f>
        <v/>
      </c>
      <c r="Y666">
        <f>NOT(OR(AND(J666&gt;=10,K666&gt;=23,L666&gt;=10,M666&gt;=23),AND(J666+L666&gt;=20,K666+M666&gt;=46)))</f>
        <v/>
      </c>
      <c r="Z666">
        <f>OR(N666&lt;10,O666&lt;23)</f>
        <v/>
      </c>
      <c r="AA666">
        <f>OR(P666&lt;10,Q666&lt;23)</f>
        <v/>
      </c>
      <c r="AB666">
        <f>OR((C666+D666)&lt;66,(E666+F666)&lt;66,G666&lt;33,(H666+I666)&lt;66,Y666,Z666,AA666,R666&lt;8.25)</f>
        <v/>
      </c>
      <c r="AC666">
        <f>IF(C666+D666&lt;66,0,IF((C666+D666)/2&gt;=80,5,IF((C666+D666)/2&gt;=70,4,IF((C666+D666)/2&gt;=60,3.5,IF((C666+D666)/2&gt;=50,3,IF((C666+D666)/2&gt;=40,2,IF((C666+D666)/2&gt;=33,1,0)))))))</f>
        <v/>
      </c>
      <c r="AD666">
        <f>IF(E666+F666&lt;66,0,IF((E666+F666)/2&gt;=80,5,IF((E666+F666)/2&gt;=70,4,IF((E666+F666)/2&gt;=60,3.5,IF((E666+F666)/2&gt;=50,3,IF((E666+F666)/2&gt;=40,2,IF((E666+F666)/2&gt;=33,1,0)))))))</f>
        <v/>
      </c>
      <c r="AE666">
        <f>IF(G666&lt;33,0,IF(G666&gt;=80,5,IF(G666&gt;=70,4,IF(G666&gt;=60,3.5,IF(G666&gt;=50,3,IF(G666&gt;=40,2,IF(G666&gt;=33,1,0)))))))</f>
        <v/>
      </c>
      <c r="AF666">
        <f>IF(H666+I666&lt;66,0,IF((H666+I666)/2&gt;=80,5,IF((H666+I666)/2&gt;=70,4,IF((H666+I666)/2&gt;=60,3.5,IF((H666+I666)/2&gt;=50,3,IF((H666+I666)/2&gt;=40,2,IF((H666+I666)/2&gt;=33,1,0)))))))</f>
        <v/>
      </c>
      <c r="AG666">
        <f>IF(Y666,0,IF((J666+K666+L666+M666)/2&gt;=80,5,IF((J666+K666+L666+M666)/2&gt;=70,4,IF((J666+K666+L666+M666)/2&gt;=60,3.5,IF((J666+K666+L666+M666)/2&gt;=50,3,IF((J666+K666+L666+M666)/2&gt;=40,2,IF((J666+K666+L666+M666)/2&gt;=33,1,0)))))))</f>
        <v/>
      </c>
      <c r="AH666">
        <f>IF(Z666,0,IF(N666+O666&gt;=80,5,IF(N666+O666&gt;=70,4,IF(N666+O666&gt;=60,3.5,IF(N666+O666&gt;=50,3,IF(N666+O666&gt;=40,2,IF(N666+O666&gt;=33,1,0)))))))</f>
        <v/>
      </c>
      <c r="AI666">
        <f>IF(AA666,0,IF(P666+Q666&gt;=80,5,IF(P666+Q666&gt;=70,4,IF(P666+Q666&gt;=60,3.5,IF(P666+Q666&gt;=50,3,IF(P666+Q666&gt;=40,2,IF(P666+Q666&gt;=33,1,0)))))))</f>
        <v/>
      </c>
      <c r="AJ666">
        <f>IF(R666&lt;8.25,0,IF(R666*2&gt;=80,5,IF(R666*2&gt;=70,4,IF(R666*2&gt;=60,3.5,IF(R666*2&gt;=50,3,IF(R666*2&gt;=40,2,IF(R666*2&gt;=33,1,0)))))))</f>
        <v/>
      </c>
      <c r="AK666">
        <f>IF(S666&lt;33,0,IF(S666&gt;=80,5,IF(S666&gt;=70,4,IF(S666&gt;=60,3.5,IF(S666&gt;=50,3,IF(S666&gt;=40,2,IF(S666&gt;=33,1,0)))))))</f>
        <v/>
      </c>
      <c r="AL666">
        <f>(AC666+AD666+AE666+AF666+AG666+AH666+AI666+AJ666)/8</f>
        <v/>
      </c>
      <c r="AM666">
        <f>IF(AK666&gt;=2,(AK666-2)/8,0)</f>
        <v/>
      </c>
    </row>
    <row r="667">
      <c r="T667">
        <f>SUM(C667:R667)</f>
        <v/>
      </c>
      <c r="U667" s="6">
        <f>ROUND(T667/11.5,2)</f>
        <v/>
      </c>
      <c r="V667" s="7">
        <f>IF(B667="","",IF(AB667,0,ROUND(AL667,2)))</f>
        <v/>
      </c>
      <c r="W667" s="7">
        <f>IF(B667="","",IF(AB667,0,MIN(5,ROUND(AL667+AM667,2))))</f>
        <v/>
      </c>
      <c r="X667" s="8">
        <f>IF(B667="","",IF(W667&gt;=5,"A+",IF(W667&gt;=4,"A",IF(W667&gt;=3.5,"A-",IF(W667&gt;=3,"B",IF(W667&gt;=2,"C",IF(W667&gt;=1,"D","F")))))))</f>
        <v/>
      </c>
      <c r="Y667">
        <f>NOT(OR(AND(J667&gt;=10,K667&gt;=23,L667&gt;=10,M667&gt;=23),AND(J667+L667&gt;=20,K667+M667&gt;=46)))</f>
        <v/>
      </c>
      <c r="Z667">
        <f>OR(N667&lt;10,O667&lt;23)</f>
        <v/>
      </c>
      <c r="AA667">
        <f>OR(P667&lt;10,Q667&lt;23)</f>
        <v/>
      </c>
      <c r="AB667">
        <f>OR((C667+D667)&lt;66,(E667+F667)&lt;66,G667&lt;33,(H667+I667)&lt;66,Y667,Z667,AA667,R667&lt;8.25)</f>
        <v/>
      </c>
      <c r="AC667">
        <f>IF(C667+D667&lt;66,0,IF((C667+D667)/2&gt;=80,5,IF((C667+D667)/2&gt;=70,4,IF((C667+D667)/2&gt;=60,3.5,IF((C667+D667)/2&gt;=50,3,IF((C667+D667)/2&gt;=40,2,IF((C667+D667)/2&gt;=33,1,0)))))))</f>
        <v/>
      </c>
      <c r="AD667">
        <f>IF(E667+F667&lt;66,0,IF((E667+F667)/2&gt;=80,5,IF((E667+F667)/2&gt;=70,4,IF((E667+F667)/2&gt;=60,3.5,IF((E667+F667)/2&gt;=50,3,IF((E667+F667)/2&gt;=40,2,IF((E667+F667)/2&gt;=33,1,0)))))))</f>
        <v/>
      </c>
      <c r="AE667">
        <f>IF(G667&lt;33,0,IF(G667&gt;=80,5,IF(G667&gt;=70,4,IF(G667&gt;=60,3.5,IF(G667&gt;=50,3,IF(G667&gt;=40,2,IF(G667&gt;=33,1,0)))))))</f>
        <v/>
      </c>
      <c r="AF667">
        <f>IF(H667+I667&lt;66,0,IF((H667+I667)/2&gt;=80,5,IF((H667+I667)/2&gt;=70,4,IF((H667+I667)/2&gt;=60,3.5,IF((H667+I667)/2&gt;=50,3,IF((H667+I667)/2&gt;=40,2,IF((H667+I667)/2&gt;=33,1,0)))))))</f>
        <v/>
      </c>
      <c r="AG667">
        <f>IF(Y667,0,IF((J667+K667+L667+M667)/2&gt;=80,5,IF((J667+K667+L667+M667)/2&gt;=70,4,IF((J667+K667+L667+M667)/2&gt;=60,3.5,IF((J667+K667+L667+M667)/2&gt;=50,3,IF((J667+K667+L667+M667)/2&gt;=40,2,IF((J667+K667+L667+M667)/2&gt;=33,1,0)))))))</f>
        <v/>
      </c>
      <c r="AH667">
        <f>IF(Z667,0,IF(N667+O667&gt;=80,5,IF(N667+O667&gt;=70,4,IF(N667+O667&gt;=60,3.5,IF(N667+O667&gt;=50,3,IF(N667+O667&gt;=40,2,IF(N667+O667&gt;=33,1,0)))))))</f>
        <v/>
      </c>
      <c r="AI667">
        <f>IF(AA667,0,IF(P667+Q667&gt;=80,5,IF(P667+Q667&gt;=70,4,IF(P667+Q667&gt;=60,3.5,IF(P667+Q667&gt;=50,3,IF(P667+Q667&gt;=40,2,IF(P667+Q667&gt;=33,1,0)))))))</f>
        <v/>
      </c>
      <c r="AJ667">
        <f>IF(R667&lt;8.25,0,IF(R667*2&gt;=80,5,IF(R667*2&gt;=70,4,IF(R667*2&gt;=60,3.5,IF(R667*2&gt;=50,3,IF(R667*2&gt;=40,2,IF(R667*2&gt;=33,1,0)))))))</f>
        <v/>
      </c>
      <c r="AK667">
        <f>IF(S667&lt;33,0,IF(S667&gt;=80,5,IF(S667&gt;=70,4,IF(S667&gt;=60,3.5,IF(S667&gt;=50,3,IF(S667&gt;=40,2,IF(S667&gt;=33,1,0)))))))</f>
        <v/>
      </c>
      <c r="AL667">
        <f>(AC667+AD667+AE667+AF667+AG667+AH667+AI667+AJ667)/8</f>
        <v/>
      </c>
      <c r="AM667">
        <f>IF(AK667&gt;=2,(AK667-2)/8,0)</f>
        <v/>
      </c>
    </row>
    <row r="668">
      <c r="T668">
        <f>SUM(C668:R668)</f>
        <v/>
      </c>
      <c r="U668" s="6">
        <f>ROUND(T668/11.5,2)</f>
        <v/>
      </c>
      <c r="V668" s="7">
        <f>IF(B668="","",IF(AB668,0,ROUND(AL668,2)))</f>
        <v/>
      </c>
      <c r="W668" s="7">
        <f>IF(B668="","",IF(AB668,0,MIN(5,ROUND(AL668+AM668,2))))</f>
        <v/>
      </c>
      <c r="X668" s="8">
        <f>IF(B668="","",IF(W668&gt;=5,"A+",IF(W668&gt;=4,"A",IF(W668&gt;=3.5,"A-",IF(W668&gt;=3,"B",IF(W668&gt;=2,"C",IF(W668&gt;=1,"D","F")))))))</f>
        <v/>
      </c>
      <c r="Y668">
        <f>NOT(OR(AND(J668&gt;=10,K668&gt;=23,L668&gt;=10,M668&gt;=23),AND(J668+L668&gt;=20,K668+M668&gt;=46)))</f>
        <v/>
      </c>
      <c r="Z668">
        <f>OR(N668&lt;10,O668&lt;23)</f>
        <v/>
      </c>
      <c r="AA668">
        <f>OR(P668&lt;10,Q668&lt;23)</f>
        <v/>
      </c>
      <c r="AB668">
        <f>OR((C668+D668)&lt;66,(E668+F668)&lt;66,G668&lt;33,(H668+I668)&lt;66,Y668,Z668,AA668,R668&lt;8.25)</f>
        <v/>
      </c>
      <c r="AC668">
        <f>IF(C668+D668&lt;66,0,IF((C668+D668)/2&gt;=80,5,IF((C668+D668)/2&gt;=70,4,IF((C668+D668)/2&gt;=60,3.5,IF((C668+D668)/2&gt;=50,3,IF((C668+D668)/2&gt;=40,2,IF((C668+D668)/2&gt;=33,1,0)))))))</f>
        <v/>
      </c>
      <c r="AD668">
        <f>IF(E668+F668&lt;66,0,IF((E668+F668)/2&gt;=80,5,IF((E668+F668)/2&gt;=70,4,IF((E668+F668)/2&gt;=60,3.5,IF((E668+F668)/2&gt;=50,3,IF((E668+F668)/2&gt;=40,2,IF((E668+F668)/2&gt;=33,1,0)))))))</f>
        <v/>
      </c>
      <c r="AE668">
        <f>IF(G668&lt;33,0,IF(G668&gt;=80,5,IF(G668&gt;=70,4,IF(G668&gt;=60,3.5,IF(G668&gt;=50,3,IF(G668&gt;=40,2,IF(G668&gt;=33,1,0)))))))</f>
        <v/>
      </c>
      <c r="AF668">
        <f>IF(H668+I668&lt;66,0,IF((H668+I668)/2&gt;=80,5,IF((H668+I668)/2&gt;=70,4,IF((H668+I668)/2&gt;=60,3.5,IF((H668+I668)/2&gt;=50,3,IF((H668+I668)/2&gt;=40,2,IF((H668+I668)/2&gt;=33,1,0)))))))</f>
        <v/>
      </c>
      <c r="AG668">
        <f>IF(Y668,0,IF((J668+K668+L668+M668)/2&gt;=80,5,IF((J668+K668+L668+M668)/2&gt;=70,4,IF((J668+K668+L668+M668)/2&gt;=60,3.5,IF((J668+K668+L668+M668)/2&gt;=50,3,IF((J668+K668+L668+M668)/2&gt;=40,2,IF((J668+K668+L668+M668)/2&gt;=33,1,0)))))))</f>
        <v/>
      </c>
      <c r="AH668">
        <f>IF(Z668,0,IF(N668+O668&gt;=80,5,IF(N668+O668&gt;=70,4,IF(N668+O668&gt;=60,3.5,IF(N668+O668&gt;=50,3,IF(N668+O668&gt;=40,2,IF(N668+O668&gt;=33,1,0)))))))</f>
        <v/>
      </c>
      <c r="AI668">
        <f>IF(AA668,0,IF(P668+Q668&gt;=80,5,IF(P668+Q668&gt;=70,4,IF(P668+Q668&gt;=60,3.5,IF(P668+Q668&gt;=50,3,IF(P668+Q668&gt;=40,2,IF(P668+Q668&gt;=33,1,0)))))))</f>
        <v/>
      </c>
      <c r="AJ668">
        <f>IF(R668&lt;8.25,0,IF(R668*2&gt;=80,5,IF(R668*2&gt;=70,4,IF(R668*2&gt;=60,3.5,IF(R668*2&gt;=50,3,IF(R668*2&gt;=40,2,IF(R668*2&gt;=33,1,0)))))))</f>
        <v/>
      </c>
      <c r="AK668">
        <f>IF(S668&lt;33,0,IF(S668&gt;=80,5,IF(S668&gt;=70,4,IF(S668&gt;=60,3.5,IF(S668&gt;=50,3,IF(S668&gt;=40,2,IF(S668&gt;=33,1,0)))))))</f>
        <v/>
      </c>
      <c r="AL668">
        <f>(AC668+AD668+AE668+AF668+AG668+AH668+AI668+AJ668)/8</f>
        <v/>
      </c>
      <c r="AM668">
        <f>IF(AK668&gt;=2,(AK668-2)/8,0)</f>
        <v/>
      </c>
    </row>
    <row r="669">
      <c r="T669">
        <f>SUM(C669:R669)</f>
        <v/>
      </c>
      <c r="U669" s="6">
        <f>ROUND(T669/11.5,2)</f>
        <v/>
      </c>
      <c r="V669" s="7">
        <f>IF(B669="","",IF(AB669,0,ROUND(AL669,2)))</f>
        <v/>
      </c>
      <c r="W669" s="7">
        <f>IF(B669="","",IF(AB669,0,MIN(5,ROUND(AL669+AM669,2))))</f>
        <v/>
      </c>
      <c r="X669" s="8">
        <f>IF(B669="","",IF(W669&gt;=5,"A+",IF(W669&gt;=4,"A",IF(W669&gt;=3.5,"A-",IF(W669&gt;=3,"B",IF(W669&gt;=2,"C",IF(W669&gt;=1,"D","F")))))))</f>
        <v/>
      </c>
      <c r="Y669">
        <f>NOT(OR(AND(J669&gt;=10,K669&gt;=23,L669&gt;=10,M669&gt;=23),AND(J669+L669&gt;=20,K669+M669&gt;=46)))</f>
        <v/>
      </c>
      <c r="Z669">
        <f>OR(N669&lt;10,O669&lt;23)</f>
        <v/>
      </c>
      <c r="AA669">
        <f>OR(P669&lt;10,Q669&lt;23)</f>
        <v/>
      </c>
      <c r="AB669">
        <f>OR((C669+D669)&lt;66,(E669+F669)&lt;66,G669&lt;33,(H669+I669)&lt;66,Y669,Z669,AA669,R669&lt;8.25)</f>
        <v/>
      </c>
      <c r="AC669">
        <f>IF(C669+D669&lt;66,0,IF((C669+D669)/2&gt;=80,5,IF((C669+D669)/2&gt;=70,4,IF((C669+D669)/2&gt;=60,3.5,IF((C669+D669)/2&gt;=50,3,IF((C669+D669)/2&gt;=40,2,IF((C669+D669)/2&gt;=33,1,0)))))))</f>
        <v/>
      </c>
      <c r="AD669">
        <f>IF(E669+F669&lt;66,0,IF((E669+F669)/2&gt;=80,5,IF((E669+F669)/2&gt;=70,4,IF((E669+F669)/2&gt;=60,3.5,IF((E669+F669)/2&gt;=50,3,IF((E669+F669)/2&gt;=40,2,IF((E669+F669)/2&gt;=33,1,0)))))))</f>
        <v/>
      </c>
      <c r="AE669">
        <f>IF(G669&lt;33,0,IF(G669&gt;=80,5,IF(G669&gt;=70,4,IF(G669&gt;=60,3.5,IF(G669&gt;=50,3,IF(G669&gt;=40,2,IF(G669&gt;=33,1,0)))))))</f>
        <v/>
      </c>
      <c r="AF669">
        <f>IF(H669+I669&lt;66,0,IF((H669+I669)/2&gt;=80,5,IF((H669+I669)/2&gt;=70,4,IF((H669+I669)/2&gt;=60,3.5,IF((H669+I669)/2&gt;=50,3,IF((H669+I669)/2&gt;=40,2,IF((H669+I669)/2&gt;=33,1,0)))))))</f>
        <v/>
      </c>
      <c r="AG669">
        <f>IF(Y669,0,IF((J669+K669+L669+M669)/2&gt;=80,5,IF((J669+K669+L669+M669)/2&gt;=70,4,IF((J669+K669+L669+M669)/2&gt;=60,3.5,IF((J669+K669+L669+M669)/2&gt;=50,3,IF((J669+K669+L669+M669)/2&gt;=40,2,IF((J669+K669+L669+M669)/2&gt;=33,1,0)))))))</f>
        <v/>
      </c>
      <c r="AH669">
        <f>IF(Z669,0,IF(N669+O669&gt;=80,5,IF(N669+O669&gt;=70,4,IF(N669+O669&gt;=60,3.5,IF(N669+O669&gt;=50,3,IF(N669+O669&gt;=40,2,IF(N669+O669&gt;=33,1,0)))))))</f>
        <v/>
      </c>
      <c r="AI669">
        <f>IF(AA669,0,IF(P669+Q669&gt;=80,5,IF(P669+Q669&gt;=70,4,IF(P669+Q669&gt;=60,3.5,IF(P669+Q669&gt;=50,3,IF(P669+Q669&gt;=40,2,IF(P669+Q669&gt;=33,1,0)))))))</f>
        <v/>
      </c>
      <c r="AJ669">
        <f>IF(R669&lt;8.25,0,IF(R669*2&gt;=80,5,IF(R669*2&gt;=70,4,IF(R669*2&gt;=60,3.5,IF(R669*2&gt;=50,3,IF(R669*2&gt;=40,2,IF(R669*2&gt;=33,1,0)))))))</f>
        <v/>
      </c>
      <c r="AK669">
        <f>IF(S669&lt;33,0,IF(S669&gt;=80,5,IF(S669&gt;=70,4,IF(S669&gt;=60,3.5,IF(S669&gt;=50,3,IF(S669&gt;=40,2,IF(S669&gt;=33,1,0)))))))</f>
        <v/>
      </c>
      <c r="AL669">
        <f>(AC669+AD669+AE669+AF669+AG669+AH669+AI669+AJ669)/8</f>
        <v/>
      </c>
      <c r="AM669">
        <f>IF(AK669&gt;=2,(AK669-2)/8,0)</f>
        <v/>
      </c>
    </row>
    <row r="670">
      <c r="T670">
        <f>SUM(C670:R670)</f>
        <v/>
      </c>
      <c r="U670" s="6">
        <f>ROUND(T670/11.5,2)</f>
        <v/>
      </c>
      <c r="V670" s="7">
        <f>IF(B670="","",IF(AB670,0,ROUND(AL670,2)))</f>
        <v/>
      </c>
      <c r="W670" s="7">
        <f>IF(B670="","",IF(AB670,0,MIN(5,ROUND(AL670+AM670,2))))</f>
        <v/>
      </c>
      <c r="X670" s="8">
        <f>IF(B670="","",IF(W670&gt;=5,"A+",IF(W670&gt;=4,"A",IF(W670&gt;=3.5,"A-",IF(W670&gt;=3,"B",IF(W670&gt;=2,"C",IF(W670&gt;=1,"D","F")))))))</f>
        <v/>
      </c>
      <c r="Y670">
        <f>NOT(OR(AND(J670&gt;=10,K670&gt;=23,L670&gt;=10,M670&gt;=23),AND(J670+L670&gt;=20,K670+M670&gt;=46)))</f>
        <v/>
      </c>
      <c r="Z670">
        <f>OR(N670&lt;10,O670&lt;23)</f>
        <v/>
      </c>
      <c r="AA670">
        <f>OR(P670&lt;10,Q670&lt;23)</f>
        <v/>
      </c>
      <c r="AB670">
        <f>OR((C670+D670)&lt;66,(E670+F670)&lt;66,G670&lt;33,(H670+I670)&lt;66,Y670,Z670,AA670,R670&lt;8.25)</f>
        <v/>
      </c>
      <c r="AC670">
        <f>IF(C670+D670&lt;66,0,IF((C670+D670)/2&gt;=80,5,IF((C670+D670)/2&gt;=70,4,IF((C670+D670)/2&gt;=60,3.5,IF((C670+D670)/2&gt;=50,3,IF((C670+D670)/2&gt;=40,2,IF((C670+D670)/2&gt;=33,1,0)))))))</f>
        <v/>
      </c>
      <c r="AD670">
        <f>IF(E670+F670&lt;66,0,IF((E670+F670)/2&gt;=80,5,IF((E670+F670)/2&gt;=70,4,IF((E670+F670)/2&gt;=60,3.5,IF((E670+F670)/2&gt;=50,3,IF((E670+F670)/2&gt;=40,2,IF((E670+F670)/2&gt;=33,1,0)))))))</f>
        <v/>
      </c>
      <c r="AE670">
        <f>IF(G670&lt;33,0,IF(G670&gt;=80,5,IF(G670&gt;=70,4,IF(G670&gt;=60,3.5,IF(G670&gt;=50,3,IF(G670&gt;=40,2,IF(G670&gt;=33,1,0)))))))</f>
        <v/>
      </c>
      <c r="AF670">
        <f>IF(H670+I670&lt;66,0,IF((H670+I670)/2&gt;=80,5,IF((H670+I670)/2&gt;=70,4,IF((H670+I670)/2&gt;=60,3.5,IF((H670+I670)/2&gt;=50,3,IF((H670+I670)/2&gt;=40,2,IF((H670+I670)/2&gt;=33,1,0)))))))</f>
        <v/>
      </c>
      <c r="AG670">
        <f>IF(Y670,0,IF((J670+K670+L670+M670)/2&gt;=80,5,IF((J670+K670+L670+M670)/2&gt;=70,4,IF((J670+K670+L670+M670)/2&gt;=60,3.5,IF((J670+K670+L670+M670)/2&gt;=50,3,IF((J670+K670+L670+M670)/2&gt;=40,2,IF((J670+K670+L670+M670)/2&gt;=33,1,0)))))))</f>
        <v/>
      </c>
      <c r="AH670">
        <f>IF(Z670,0,IF(N670+O670&gt;=80,5,IF(N670+O670&gt;=70,4,IF(N670+O670&gt;=60,3.5,IF(N670+O670&gt;=50,3,IF(N670+O670&gt;=40,2,IF(N670+O670&gt;=33,1,0)))))))</f>
        <v/>
      </c>
      <c r="AI670">
        <f>IF(AA670,0,IF(P670+Q670&gt;=80,5,IF(P670+Q670&gt;=70,4,IF(P670+Q670&gt;=60,3.5,IF(P670+Q670&gt;=50,3,IF(P670+Q670&gt;=40,2,IF(P670+Q670&gt;=33,1,0)))))))</f>
        <v/>
      </c>
      <c r="AJ670">
        <f>IF(R670&lt;8.25,0,IF(R670*2&gt;=80,5,IF(R670*2&gt;=70,4,IF(R670*2&gt;=60,3.5,IF(R670*2&gt;=50,3,IF(R670*2&gt;=40,2,IF(R670*2&gt;=33,1,0)))))))</f>
        <v/>
      </c>
      <c r="AK670">
        <f>IF(S670&lt;33,0,IF(S670&gt;=80,5,IF(S670&gt;=70,4,IF(S670&gt;=60,3.5,IF(S670&gt;=50,3,IF(S670&gt;=40,2,IF(S670&gt;=33,1,0)))))))</f>
        <v/>
      </c>
      <c r="AL670">
        <f>(AC670+AD670+AE670+AF670+AG670+AH670+AI670+AJ670)/8</f>
        <v/>
      </c>
      <c r="AM670">
        <f>IF(AK670&gt;=2,(AK670-2)/8,0)</f>
        <v/>
      </c>
    </row>
    <row r="671">
      <c r="T671">
        <f>SUM(C671:R671)</f>
        <v/>
      </c>
      <c r="U671" s="6">
        <f>ROUND(T671/11.5,2)</f>
        <v/>
      </c>
      <c r="V671" s="7">
        <f>IF(B671="","",IF(AB671,0,ROUND(AL671,2)))</f>
        <v/>
      </c>
      <c r="W671" s="7">
        <f>IF(B671="","",IF(AB671,0,MIN(5,ROUND(AL671+AM671,2))))</f>
        <v/>
      </c>
      <c r="X671" s="8">
        <f>IF(B671="","",IF(W671&gt;=5,"A+",IF(W671&gt;=4,"A",IF(W671&gt;=3.5,"A-",IF(W671&gt;=3,"B",IF(W671&gt;=2,"C",IF(W671&gt;=1,"D","F")))))))</f>
        <v/>
      </c>
      <c r="Y671">
        <f>NOT(OR(AND(J671&gt;=10,K671&gt;=23,L671&gt;=10,M671&gt;=23),AND(J671+L671&gt;=20,K671+M671&gt;=46)))</f>
        <v/>
      </c>
      <c r="Z671">
        <f>OR(N671&lt;10,O671&lt;23)</f>
        <v/>
      </c>
      <c r="AA671">
        <f>OR(P671&lt;10,Q671&lt;23)</f>
        <v/>
      </c>
      <c r="AB671">
        <f>OR((C671+D671)&lt;66,(E671+F671)&lt;66,G671&lt;33,(H671+I671)&lt;66,Y671,Z671,AA671,R671&lt;8.25)</f>
        <v/>
      </c>
      <c r="AC671">
        <f>IF(C671+D671&lt;66,0,IF((C671+D671)/2&gt;=80,5,IF((C671+D671)/2&gt;=70,4,IF((C671+D671)/2&gt;=60,3.5,IF((C671+D671)/2&gt;=50,3,IF((C671+D671)/2&gt;=40,2,IF((C671+D671)/2&gt;=33,1,0)))))))</f>
        <v/>
      </c>
      <c r="AD671">
        <f>IF(E671+F671&lt;66,0,IF((E671+F671)/2&gt;=80,5,IF((E671+F671)/2&gt;=70,4,IF((E671+F671)/2&gt;=60,3.5,IF((E671+F671)/2&gt;=50,3,IF((E671+F671)/2&gt;=40,2,IF((E671+F671)/2&gt;=33,1,0)))))))</f>
        <v/>
      </c>
      <c r="AE671">
        <f>IF(G671&lt;33,0,IF(G671&gt;=80,5,IF(G671&gt;=70,4,IF(G671&gt;=60,3.5,IF(G671&gt;=50,3,IF(G671&gt;=40,2,IF(G671&gt;=33,1,0)))))))</f>
        <v/>
      </c>
      <c r="AF671">
        <f>IF(H671+I671&lt;66,0,IF((H671+I671)/2&gt;=80,5,IF((H671+I671)/2&gt;=70,4,IF((H671+I671)/2&gt;=60,3.5,IF((H671+I671)/2&gt;=50,3,IF((H671+I671)/2&gt;=40,2,IF((H671+I671)/2&gt;=33,1,0)))))))</f>
        <v/>
      </c>
      <c r="AG671">
        <f>IF(Y671,0,IF((J671+K671+L671+M671)/2&gt;=80,5,IF((J671+K671+L671+M671)/2&gt;=70,4,IF((J671+K671+L671+M671)/2&gt;=60,3.5,IF((J671+K671+L671+M671)/2&gt;=50,3,IF((J671+K671+L671+M671)/2&gt;=40,2,IF((J671+K671+L671+M671)/2&gt;=33,1,0)))))))</f>
        <v/>
      </c>
      <c r="AH671">
        <f>IF(Z671,0,IF(N671+O671&gt;=80,5,IF(N671+O671&gt;=70,4,IF(N671+O671&gt;=60,3.5,IF(N671+O671&gt;=50,3,IF(N671+O671&gt;=40,2,IF(N671+O671&gt;=33,1,0)))))))</f>
        <v/>
      </c>
      <c r="AI671">
        <f>IF(AA671,0,IF(P671+Q671&gt;=80,5,IF(P671+Q671&gt;=70,4,IF(P671+Q671&gt;=60,3.5,IF(P671+Q671&gt;=50,3,IF(P671+Q671&gt;=40,2,IF(P671+Q671&gt;=33,1,0)))))))</f>
        <v/>
      </c>
      <c r="AJ671">
        <f>IF(R671&lt;8.25,0,IF(R671*2&gt;=80,5,IF(R671*2&gt;=70,4,IF(R671*2&gt;=60,3.5,IF(R671*2&gt;=50,3,IF(R671*2&gt;=40,2,IF(R671*2&gt;=33,1,0)))))))</f>
        <v/>
      </c>
      <c r="AK671">
        <f>IF(S671&lt;33,0,IF(S671&gt;=80,5,IF(S671&gt;=70,4,IF(S671&gt;=60,3.5,IF(S671&gt;=50,3,IF(S671&gt;=40,2,IF(S671&gt;=33,1,0)))))))</f>
        <v/>
      </c>
      <c r="AL671">
        <f>(AC671+AD671+AE671+AF671+AG671+AH671+AI671+AJ671)/8</f>
        <v/>
      </c>
      <c r="AM671">
        <f>IF(AK671&gt;=2,(AK671-2)/8,0)</f>
        <v/>
      </c>
    </row>
    <row r="672">
      <c r="T672">
        <f>SUM(C672:R672)</f>
        <v/>
      </c>
      <c r="U672" s="6">
        <f>ROUND(T672/11.5,2)</f>
        <v/>
      </c>
      <c r="V672" s="7">
        <f>IF(B672="","",IF(AB672,0,ROUND(AL672,2)))</f>
        <v/>
      </c>
      <c r="W672" s="7">
        <f>IF(B672="","",IF(AB672,0,MIN(5,ROUND(AL672+AM672,2))))</f>
        <v/>
      </c>
      <c r="X672" s="8">
        <f>IF(B672="","",IF(W672&gt;=5,"A+",IF(W672&gt;=4,"A",IF(W672&gt;=3.5,"A-",IF(W672&gt;=3,"B",IF(W672&gt;=2,"C",IF(W672&gt;=1,"D","F")))))))</f>
        <v/>
      </c>
      <c r="Y672">
        <f>NOT(OR(AND(J672&gt;=10,K672&gt;=23,L672&gt;=10,M672&gt;=23),AND(J672+L672&gt;=20,K672+M672&gt;=46)))</f>
        <v/>
      </c>
      <c r="Z672">
        <f>OR(N672&lt;10,O672&lt;23)</f>
        <v/>
      </c>
      <c r="AA672">
        <f>OR(P672&lt;10,Q672&lt;23)</f>
        <v/>
      </c>
      <c r="AB672">
        <f>OR((C672+D672)&lt;66,(E672+F672)&lt;66,G672&lt;33,(H672+I672)&lt;66,Y672,Z672,AA672,R672&lt;8.25)</f>
        <v/>
      </c>
      <c r="AC672">
        <f>IF(C672+D672&lt;66,0,IF((C672+D672)/2&gt;=80,5,IF((C672+D672)/2&gt;=70,4,IF((C672+D672)/2&gt;=60,3.5,IF((C672+D672)/2&gt;=50,3,IF((C672+D672)/2&gt;=40,2,IF((C672+D672)/2&gt;=33,1,0)))))))</f>
        <v/>
      </c>
      <c r="AD672">
        <f>IF(E672+F672&lt;66,0,IF((E672+F672)/2&gt;=80,5,IF((E672+F672)/2&gt;=70,4,IF((E672+F672)/2&gt;=60,3.5,IF((E672+F672)/2&gt;=50,3,IF((E672+F672)/2&gt;=40,2,IF((E672+F672)/2&gt;=33,1,0)))))))</f>
        <v/>
      </c>
      <c r="AE672">
        <f>IF(G672&lt;33,0,IF(G672&gt;=80,5,IF(G672&gt;=70,4,IF(G672&gt;=60,3.5,IF(G672&gt;=50,3,IF(G672&gt;=40,2,IF(G672&gt;=33,1,0)))))))</f>
        <v/>
      </c>
      <c r="AF672">
        <f>IF(H672+I672&lt;66,0,IF((H672+I672)/2&gt;=80,5,IF((H672+I672)/2&gt;=70,4,IF((H672+I672)/2&gt;=60,3.5,IF((H672+I672)/2&gt;=50,3,IF((H672+I672)/2&gt;=40,2,IF((H672+I672)/2&gt;=33,1,0)))))))</f>
        <v/>
      </c>
      <c r="AG672">
        <f>IF(Y672,0,IF((J672+K672+L672+M672)/2&gt;=80,5,IF((J672+K672+L672+M672)/2&gt;=70,4,IF((J672+K672+L672+M672)/2&gt;=60,3.5,IF((J672+K672+L672+M672)/2&gt;=50,3,IF((J672+K672+L672+M672)/2&gt;=40,2,IF((J672+K672+L672+M672)/2&gt;=33,1,0)))))))</f>
        <v/>
      </c>
      <c r="AH672">
        <f>IF(Z672,0,IF(N672+O672&gt;=80,5,IF(N672+O672&gt;=70,4,IF(N672+O672&gt;=60,3.5,IF(N672+O672&gt;=50,3,IF(N672+O672&gt;=40,2,IF(N672+O672&gt;=33,1,0)))))))</f>
        <v/>
      </c>
      <c r="AI672">
        <f>IF(AA672,0,IF(P672+Q672&gt;=80,5,IF(P672+Q672&gt;=70,4,IF(P672+Q672&gt;=60,3.5,IF(P672+Q672&gt;=50,3,IF(P672+Q672&gt;=40,2,IF(P672+Q672&gt;=33,1,0)))))))</f>
        <v/>
      </c>
      <c r="AJ672">
        <f>IF(R672&lt;8.25,0,IF(R672*2&gt;=80,5,IF(R672*2&gt;=70,4,IF(R672*2&gt;=60,3.5,IF(R672*2&gt;=50,3,IF(R672*2&gt;=40,2,IF(R672*2&gt;=33,1,0)))))))</f>
        <v/>
      </c>
      <c r="AK672">
        <f>IF(S672&lt;33,0,IF(S672&gt;=80,5,IF(S672&gt;=70,4,IF(S672&gt;=60,3.5,IF(S672&gt;=50,3,IF(S672&gt;=40,2,IF(S672&gt;=33,1,0)))))))</f>
        <v/>
      </c>
      <c r="AL672">
        <f>(AC672+AD672+AE672+AF672+AG672+AH672+AI672+AJ672)/8</f>
        <v/>
      </c>
      <c r="AM672">
        <f>IF(AK672&gt;=2,(AK672-2)/8,0)</f>
        <v/>
      </c>
    </row>
    <row r="673">
      <c r="T673">
        <f>SUM(C673:R673)</f>
        <v/>
      </c>
      <c r="U673" s="6">
        <f>ROUND(T673/11.5,2)</f>
        <v/>
      </c>
      <c r="V673" s="7">
        <f>IF(B673="","",IF(AB673,0,ROUND(AL673,2)))</f>
        <v/>
      </c>
      <c r="W673" s="7">
        <f>IF(B673="","",IF(AB673,0,MIN(5,ROUND(AL673+AM673,2))))</f>
        <v/>
      </c>
      <c r="X673" s="8">
        <f>IF(B673="","",IF(W673&gt;=5,"A+",IF(W673&gt;=4,"A",IF(W673&gt;=3.5,"A-",IF(W673&gt;=3,"B",IF(W673&gt;=2,"C",IF(W673&gt;=1,"D","F")))))))</f>
        <v/>
      </c>
      <c r="Y673">
        <f>NOT(OR(AND(J673&gt;=10,K673&gt;=23,L673&gt;=10,M673&gt;=23),AND(J673+L673&gt;=20,K673+M673&gt;=46)))</f>
        <v/>
      </c>
      <c r="Z673">
        <f>OR(N673&lt;10,O673&lt;23)</f>
        <v/>
      </c>
      <c r="AA673">
        <f>OR(P673&lt;10,Q673&lt;23)</f>
        <v/>
      </c>
      <c r="AB673">
        <f>OR((C673+D673)&lt;66,(E673+F673)&lt;66,G673&lt;33,(H673+I673)&lt;66,Y673,Z673,AA673,R673&lt;8.25)</f>
        <v/>
      </c>
      <c r="AC673">
        <f>IF(C673+D673&lt;66,0,IF((C673+D673)/2&gt;=80,5,IF((C673+D673)/2&gt;=70,4,IF((C673+D673)/2&gt;=60,3.5,IF((C673+D673)/2&gt;=50,3,IF((C673+D673)/2&gt;=40,2,IF((C673+D673)/2&gt;=33,1,0)))))))</f>
        <v/>
      </c>
      <c r="AD673">
        <f>IF(E673+F673&lt;66,0,IF((E673+F673)/2&gt;=80,5,IF((E673+F673)/2&gt;=70,4,IF((E673+F673)/2&gt;=60,3.5,IF((E673+F673)/2&gt;=50,3,IF((E673+F673)/2&gt;=40,2,IF((E673+F673)/2&gt;=33,1,0)))))))</f>
        <v/>
      </c>
      <c r="AE673">
        <f>IF(G673&lt;33,0,IF(G673&gt;=80,5,IF(G673&gt;=70,4,IF(G673&gt;=60,3.5,IF(G673&gt;=50,3,IF(G673&gt;=40,2,IF(G673&gt;=33,1,0)))))))</f>
        <v/>
      </c>
      <c r="AF673">
        <f>IF(H673+I673&lt;66,0,IF((H673+I673)/2&gt;=80,5,IF((H673+I673)/2&gt;=70,4,IF((H673+I673)/2&gt;=60,3.5,IF((H673+I673)/2&gt;=50,3,IF((H673+I673)/2&gt;=40,2,IF((H673+I673)/2&gt;=33,1,0)))))))</f>
        <v/>
      </c>
      <c r="AG673">
        <f>IF(Y673,0,IF((J673+K673+L673+M673)/2&gt;=80,5,IF((J673+K673+L673+M673)/2&gt;=70,4,IF((J673+K673+L673+M673)/2&gt;=60,3.5,IF((J673+K673+L673+M673)/2&gt;=50,3,IF((J673+K673+L673+M673)/2&gt;=40,2,IF((J673+K673+L673+M673)/2&gt;=33,1,0)))))))</f>
        <v/>
      </c>
      <c r="AH673">
        <f>IF(Z673,0,IF(N673+O673&gt;=80,5,IF(N673+O673&gt;=70,4,IF(N673+O673&gt;=60,3.5,IF(N673+O673&gt;=50,3,IF(N673+O673&gt;=40,2,IF(N673+O673&gt;=33,1,0)))))))</f>
        <v/>
      </c>
      <c r="AI673">
        <f>IF(AA673,0,IF(P673+Q673&gt;=80,5,IF(P673+Q673&gt;=70,4,IF(P673+Q673&gt;=60,3.5,IF(P673+Q673&gt;=50,3,IF(P673+Q673&gt;=40,2,IF(P673+Q673&gt;=33,1,0)))))))</f>
        <v/>
      </c>
      <c r="AJ673">
        <f>IF(R673&lt;8.25,0,IF(R673*2&gt;=80,5,IF(R673*2&gt;=70,4,IF(R673*2&gt;=60,3.5,IF(R673*2&gt;=50,3,IF(R673*2&gt;=40,2,IF(R673*2&gt;=33,1,0)))))))</f>
        <v/>
      </c>
      <c r="AK673">
        <f>IF(S673&lt;33,0,IF(S673&gt;=80,5,IF(S673&gt;=70,4,IF(S673&gt;=60,3.5,IF(S673&gt;=50,3,IF(S673&gt;=40,2,IF(S673&gt;=33,1,0)))))))</f>
        <v/>
      </c>
      <c r="AL673">
        <f>(AC673+AD673+AE673+AF673+AG673+AH673+AI673+AJ673)/8</f>
        <v/>
      </c>
      <c r="AM673">
        <f>IF(AK673&gt;=2,(AK673-2)/8,0)</f>
        <v/>
      </c>
    </row>
    <row r="674">
      <c r="T674">
        <f>SUM(C674:R674)</f>
        <v/>
      </c>
      <c r="U674" s="6">
        <f>ROUND(T674/11.5,2)</f>
        <v/>
      </c>
      <c r="V674" s="7">
        <f>IF(B674="","",IF(AB674,0,ROUND(AL674,2)))</f>
        <v/>
      </c>
      <c r="W674" s="7">
        <f>IF(B674="","",IF(AB674,0,MIN(5,ROUND(AL674+AM674,2))))</f>
        <v/>
      </c>
      <c r="X674" s="8">
        <f>IF(B674="","",IF(W674&gt;=5,"A+",IF(W674&gt;=4,"A",IF(W674&gt;=3.5,"A-",IF(W674&gt;=3,"B",IF(W674&gt;=2,"C",IF(W674&gt;=1,"D","F")))))))</f>
        <v/>
      </c>
      <c r="Y674">
        <f>NOT(OR(AND(J674&gt;=10,K674&gt;=23,L674&gt;=10,M674&gt;=23),AND(J674+L674&gt;=20,K674+M674&gt;=46)))</f>
        <v/>
      </c>
      <c r="Z674">
        <f>OR(N674&lt;10,O674&lt;23)</f>
        <v/>
      </c>
      <c r="AA674">
        <f>OR(P674&lt;10,Q674&lt;23)</f>
        <v/>
      </c>
      <c r="AB674">
        <f>OR((C674+D674)&lt;66,(E674+F674)&lt;66,G674&lt;33,(H674+I674)&lt;66,Y674,Z674,AA674,R674&lt;8.25)</f>
        <v/>
      </c>
      <c r="AC674">
        <f>IF(C674+D674&lt;66,0,IF((C674+D674)/2&gt;=80,5,IF((C674+D674)/2&gt;=70,4,IF((C674+D674)/2&gt;=60,3.5,IF((C674+D674)/2&gt;=50,3,IF((C674+D674)/2&gt;=40,2,IF((C674+D674)/2&gt;=33,1,0)))))))</f>
        <v/>
      </c>
      <c r="AD674">
        <f>IF(E674+F674&lt;66,0,IF((E674+F674)/2&gt;=80,5,IF((E674+F674)/2&gt;=70,4,IF((E674+F674)/2&gt;=60,3.5,IF((E674+F674)/2&gt;=50,3,IF((E674+F674)/2&gt;=40,2,IF((E674+F674)/2&gt;=33,1,0)))))))</f>
        <v/>
      </c>
      <c r="AE674">
        <f>IF(G674&lt;33,0,IF(G674&gt;=80,5,IF(G674&gt;=70,4,IF(G674&gt;=60,3.5,IF(G674&gt;=50,3,IF(G674&gt;=40,2,IF(G674&gt;=33,1,0)))))))</f>
        <v/>
      </c>
      <c r="AF674">
        <f>IF(H674+I674&lt;66,0,IF((H674+I674)/2&gt;=80,5,IF((H674+I674)/2&gt;=70,4,IF((H674+I674)/2&gt;=60,3.5,IF((H674+I674)/2&gt;=50,3,IF((H674+I674)/2&gt;=40,2,IF((H674+I674)/2&gt;=33,1,0)))))))</f>
        <v/>
      </c>
      <c r="AG674">
        <f>IF(Y674,0,IF((J674+K674+L674+M674)/2&gt;=80,5,IF((J674+K674+L674+M674)/2&gt;=70,4,IF((J674+K674+L674+M674)/2&gt;=60,3.5,IF((J674+K674+L674+M674)/2&gt;=50,3,IF((J674+K674+L674+M674)/2&gt;=40,2,IF((J674+K674+L674+M674)/2&gt;=33,1,0)))))))</f>
        <v/>
      </c>
      <c r="AH674">
        <f>IF(Z674,0,IF(N674+O674&gt;=80,5,IF(N674+O674&gt;=70,4,IF(N674+O674&gt;=60,3.5,IF(N674+O674&gt;=50,3,IF(N674+O674&gt;=40,2,IF(N674+O674&gt;=33,1,0)))))))</f>
        <v/>
      </c>
      <c r="AI674">
        <f>IF(AA674,0,IF(P674+Q674&gt;=80,5,IF(P674+Q674&gt;=70,4,IF(P674+Q674&gt;=60,3.5,IF(P674+Q674&gt;=50,3,IF(P674+Q674&gt;=40,2,IF(P674+Q674&gt;=33,1,0)))))))</f>
        <v/>
      </c>
      <c r="AJ674">
        <f>IF(R674&lt;8.25,0,IF(R674*2&gt;=80,5,IF(R674*2&gt;=70,4,IF(R674*2&gt;=60,3.5,IF(R674*2&gt;=50,3,IF(R674*2&gt;=40,2,IF(R674*2&gt;=33,1,0)))))))</f>
        <v/>
      </c>
      <c r="AK674">
        <f>IF(S674&lt;33,0,IF(S674&gt;=80,5,IF(S674&gt;=70,4,IF(S674&gt;=60,3.5,IF(S674&gt;=50,3,IF(S674&gt;=40,2,IF(S674&gt;=33,1,0)))))))</f>
        <v/>
      </c>
      <c r="AL674">
        <f>(AC674+AD674+AE674+AF674+AG674+AH674+AI674+AJ674)/8</f>
        <v/>
      </c>
      <c r="AM674">
        <f>IF(AK674&gt;=2,(AK674-2)/8,0)</f>
        <v/>
      </c>
    </row>
    <row r="675">
      <c r="T675">
        <f>SUM(C675:R675)</f>
        <v/>
      </c>
      <c r="U675" s="6">
        <f>ROUND(T675/11.5,2)</f>
        <v/>
      </c>
      <c r="V675" s="7">
        <f>IF(B675="","",IF(AB675,0,ROUND(AL675,2)))</f>
        <v/>
      </c>
      <c r="W675" s="7">
        <f>IF(B675="","",IF(AB675,0,MIN(5,ROUND(AL675+AM675,2))))</f>
        <v/>
      </c>
      <c r="X675" s="8">
        <f>IF(B675="","",IF(W675&gt;=5,"A+",IF(W675&gt;=4,"A",IF(W675&gt;=3.5,"A-",IF(W675&gt;=3,"B",IF(W675&gt;=2,"C",IF(W675&gt;=1,"D","F")))))))</f>
        <v/>
      </c>
      <c r="Y675">
        <f>NOT(OR(AND(J675&gt;=10,K675&gt;=23,L675&gt;=10,M675&gt;=23),AND(J675+L675&gt;=20,K675+M675&gt;=46)))</f>
        <v/>
      </c>
      <c r="Z675">
        <f>OR(N675&lt;10,O675&lt;23)</f>
        <v/>
      </c>
      <c r="AA675">
        <f>OR(P675&lt;10,Q675&lt;23)</f>
        <v/>
      </c>
      <c r="AB675">
        <f>OR((C675+D675)&lt;66,(E675+F675)&lt;66,G675&lt;33,(H675+I675)&lt;66,Y675,Z675,AA675,R675&lt;8.25)</f>
        <v/>
      </c>
      <c r="AC675">
        <f>IF(C675+D675&lt;66,0,IF((C675+D675)/2&gt;=80,5,IF((C675+D675)/2&gt;=70,4,IF((C675+D675)/2&gt;=60,3.5,IF((C675+D675)/2&gt;=50,3,IF((C675+D675)/2&gt;=40,2,IF((C675+D675)/2&gt;=33,1,0)))))))</f>
        <v/>
      </c>
      <c r="AD675">
        <f>IF(E675+F675&lt;66,0,IF((E675+F675)/2&gt;=80,5,IF((E675+F675)/2&gt;=70,4,IF((E675+F675)/2&gt;=60,3.5,IF((E675+F675)/2&gt;=50,3,IF((E675+F675)/2&gt;=40,2,IF((E675+F675)/2&gt;=33,1,0)))))))</f>
        <v/>
      </c>
      <c r="AE675">
        <f>IF(G675&lt;33,0,IF(G675&gt;=80,5,IF(G675&gt;=70,4,IF(G675&gt;=60,3.5,IF(G675&gt;=50,3,IF(G675&gt;=40,2,IF(G675&gt;=33,1,0)))))))</f>
        <v/>
      </c>
      <c r="AF675">
        <f>IF(H675+I675&lt;66,0,IF((H675+I675)/2&gt;=80,5,IF((H675+I675)/2&gt;=70,4,IF((H675+I675)/2&gt;=60,3.5,IF((H675+I675)/2&gt;=50,3,IF((H675+I675)/2&gt;=40,2,IF((H675+I675)/2&gt;=33,1,0)))))))</f>
        <v/>
      </c>
      <c r="AG675">
        <f>IF(Y675,0,IF((J675+K675+L675+M675)/2&gt;=80,5,IF((J675+K675+L675+M675)/2&gt;=70,4,IF((J675+K675+L675+M675)/2&gt;=60,3.5,IF((J675+K675+L675+M675)/2&gt;=50,3,IF((J675+K675+L675+M675)/2&gt;=40,2,IF((J675+K675+L675+M675)/2&gt;=33,1,0)))))))</f>
        <v/>
      </c>
      <c r="AH675">
        <f>IF(Z675,0,IF(N675+O675&gt;=80,5,IF(N675+O675&gt;=70,4,IF(N675+O675&gt;=60,3.5,IF(N675+O675&gt;=50,3,IF(N675+O675&gt;=40,2,IF(N675+O675&gt;=33,1,0)))))))</f>
        <v/>
      </c>
      <c r="AI675">
        <f>IF(AA675,0,IF(P675+Q675&gt;=80,5,IF(P675+Q675&gt;=70,4,IF(P675+Q675&gt;=60,3.5,IF(P675+Q675&gt;=50,3,IF(P675+Q675&gt;=40,2,IF(P675+Q675&gt;=33,1,0)))))))</f>
        <v/>
      </c>
      <c r="AJ675">
        <f>IF(R675&lt;8.25,0,IF(R675*2&gt;=80,5,IF(R675*2&gt;=70,4,IF(R675*2&gt;=60,3.5,IF(R675*2&gt;=50,3,IF(R675*2&gt;=40,2,IF(R675*2&gt;=33,1,0)))))))</f>
        <v/>
      </c>
      <c r="AK675">
        <f>IF(S675&lt;33,0,IF(S675&gt;=80,5,IF(S675&gt;=70,4,IF(S675&gt;=60,3.5,IF(S675&gt;=50,3,IF(S675&gt;=40,2,IF(S675&gt;=33,1,0)))))))</f>
        <v/>
      </c>
      <c r="AL675">
        <f>(AC675+AD675+AE675+AF675+AG675+AH675+AI675+AJ675)/8</f>
        <v/>
      </c>
      <c r="AM675">
        <f>IF(AK675&gt;=2,(AK675-2)/8,0)</f>
        <v/>
      </c>
    </row>
    <row r="676">
      <c r="T676">
        <f>SUM(C676:R676)</f>
        <v/>
      </c>
      <c r="U676" s="6">
        <f>ROUND(T676/11.5,2)</f>
        <v/>
      </c>
      <c r="V676" s="7">
        <f>IF(B676="","",IF(AB676,0,ROUND(AL676,2)))</f>
        <v/>
      </c>
      <c r="W676" s="7">
        <f>IF(B676="","",IF(AB676,0,MIN(5,ROUND(AL676+AM676,2))))</f>
        <v/>
      </c>
      <c r="X676" s="8">
        <f>IF(B676="","",IF(W676&gt;=5,"A+",IF(W676&gt;=4,"A",IF(W676&gt;=3.5,"A-",IF(W676&gt;=3,"B",IF(W676&gt;=2,"C",IF(W676&gt;=1,"D","F")))))))</f>
        <v/>
      </c>
      <c r="Y676">
        <f>NOT(OR(AND(J676&gt;=10,K676&gt;=23,L676&gt;=10,M676&gt;=23),AND(J676+L676&gt;=20,K676+M676&gt;=46)))</f>
        <v/>
      </c>
      <c r="Z676">
        <f>OR(N676&lt;10,O676&lt;23)</f>
        <v/>
      </c>
      <c r="AA676">
        <f>OR(P676&lt;10,Q676&lt;23)</f>
        <v/>
      </c>
      <c r="AB676">
        <f>OR((C676+D676)&lt;66,(E676+F676)&lt;66,G676&lt;33,(H676+I676)&lt;66,Y676,Z676,AA676,R676&lt;8.25)</f>
        <v/>
      </c>
      <c r="AC676">
        <f>IF(C676+D676&lt;66,0,IF((C676+D676)/2&gt;=80,5,IF((C676+D676)/2&gt;=70,4,IF((C676+D676)/2&gt;=60,3.5,IF((C676+D676)/2&gt;=50,3,IF((C676+D676)/2&gt;=40,2,IF((C676+D676)/2&gt;=33,1,0)))))))</f>
        <v/>
      </c>
      <c r="AD676">
        <f>IF(E676+F676&lt;66,0,IF((E676+F676)/2&gt;=80,5,IF((E676+F676)/2&gt;=70,4,IF((E676+F676)/2&gt;=60,3.5,IF((E676+F676)/2&gt;=50,3,IF((E676+F676)/2&gt;=40,2,IF((E676+F676)/2&gt;=33,1,0)))))))</f>
        <v/>
      </c>
      <c r="AE676">
        <f>IF(G676&lt;33,0,IF(G676&gt;=80,5,IF(G676&gt;=70,4,IF(G676&gt;=60,3.5,IF(G676&gt;=50,3,IF(G676&gt;=40,2,IF(G676&gt;=33,1,0)))))))</f>
        <v/>
      </c>
      <c r="AF676">
        <f>IF(H676+I676&lt;66,0,IF((H676+I676)/2&gt;=80,5,IF((H676+I676)/2&gt;=70,4,IF((H676+I676)/2&gt;=60,3.5,IF((H676+I676)/2&gt;=50,3,IF((H676+I676)/2&gt;=40,2,IF((H676+I676)/2&gt;=33,1,0)))))))</f>
        <v/>
      </c>
      <c r="AG676">
        <f>IF(Y676,0,IF((J676+K676+L676+M676)/2&gt;=80,5,IF((J676+K676+L676+M676)/2&gt;=70,4,IF((J676+K676+L676+M676)/2&gt;=60,3.5,IF((J676+K676+L676+M676)/2&gt;=50,3,IF((J676+K676+L676+M676)/2&gt;=40,2,IF((J676+K676+L676+M676)/2&gt;=33,1,0)))))))</f>
        <v/>
      </c>
      <c r="AH676">
        <f>IF(Z676,0,IF(N676+O676&gt;=80,5,IF(N676+O676&gt;=70,4,IF(N676+O676&gt;=60,3.5,IF(N676+O676&gt;=50,3,IF(N676+O676&gt;=40,2,IF(N676+O676&gt;=33,1,0)))))))</f>
        <v/>
      </c>
      <c r="AI676">
        <f>IF(AA676,0,IF(P676+Q676&gt;=80,5,IF(P676+Q676&gt;=70,4,IF(P676+Q676&gt;=60,3.5,IF(P676+Q676&gt;=50,3,IF(P676+Q676&gt;=40,2,IF(P676+Q676&gt;=33,1,0)))))))</f>
        <v/>
      </c>
      <c r="AJ676">
        <f>IF(R676&lt;8.25,0,IF(R676*2&gt;=80,5,IF(R676*2&gt;=70,4,IF(R676*2&gt;=60,3.5,IF(R676*2&gt;=50,3,IF(R676*2&gt;=40,2,IF(R676*2&gt;=33,1,0)))))))</f>
        <v/>
      </c>
      <c r="AK676">
        <f>IF(S676&lt;33,0,IF(S676&gt;=80,5,IF(S676&gt;=70,4,IF(S676&gt;=60,3.5,IF(S676&gt;=50,3,IF(S676&gt;=40,2,IF(S676&gt;=33,1,0)))))))</f>
        <v/>
      </c>
      <c r="AL676">
        <f>(AC676+AD676+AE676+AF676+AG676+AH676+AI676+AJ676)/8</f>
        <v/>
      </c>
      <c r="AM676">
        <f>IF(AK676&gt;=2,(AK676-2)/8,0)</f>
        <v/>
      </c>
    </row>
    <row r="677">
      <c r="T677">
        <f>SUM(C677:R677)</f>
        <v/>
      </c>
      <c r="U677" s="6">
        <f>ROUND(T677/11.5,2)</f>
        <v/>
      </c>
      <c r="V677" s="7">
        <f>IF(B677="","",IF(AB677,0,ROUND(AL677,2)))</f>
        <v/>
      </c>
      <c r="W677" s="7">
        <f>IF(B677="","",IF(AB677,0,MIN(5,ROUND(AL677+AM677,2))))</f>
        <v/>
      </c>
      <c r="X677" s="8">
        <f>IF(B677="","",IF(W677&gt;=5,"A+",IF(W677&gt;=4,"A",IF(W677&gt;=3.5,"A-",IF(W677&gt;=3,"B",IF(W677&gt;=2,"C",IF(W677&gt;=1,"D","F")))))))</f>
        <v/>
      </c>
      <c r="Y677">
        <f>NOT(OR(AND(J677&gt;=10,K677&gt;=23,L677&gt;=10,M677&gt;=23),AND(J677+L677&gt;=20,K677+M677&gt;=46)))</f>
        <v/>
      </c>
      <c r="Z677">
        <f>OR(N677&lt;10,O677&lt;23)</f>
        <v/>
      </c>
      <c r="AA677">
        <f>OR(P677&lt;10,Q677&lt;23)</f>
        <v/>
      </c>
      <c r="AB677">
        <f>OR((C677+D677)&lt;66,(E677+F677)&lt;66,G677&lt;33,(H677+I677)&lt;66,Y677,Z677,AA677,R677&lt;8.25)</f>
        <v/>
      </c>
      <c r="AC677">
        <f>IF(C677+D677&lt;66,0,IF((C677+D677)/2&gt;=80,5,IF((C677+D677)/2&gt;=70,4,IF((C677+D677)/2&gt;=60,3.5,IF((C677+D677)/2&gt;=50,3,IF((C677+D677)/2&gt;=40,2,IF((C677+D677)/2&gt;=33,1,0)))))))</f>
        <v/>
      </c>
      <c r="AD677">
        <f>IF(E677+F677&lt;66,0,IF((E677+F677)/2&gt;=80,5,IF((E677+F677)/2&gt;=70,4,IF((E677+F677)/2&gt;=60,3.5,IF((E677+F677)/2&gt;=50,3,IF((E677+F677)/2&gt;=40,2,IF((E677+F677)/2&gt;=33,1,0)))))))</f>
        <v/>
      </c>
      <c r="AE677">
        <f>IF(G677&lt;33,0,IF(G677&gt;=80,5,IF(G677&gt;=70,4,IF(G677&gt;=60,3.5,IF(G677&gt;=50,3,IF(G677&gt;=40,2,IF(G677&gt;=33,1,0)))))))</f>
        <v/>
      </c>
      <c r="AF677">
        <f>IF(H677+I677&lt;66,0,IF((H677+I677)/2&gt;=80,5,IF((H677+I677)/2&gt;=70,4,IF((H677+I677)/2&gt;=60,3.5,IF((H677+I677)/2&gt;=50,3,IF((H677+I677)/2&gt;=40,2,IF((H677+I677)/2&gt;=33,1,0)))))))</f>
        <v/>
      </c>
      <c r="AG677">
        <f>IF(Y677,0,IF((J677+K677+L677+M677)/2&gt;=80,5,IF((J677+K677+L677+M677)/2&gt;=70,4,IF((J677+K677+L677+M677)/2&gt;=60,3.5,IF((J677+K677+L677+M677)/2&gt;=50,3,IF((J677+K677+L677+M677)/2&gt;=40,2,IF((J677+K677+L677+M677)/2&gt;=33,1,0)))))))</f>
        <v/>
      </c>
      <c r="AH677">
        <f>IF(Z677,0,IF(N677+O677&gt;=80,5,IF(N677+O677&gt;=70,4,IF(N677+O677&gt;=60,3.5,IF(N677+O677&gt;=50,3,IF(N677+O677&gt;=40,2,IF(N677+O677&gt;=33,1,0)))))))</f>
        <v/>
      </c>
      <c r="AI677">
        <f>IF(AA677,0,IF(P677+Q677&gt;=80,5,IF(P677+Q677&gt;=70,4,IF(P677+Q677&gt;=60,3.5,IF(P677+Q677&gt;=50,3,IF(P677+Q677&gt;=40,2,IF(P677+Q677&gt;=33,1,0)))))))</f>
        <v/>
      </c>
      <c r="AJ677">
        <f>IF(R677&lt;8.25,0,IF(R677*2&gt;=80,5,IF(R677*2&gt;=70,4,IF(R677*2&gt;=60,3.5,IF(R677*2&gt;=50,3,IF(R677*2&gt;=40,2,IF(R677*2&gt;=33,1,0)))))))</f>
        <v/>
      </c>
      <c r="AK677">
        <f>IF(S677&lt;33,0,IF(S677&gt;=80,5,IF(S677&gt;=70,4,IF(S677&gt;=60,3.5,IF(S677&gt;=50,3,IF(S677&gt;=40,2,IF(S677&gt;=33,1,0)))))))</f>
        <v/>
      </c>
      <c r="AL677">
        <f>(AC677+AD677+AE677+AF677+AG677+AH677+AI677+AJ677)/8</f>
        <v/>
      </c>
      <c r="AM677">
        <f>IF(AK677&gt;=2,(AK677-2)/8,0)</f>
        <v/>
      </c>
    </row>
    <row r="678">
      <c r="T678">
        <f>SUM(C678:R678)</f>
        <v/>
      </c>
      <c r="U678" s="6">
        <f>ROUND(T678/11.5,2)</f>
        <v/>
      </c>
      <c r="V678" s="7">
        <f>IF(B678="","",IF(AB678,0,ROUND(AL678,2)))</f>
        <v/>
      </c>
      <c r="W678" s="7">
        <f>IF(B678="","",IF(AB678,0,MIN(5,ROUND(AL678+AM678,2))))</f>
        <v/>
      </c>
      <c r="X678" s="8">
        <f>IF(B678="","",IF(W678&gt;=5,"A+",IF(W678&gt;=4,"A",IF(W678&gt;=3.5,"A-",IF(W678&gt;=3,"B",IF(W678&gt;=2,"C",IF(W678&gt;=1,"D","F")))))))</f>
        <v/>
      </c>
      <c r="Y678">
        <f>NOT(OR(AND(J678&gt;=10,K678&gt;=23,L678&gt;=10,M678&gt;=23),AND(J678+L678&gt;=20,K678+M678&gt;=46)))</f>
        <v/>
      </c>
      <c r="Z678">
        <f>OR(N678&lt;10,O678&lt;23)</f>
        <v/>
      </c>
      <c r="AA678">
        <f>OR(P678&lt;10,Q678&lt;23)</f>
        <v/>
      </c>
      <c r="AB678">
        <f>OR((C678+D678)&lt;66,(E678+F678)&lt;66,G678&lt;33,(H678+I678)&lt;66,Y678,Z678,AA678,R678&lt;8.25)</f>
        <v/>
      </c>
      <c r="AC678">
        <f>IF(C678+D678&lt;66,0,IF((C678+D678)/2&gt;=80,5,IF((C678+D678)/2&gt;=70,4,IF((C678+D678)/2&gt;=60,3.5,IF((C678+D678)/2&gt;=50,3,IF((C678+D678)/2&gt;=40,2,IF((C678+D678)/2&gt;=33,1,0)))))))</f>
        <v/>
      </c>
      <c r="AD678">
        <f>IF(E678+F678&lt;66,0,IF((E678+F678)/2&gt;=80,5,IF((E678+F678)/2&gt;=70,4,IF((E678+F678)/2&gt;=60,3.5,IF((E678+F678)/2&gt;=50,3,IF((E678+F678)/2&gt;=40,2,IF((E678+F678)/2&gt;=33,1,0)))))))</f>
        <v/>
      </c>
      <c r="AE678">
        <f>IF(G678&lt;33,0,IF(G678&gt;=80,5,IF(G678&gt;=70,4,IF(G678&gt;=60,3.5,IF(G678&gt;=50,3,IF(G678&gt;=40,2,IF(G678&gt;=33,1,0)))))))</f>
        <v/>
      </c>
      <c r="AF678">
        <f>IF(H678+I678&lt;66,0,IF((H678+I678)/2&gt;=80,5,IF((H678+I678)/2&gt;=70,4,IF((H678+I678)/2&gt;=60,3.5,IF((H678+I678)/2&gt;=50,3,IF((H678+I678)/2&gt;=40,2,IF((H678+I678)/2&gt;=33,1,0)))))))</f>
        <v/>
      </c>
      <c r="AG678">
        <f>IF(Y678,0,IF((J678+K678+L678+M678)/2&gt;=80,5,IF((J678+K678+L678+M678)/2&gt;=70,4,IF((J678+K678+L678+M678)/2&gt;=60,3.5,IF((J678+K678+L678+M678)/2&gt;=50,3,IF((J678+K678+L678+M678)/2&gt;=40,2,IF((J678+K678+L678+M678)/2&gt;=33,1,0)))))))</f>
        <v/>
      </c>
      <c r="AH678">
        <f>IF(Z678,0,IF(N678+O678&gt;=80,5,IF(N678+O678&gt;=70,4,IF(N678+O678&gt;=60,3.5,IF(N678+O678&gt;=50,3,IF(N678+O678&gt;=40,2,IF(N678+O678&gt;=33,1,0)))))))</f>
        <v/>
      </c>
      <c r="AI678">
        <f>IF(AA678,0,IF(P678+Q678&gt;=80,5,IF(P678+Q678&gt;=70,4,IF(P678+Q678&gt;=60,3.5,IF(P678+Q678&gt;=50,3,IF(P678+Q678&gt;=40,2,IF(P678+Q678&gt;=33,1,0)))))))</f>
        <v/>
      </c>
      <c r="AJ678">
        <f>IF(R678&lt;8.25,0,IF(R678*2&gt;=80,5,IF(R678*2&gt;=70,4,IF(R678*2&gt;=60,3.5,IF(R678*2&gt;=50,3,IF(R678*2&gt;=40,2,IF(R678*2&gt;=33,1,0)))))))</f>
        <v/>
      </c>
      <c r="AK678">
        <f>IF(S678&lt;33,0,IF(S678&gt;=80,5,IF(S678&gt;=70,4,IF(S678&gt;=60,3.5,IF(S678&gt;=50,3,IF(S678&gt;=40,2,IF(S678&gt;=33,1,0)))))))</f>
        <v/>
      </c>
      <c r="AL678">
        <f>(AC678+AD678+AE678+AF678+AG678+AH678+AI678+AJ678)/8</f>
        <v/>
      </c>
      <c r="AM678">
        <f>IF(AK678&gt;=2,(AK678-2)/8,0)</f>
        <v/>
      </c>
    </row>
    <row r="679">
      <c r="T679">
        <f>SUM(C679:R679)</f>
        <v/>
      </c>
      <c r="U679" s="6">
        <f>ROUND(T679/11.5,2)</f>
        <v/>
      </c>
      <c r="V679" s="7">
        <f>IF(B679="","",IF(AB679,0,ROUND(AL679,2)))</f>
        <v/>
      </c>
      <c r="W679" s="7">
        <f>IF(B679="","",IF(AB679,0,MIN(5,ROUND(AL679+AM679,2))))</f>
        <v/>
      </c>
      <c r="X679" s="8">
        <f>IF(B679="","",IF(W679&gt;=5,"A+",IF(W679&gt;=4,"A",IF(W679&gt;=3.5,"A-",IF(W679&gt;=3,"B",IF(W679&gt;=2,"C",IF(W679&gt;=1,"D","F")))))))</f>
        <v/>
      </c>
      <c r="Y679">
        <f>NOT(OR(AND(J679&gt;=10,K679&gt;=23,L679&gt;=10,M679&gt;=23),AND(J679+L679&gt;=20,K679+M679&gt;=46)))</f>
        <v/>
      </c>
      <c r="Z679">
        <f>OR(N679&lt;10,O679&lt;23)</f>
        <v/>
      </c>
      <c r="AA679">
        <f>OR(P679&lt;10,Q679&lt;23)</f>
        <v/>
      </c>
      <c r="AB679">
        <f>OR((C679+D679)&lt;66,(E679+F679)&lt;66,G679&lt;33,(H679+I679)&lt;66,Y679,Z679,AA679,R679&lt;8.25)</f>
        <v/>
      </c>
      <c r="AC679">
        <f>IF(C679+D679&lt;66,0,IF((C679+D679)/2&gt;=80,5,IF((C679+D679)/2&gt;=70,4,IF((C679+D679)/2&gt;=60,3.5,IF((C679+D679)/2&gt;=50,3,IF((C679+D679)/2&gt;=40,2,IF((C679+D679)/2&gt;=33,1,0)))))))</f>
        <v/>
      </c>
      <c r="AD679">
        <f>IF(E679+F679&lt;66,0,IF((E679+F679)/2&gt;=80,5,IF((E679+F679)/2&gt;=70,4,IF((E679+F679)/2&gt;=60,3.5,IF((E679+F679)/2&gt;=50,3,IF((E679+F679)/2&gt;=40,2,IF((E679+F679)/2&gt;=33,1,0)))))))</f>
        <v/>
      </c>
      <c r="AE679">
        <f>IF(G679&lt;33,0,IF(G679&gt;=80,5,IF(G679&gt;=70,4,IF(G679&gt;=60,3.5,IF(G679&gt;=50,3,IF(G679&gt;=40,2,IF(G679&gt;=33,1,0)))))))</f>
        <v/>
      </c>
      <c r="AF679">
        <f>IF(H679+I679&lt;66,0,IF((H679+I679)/2&gt;=80,5,IF((H679+I679)/2&gt;=70,4,IF((H679+I679)/2&gt;=60,3.5,IF((H679+I679)/2&gt;=50,3,IF((H679+I679)/2&gt;=40,2,IF((H679+I679)/2&gt;=33,1,0)))))))</f>
        <v/>
      </c>
      <c r="AG679">
        <f>IF(Y679,0,IF((J679+K679+L679+M679)/2&gt;=80,5,IF((J679+K679+L679+M679)/2&gt;=70,4,IF((J679+K679+L679+M679)/2&gt;=60,3.5,IF((J679+K679+L679+M679)/2&gt;=50,3,IF((J679+K679+L679+M679)/2&gt;=40,2,IF((J679+K679+L679+M679)/2&gt;=33,1,0)))))))</f>
        <v/>
      </c>
      <c r="AH679">
        <f>IF(Z679,0,IF(N679+O679&gt;=80,5,IF(N679+O679&gt;=70,4,IF(N679+O679&gt;=60,3.5,IF(N679+O679&gt;=50,3,IF(N679+O679&gt;=40,2,IF(N679+O679&gt;=33,1,0)))))))</f>
        <v/>
      </c>
      <c r="AI679">
        <f>IF(AA679,0,IF(P679+Q679&gt;=80,5,IF(P679+Q679&gt;=70,4,IF(P679+Q679&gt;=60,3.5,IF(P679+Q679&gt;=50,3,IF(P679+Q679&gt;=40,2,IF(P679+Q679&gt;=33,1,0)))))))</f>
        <v/>
      </c>
      <c r="AJ679">
        <f>IF(R679&lt;8.25,0,IF(R679*2&gt;=80,5,IF(R679*2&gt;=70,4,IF(R679*2&gt;=60,3.5,IF(R679*2&gt;=50,3,IF(R679*2&gt;=40,2,IF(R679*2&gt;=33,1,0)))))))</f>
        <v/>
      </c>
      <c r="AK679">
        <f>IF(S679&lt;33,0,IF(S679&gt;=80,5,IF(S679&gt;=70,4,IF(S679&gt;=60,3.5,IF(S679&gt;=50,3,IF(S679&gt;=40,2,IF(S679&gt;=33,1,0)))))))</f>
        <v/>
      </c>
      <c r="AL679">
        <f>(AC679+AD679+AE679+AF679+AG679+AH679+AI679+AJ679)/8</f>
        <v/>
      </c>
      <c r="AM679">
        <f>IF(AK679&gt;=2,(AK679-2)/8,0)</f>
        <v/>
      </c>
    </row>
    <row r="680">
      <c r="T680">
        <f>SUM(C680:R680)</f>
        <v/>
      </c>
      <c r="U680" s="6">
        <f>ROUND(T680/11.5,2)</f>
        <v/>
      </c>
      <c r="V680" s="7">
        <f>IF(B680="","",IF(AB680,0,ROUND(AL680,2)))</f>
        <v/>
      </c>
      <c r="W680" s="7">
        <f>IF(B680="","",IF(AB680,0,MIN(5,ROUND(AL680+AM680,2))))</f>
        <v/>
      </c>
      <c r="X680" s="8">
        <f>IF(B680="","",IF(W680&gt;=5,"A+",IF(W680&gt;=4,"A",IF(W680&gt;=3.5,"A-",IF(W680&gt;=3,"B",IF(W680&gt;=2,"C",IF(W680&gt;=1,"D","F")))))))</f>
        <v/>
      </c>
      <c r="Y680">
        <f>NOT(OR(AND(J680&gt;=10,K680&gt;=23,L680&gt;=10,M680&gt;=23),AND(J680+L680&gt;=20,K680+M680&gt;=46)))</f>
        <v/>
      </c>
      <c r="Z680">
        <f>OR(N680&lt;10,O680&lt;23)</f>
        <v/>
      </c>
      <c r="AA680">
        <f>OR(P680&lt;10,Q680&lt;23)</f>
        <v/>
      </c>
      <c r="AB680">
        <f>OR((C680+D680)&lt;66,(E680+F680)&lt;66,G680&lt;33,(H680+I680)&lt;66,Y680,Z680,AA680,R680&lt;8.25)</f>
        <v/>
      </c>
      <c r="AC680">
        <f>IF(C680+D680&lt;66,0,IF((C680+D680)/2&gt;=80,5,IF((C680+D680)/2&gt;=70,4,IF((C680+D680)/2&gt;=60,3.5,IF((C680+D680)/2&gt;=50,3,IF((C680+D680)/2&gt;=40,2,IF((C680+D680)/2&gt;=33,1,0)))))))</f>
        <v/>
      </c>
      <c r="AD680">
        <f>IF(E680+F680&lt;66,0,IF((E680+F680)/2&gt;=80,5,IF((E680+F680)/2&gt;=70,4,IF((E680+F680)/2&gt;=60,3.5,IF((E680+F680)/2&gt;=50,3,IF((E680+F680)/2&gt;=40,2,IF((E680+F680)/2&gt;=33,1,0)))))))</f>
        <v/>
      </c>
      <c r="AE680">
        <f>IF(G680&lt;33,0,IF(G680&gt;=80,5,IF(G680&gt;=70,4,IF(G680&gt;=60,3.5,IF(G680&gt;=50,3,IF(G680&gt;=40,2,IF(G680&gt;=33,1,0)))))))</f>
        <v/>
      </c>
      <c r="AF680">
        <f>IF(H680+I680&lt;66,0,IF((H680+I680)/2&gt;=80,5,IF((H680+I680)/2&gt;=70,4,IF((H680+I680)/2&gt;=60,3.5,IF((H680+I680)/2&gt;=50,3,IF((H680+I680)/2&gt;=40,2,IF((H680+I680)/2&gt;=33,1,0)))))))</f>
        <v/>
      </c>
      <c r="AG680">
        <f>IF(Y680,0,IF((J680+K680+L680+M680)/2&gt;=80,5,IF((J680+K680+L680+M680)/2&gt;=70,4,IF((J680+K680+L680+M680)/2&gt;=60,3.5,IF((J680+K680+L680+M680)/2&gt;=50,3,IF((J680+K680+L680+M680)/2&gt;=40,2,IF((J680+K680+L680+M680)/2&gt;=33,1,0)))))))</f>
        <v/>
      </c>
      <c r="AH680">
        <f>IF(Z680,0,IF(N680+O680&gt;=80,5,IF(N680+O680&gt;=70,4,IF(N680+O680&gt;=60,3.5,IF(N680+O680&gt;=50,3,IF(N680+O680&gt;=40,2,IF(N680+O680&gt;=33,1,0)))))))</f>
        <v/>
      </c>
      <c r="AI680">
        <f>IF(AA680,0,IF(P680+Q680&gt;=80,5,IF(P680+Q680&gt;=70,4,IF(P680+Q680&gt;=60,3.5,IF(P680+Q680&gt;=50,3,IF(P680+Q680&gt;=40,2,IF(P680+Q680&gt;=33,1,0)))))))</f>
        <v/>
      </c>
      <c r="AJ680">
        <f>IF(R680&lt;8.25,0,IF(R680*2&gt;=80,5,IF(R680*2&gt;=70,4,IF(R680*2&gt;=60,3.5,IF(R680*2&gt;=50,3,IF(R680*2&gt;=40,2,IF(R680*2&gt;=33,1,0)))))))</f>
        <v/>
      </c>
      <c r="AK680">
        <f>IF(S680&lt;33,0,IF(S680&gt;=80,5,IF(S680&gt;=70,4,IF(S680&gt;=60,3.5,IF(S680&gt;=50,3,IF(S680&gt;=40,2,IF(S680&gt;=33,1,0)))))))</f>
        <v/>
      </c>
      <c r="AL680">
        <f>(AC680+AD680+AE680+AF680+AG680+AH680+AI680+AJ680)/8</f>
        <v/>
      </c>
      <c r="AM680">
        <f>IF(AK680&gt;=2,(AK680-2)/8,0)</f>
        <v/>
      </c>
    </row>
    <row r="681">
      <c r="T681">
        <f>SUM(C681:R681)</f>
        <v/>
      </c>
      <c r="U681" s="6">
        <f>ROUND(T681/11.5,2)</f>
        <v/>
      </c>
      <c r="V681" s="7">
        <f>IF(B681="","",IF(AB681,0,ROUND(AL681,2)))</f>
        <v/>
      </c>
      <c r="W681" s="7">
        <f>IF(B681="","",IF(AB681,0,MIN(5,ROUND(AL681+AM681,2))))</f>
        <v/>
      </c>
      <c r="X681" s="8">
        <f>IF(B681="","",IF(W681&gt;=5,"A+",IF(W681&gt;=4,"A",IF(W681&gt;=3.5,"A-",IF(W681&gt;=3,"B",IF(W681&gt;=2,"C",IF(W681&gt;=1,"D","F")))))))</f>
        <v/>
      </c>
      <c r="Y681">
        <f>NOT(OR(AND(J681&gt;=10,K681&gt;=23,L681&gt;=10,M681&gt;=23),AND(J681+L681&gt;=20,K681+M681&gt;=46)))</f>
        <v/>
      </c>
      <c r="Z681">
        <f>OR(N681&lt;10,O681&lt;23)</f>
        <v/>
      </c>
      <c r="AA681">
        <f>OR(P681&lt;10,Q681&lt;23)</f>
        <v/>
      </c>
      <c r="AB681">
        <f>OR((C681+D681)&lt;66,(E681+F681)&lt;66,G681&lt;33,(H681+I681)&lt;66,Y681,Z681,AA681,R681&lt;8.25)</f>
        <v/>
      </c>
      <c r="AC681">
        <f>IF(C681+D681&lt;66,0,IF((C681+D681)/2&gt;=80,5,IF((C681+D681)/2&gt;=70,4,IF((C681+D681)/2&gt;=60,3.5,IF((C681+D681)/2&gt;=50,3,IF((C681+D681)/2&gt;=40,2,IF((C681+D681)/2&gt;=33,1,0)))))))</f>
        <v/>
      </c>
      <c r="AD681">
        <f>IF(E681+F681&lt;66,0,IF((E681+F681)/2&gt;=80,5,IF((E681+F681)/2&gt;=70,4,IF((E681+F681)/2&gt;=60,3.5,IF((E681+F681)/2&gt;=50,3,IF((E681+F681)/2&gt;=40,2,IF((E681+F681)/2&gt;=33,1,0)))))))</f>
        <v/>
      </c>
      <c r="AE681">
        <f>IF(G681&lt;33,0,IF(G681&gt;=80,5,IF(G681&gt;=70,4,IF(G681&gt;=60,3.5,IF(G681&gt;=50,3,IF(G681&gt;=40,2,IF(G681&gt;=33,1,0)))))))</f>
        <v/>
      </c>
      <c r="AF681">
        <f>IF(H681+I681&lt;66,0,IF((H681+I681)/2&gt;=80,5,IF((H681+I681)/2&gt;=70,4,IF((H681+I681)/2&gt;=60,3.5,IF((H681+I681)/2&gt;=50,3,IF((H681+I681)/2&gt;=40,2,IF((H681+I681)/2&gt;=33,1,0)))))))</f>
        <v/>
      </c>
      <c r="AG681">
        <f>IF(Y681,0,IF((J681+K681+L681+M681)/2&gt;=80,5,IF((J681+K681+L681+M681)/2&gt;=70,4,IF((J681+K681+L681+M681)/2&gt;=60,3.5,IF((J681+K681+L681+M681)/2&gt;=50,3,IF((J681+K681+L681+M681)/2&gt;=40,2,IF((J681+K681+L681+M681)/2&gt;=33,1,0)))))))</f>
        <v/>
      </c>
      <c r="AH681">
        <f>IF(Z681,0,IF(N681+O681&gt;=80,5,IF(N681+O681&gt;=70,4,IF(N681+O681&gt;=60,3.5,IF(N681+O681&gt;=50,3,IF(N681+O681&gt;=40,2,IF(N681+O681&gt;=33,1,0)))))))</f>
        <v/>
      </c>
      <c r="AI681">
        <f>IF(AA681,0,IF(P681+Q681&gt;=80,5,IF(P681+Q681&gt;=70,4,IF(P681+Q681&gt;=60,3.5,IF(P681+Q681&gt;=50,3,IF(P681+Q681&gt;=40,2,IF(P681+Q681&gt;=33,1,0)))))))</f>
        <v/>
      </c>
      <c r="AJ681">
        <f>IF(R681&lt;8.25,0,IF(R681*2&gt;=80,5,IF(R681*2&gt;=70,4,IF(R681*2&gt;=60,3.5,IF(R681*2&gt;=50,3,IF(R681*2&gt;=40,2,IF(R681*2&gt;=33,1,0)))))))</f>
        <v/>
      </c>
      <c r="AK681">
        <f>IF(S681&lt;33,0,IF(S681&gt;=80,5,IF(S681&gt;=70,4,IF(S681&gt;=60,3.5,IF(S681&gt;=50,3,IF(S681&gt;=40,2,IF(S681&gt;=33,1,0)))))))</f>
        <v/>
      </c>
      <c r="AL681">
        <f>(AC681+AD681+AE681+AF681+AG681+AH681+AI681+AJ681)/8</f>
        <v/>
      </c>
      <c r="AM681">
        <f>IF(AK681&gt;=2,(AK681-2)/8,0)</f>
        <v/>
      </c>
    </row>
    <row r="682">
      <c r="T682">
        <f>SUM(C682:R682)</f>
        <v/>
      </c>
      <c r="U682" s="6">
        <f>ROUND(T682/11.5,2)</f>
        <v/>
      </c>
      <c r="V682" s="7">
        <f>IF(B682="","",IF(AB682,0,ROUND(AL682,2)))</f>
        <v/>
      </c>
      <c r="W682" s="7">
        <f>IF(B682="","",IF(AB682,0,MIN(5,ROUND(AL682+AM682,2))))</f>
        <v/>
      </c>
      <c r="X682" s="8">
        <f>IF(B682="","",IF(W682&gt;=5,"A+",IF(W682&gt;=4,"A",IF(W682&gt;=3.5,"A-",IF(W682&gt;=3,"B",IF(W682&gt;=2,"C",IF(W682&gt;=1,"D","F")))))))</f>
        <v/>
      </c>
      <c r="Y682">
        <f>NOT(OR(AND(J682&gt;=10,K682&gt;=23,L682&gt;=10,M682&gt;=23),AND(J682+L682&gt;=20,K682+M682&gt;=46)))</f>
        <v/>
      </c>
      <c r="Z682">
        <f>OR(N682&lt;10,O682&lt;23)</f>
        <v/>
      </c>
      <c r="AA682">
        <f>OR(P682&lt;10,Q682&lt;23)</f>
        <v/>
      </c>
      <c r="AB682">
        <f>OR((C682+D682)&lt;66,(E682+F682)&lt;66,G682&lt;33,(H682+I682)&lt;66,Y682,Z682,AA682,R682&lt;8.25)</f>
        <v/>
      </c>
      <c r="AC682">
        <f>IF(C682+D682&lt;66,0,IF((C682+D682)/2&gt;=80,5,IF((C682+D682)/2&gt;=70,4,IF((C682+D682)/2&gt;=60,3.5,IF((C682+D682)/2&gt;=50,3,IF((C682+D682)/2&gt;=40,2,IF((C682+D682)/2&gt;=33,1,0)))))))</f>
        <v/>
      </c>
      <c r="AD682">
        <f>IF(E682+F682&lt;66,0,IF((E682+F682)/2&gt;=80,5,IF((E682+F682)/2&gt;=70,4,IF((E682+F682)/2&gt;=60,3.5,IF((E682+F682)/2&gt;=50,3,IF((E682+F682)/2&gt;=40,2,IF((E682+F682)/2&gt;=33,1,0)))))))</f>
        <v/>
      </c>
      <c r="AE682">
        <f>IF(G682&lt;33,0,IF(G682&gt;=80,5,IF(G682&gt;=70,4,IF(G682&gt;=60,3.5,IF(G682&gt;=50,3,IF(G682&gt;=40,2,IF(G682&gt;=33,1,0)))))))</f>
        <v/>
      </c>
      <c r="AF682">
        <f>IF(H682+I682&lt;66,0,IF((H682+I682)/2&gt;=80,5,IF((H682+I682)/2&gt;=70,4,IF((H682+I682)/2&gt;=60,3.5,IF((H682+I682)/2&gt;=50,3,IF((H682+I682)/2&gt;=40,2,IF((H682+I682)/2&gt;=33,1,0)))))))</f>
        <v/>
      </c>
      <c r="AG682">
        <f>IF(Y682,0,IF((J682+K682+L682+M682)/2&gt;=80,5,IF((J682+K682+L682+M682)/2&gt;=70,4,IF((J682+K682+L682+M682)/2&gt;=60,3.5,IF((J682+K682+L682+M682)/2&gt;=50,3,IF((J682+K682+L682+M682)/2&gt;=40,2,IF((J682+K682+L682+M682)/2&gt;=33,1,0)))))))</f>
        <v/>
      </c>
      <c r="AH682">
        <f>IF(Z682,0,IF(N682+O682&gt;=80,5,IF(N682+O682&gt;=70,4,IF(N682+O682&gt;=60,3.5,IF(N682+O682&gt;=50,3,IF(N682+O682&gt;=40,2,IF(N682+O682&gt;=33,1,0)))))))</f>
        <v/>
      </c>
      <c r="AI682">
        <f>IF(AA682,0,IF(P682+Q682&gt;=80,5,IF(P682+Q682&gt;=70,4,IF(P682+Q682&gt;=60,3.5,IF(P682+Q682&gt;=50,3,IF(P682+Q682&gt;=40,2,IF(P682+Q682&gt;=33,1,0)))))))</f>
        <v/>
      </c>
      <c r="AJ682">
        <f>IF(R682&lt;8.25,0,IF(R682*2&gt;=80,5,IF(R682*2&gt;=70,4,IF(R682*2&gt;=60,3.5,IF(R682*2&gt;=50,3,IF(R682*2&gt;=40,2,IF(R682*2&gt;=33,1,0)))))))</f>
        <v/>
      </c>
      <c r="AK682">
        <f>IF(S682&lt;33,0,IF(S682&gt;=80,5,IF(S682&gt;=70,4,IF(S682&gt;=60,3.5,IF(S682&gt;=50,3,IF(S682&gt;=40,2,IF(S682&gt;=33,1,0)))))))</f>
        <v/>
      </c>
      <c r="AL682">
        <f>(AC682+AD682+AE682+AF682+AG682+AH682+AI682+AJ682)/8</f>
        <v/>
      </c>
      <c r="AM682">
        <f>IF(AK682&gt;=2,(AK682-2)/8,0)</f>
        <v/>
      </c>
    </row>
    <row r="683">
      <c r="T683">
        <f>SUM(C683:R683)</f>
        <v/>
      </c>
      <c r="U683" s="6">
        <f>ROUND(T683/11.5,2)</f>
        <v/>
      </c>
      <c r="V683" s="7">
        <f>IF(B683="","",IF(AB683,0,ROUND(AL683,2)))</f>
        <v/>
      </c>
      <c r="W683" s="7">
        <f>IF(B683="","",IF(AB683,0,MIN(5,ROUND(AL683+AM683,2))))</f>
        <v/>
      </c>
      <c r="X683" s="8">
        <f>IF(B683="","",IF(W683&gt;=5,"A+",IF(W683&gt;=4,"A",IF(W683&gt;=3.5,"A-",IF(W683&gt;=3,"B",IF(W683&gt;=2,"C",IF(W683&gt;=1,"D","F")))))))</f>
        <v/>
      </c>
      <c r="Y683">
        <f>NOT(OR(AND(J683&gt;=10,K683&gt;=23,L683&gt;=10,M683&gt;=23),AND(J683+L683&gt;=20,K683+M683&gt;=46)))</f>
        <v/>
      </c>
      <c r="Z683">
        <f>OR(N683&lt;10,O683&lt;23)</f>
        <v/>
      </c>
      <c r="AA683">
        <f>OR(P683&lt;10,Q683&lt;23)</f>
        <v/>
      </c>
      <c r="AB683">
        <f>OR((C683+D683)&lt;66,(E683+F683)&lt;66,G683&lt;33,(H683+I683)&lt;66,Y683,Z683,AA683,R683&lt;8.25)</f>
        <v/>
      </c>
      <c r="AC683">
        <f>IF(C683+D683&lt;66,0,IF((C683+D683)/2&gt;=80,5,IF((C683+D683)/2&gt;=70,4,IF((C683+D683)/2&gt;=60,3.5,IF((C683+D683)/2&gt;=50,3,IF((C683+D683)/2&gt;=40,2,IF((C683+D683)/2&gt;=33,1,0)))))))</f>
        <v/>
      </c>
      <c r="AD683">
        <f>IF(E683+F683&lt;66,0,IF((E683+F683)/2&gt;=80,5,IF((E683+F683)/2&gt;=70,4,IF((E683+F683)/2&gt;=60,3.5,IF((E683+F683)/2&gt;=50,3,IF((E683+F683)/2&gt;=40,2,IF((E683+F683)/2&gt;=33,1,0)))))))</f>
        <v/>
      </c>
      <c r="AE683">
        <f>IF(G683&lt;33,0,IF(G683&gt;=80,5,IF(G683&gt;=70,4,IF(G683&gt;=60,3.5,IF(G683&gt;=50,3,IF(G683&gt;=40,2,IF(G683&gt;=33,1,0)))))))</f>
        <v/>
      </c>
      <c r="AF683">
        <f>IF(H683+I683&lt;66,0,IF((H683+I683)/2&gt;=80,5,IF((H683+I683)/2&gt;=70,4,IF((H683+I683)/2&gt;=60,3.5,IF((H683+I683)/2&gt;=50,3,IF((H683+I683)/2&gt;=40,2,IF((H683+I683)/2&gt;=33,1,0)))))))</f>
        <v/>
      </c>
      <c r="AG683">
        <f>IF(Y683,0,IF((J683+K683+L683+M683)/2&gt;=80,5,IF((J683+K683+L683+M683)/2&gt;=70,4,IF((J683+K683+L683+M683)/2&gt;=60,3.5,IF((J683+K683+L683+M683)/2&gt;=50,3,IF((J683+K683+L683+M683)/2&gt;=40,2,IF((J683+K683+L683+M683)/2&gt;=33,1,0)))))))</f>
        <v/>
      </c>
      <c r="AH683">
        <f>IF(Z683,0,IF(N683+O683&gt;=80,5,IF(N683+O683&gt;=70,4,IF(N683+O683&gt;=60,3.5,IF(N683+O683&gt;=50,3,IF(N683+O683&gt;=40,2,IF(N683+O683&gt;=33,1,0)))))))</f>
        <v/>
      </c>
      <c r="AI683">
        <f>IF(AA683,0,IF(P683+Q683&gt;=80,5,IF(P683+Q683&gt;=70,4,IF(P683+Q683&gt;=60,3.5,IF(P683+Q683&gt;=50,3,IF(P683+Q683&gt;=40,2,IF(P683+Q683&gt;=33,1,0)))))))</f>
        <v/>
      </c>
      <c r="AJ683">
        <f>IF(R683&lt;8.25,0,IF(R683*2&gt;=80,5,IF(R683*2&gt;=70,4,IF(R683*2&gt;=60,3.5,IF(R683*2&gt;=50,3,IF(R683*2&gt;=40,2,IF(R683*2&gt;=33,1,0)))))))</f>
        <v/>
      </c>
      <c r="AK683">
        <f>IF(S683&lt;33,0,IF(S683&gt;=80,5,IF(S683&gt;=70,4,IF(S683&gt;=60,3.5,IF(S683&gt;=50,3,IF(S683&gt;=40,2,IF(S683&gt;=33,1,0)))))))</f>
        <v/>
      </c>
      <c r="AL683">
        <f>(AC683+AD683+AE683+AF683+AG683+AH683+AI683+AJ683)/8</f>
        <v/>
      </c>
      <c r="AM683">
        <f>IF(AK683&gt;=2,(AK683-2)/8,0)</f>
        <v/>
      </c>
    </row>
    <row r="684">
      <c r="T684">
        <f>SUM(C684:R684)</f>
        <v/>
      </c>
      <c r="U684" s="6">
        <f>ROUND(T684/11.5,2)</f>
        <v/>
      </c>
      <c r="V684" s="7">
        <f>IF(B684="","",IF(AB684,0,ROUND(AL684,2)))</f>
        <v/>
      </c>
      <c r="W684" s="7">
        <f>IF(B684="","",IF(AB684,0,MIN(5,ROUND(AL684+AM684,2))))</f>
        <v/>
      </c>
      <c r="X684" s="8">
        <f>IF(B684="","",IF(W684&gt;=5,"A+",IF(W684&gt;=4,"A",IF(W684&gt;=3.5,"A-",IF(W684&gt;=3,"B",IF(W684&gt;=2,"C",IF(W684&gt;=1,"D","F")))))))</f>
        <v/>
      </c>
      <c r="Y684">
        <f>NOT(OR(AND(J684&gt;=10,K684&gt;=23,L684&gt;=10,M684&gt;=23),AND(J684+L684&gt;=20,K684+M684&gt;=46)))</f>
        <v/>
      </c>
      <c r="Z684">
        <f>OR(N684&lt;10,O684&lt;23)</f>
        <v/>
      </c>
      <c r="AA684">
        <f>OR(P684&lt;10,Q684&lt;23)</f>
        <v/>
      </c>
      <c r="AB684">
        <f>OR((C684+D684)&lt;66,(E684+F684)&lt;66,G684&lt;33,(H684+I684)&lt;66,Y684,Z684,AA684,R684&lt;8.25)</f>
        <v/>
      </c>
      <c r="AC684">
        <f>IF(C684+D684&lt;66,0,IF((C684+D684)/2&gt;=80,5,IF((C684+D684)/2&gt;=70,4,IF((C684+D684)/2&gt;=60,3.5,IF((C684+D684)/2&gt;=50,3,IF((C684+D684)/2&gt;=40,2,IF((C684+D684)/2&gt;=33,1,0)))))))</f>
        <v/>
      </c>
      <c r="AD684">
        <f>IF(E684+F684&lt;66,0,IF((E684+F684)/2&gt;=80,5,IF((E684+F684)/2&gt;=70,4,IF((E684+F684)/2&gt;=60,3.5,IF((E684+F684)/2&gt;=50,3,IF((E684+F684)/2&gt;=40,2,IF((E684+F684)/2&gt;=33,1,0)))))))</f>
        <v/>
      </c>
      <c r="AE684">
        <f>IF(G684&lt;33,0,IF(G684&gt;=80,5,IF(G684&gt;=70,4,IF(G684&gt;=60,3.5,IF(G684&gt;=50,3,IF(G684&gt;=40,2,IF(G684&gt;=33,1,0)))))))</f>
        <v/>
      </c>
      <c r="AF684">
        <f>IF(H684+I684&lt;66,0,IF((H684+I684)/2&gt;=80,5,IF((H684+I684)/2&gt;=70,4,IF((H684+I684)/2&gt;=60,3.5,IF((H684+I684)/2&gt;=50,3,IF((H684+I684)/2&gt;=40,2,IF((H684+I684)/2&gt;=33,1,0)))))))</f>
        <v/>
      </c>
      <c r="AG684">
        <f>IF(Y684,0,IF((J684+K684+L684+M684)/2&gt;=80,5,IF((J684+K684+L684+M684)/2&gt;=70,4,IF((J684+K684+L684+M684)/2&gt;=60,3.5,IF((J684+K684+L684+M684)/2&gt;=50,3,IF((J684+K684+L684+M684)/2&gt;=40,2,IF((J684+K684+L684+M684)/2&gt;=33,1,0)))))))</f>
        <v/>
      </c>
      <c r="AH684">
        <f>IF(Z684,0,IF(N684+O684&gt;=80,5,IF(N684+O684&gt;=70,4,IF(N684+O684&gt;=60,3.5,IF(N684+O684&gt;=50,3,IF(N684+O684&gt;=40,2,IF(N684+O684&gt;=33,1,0)))))))</f>
        <v/>
      </c>
      <c r="AI684">
        <f>IF(AA684,0,IF(P684+Q684&gt;=80,5,IF(P684+Q684&gt;=70,4,IF(P684+Q684&gt;=60,3.5,IF(P684+Q684&gt;=50,3,IF(P684+Q684&gt;=40,2,IF(P684+Q684&gt;=33,1,0)))))))</f>
        <v/>
      </c>
      <c r="AJ684">
        <f>IF(R684&lt;8.25,0,IF(R684*2&gt;=80,5,IF(R684*2&gt;=70,4,IF(R684*2&gt;=60,3.5,IF(R684*2&gt;=50,3,IF(R684*2&gt;=40,2,IF(R684*2&gt;=33,1,0)))))))</f>
        <v/>
      </c>
      <c r="AK684">
        <f>IF(S684&lt;33,0,IF(S684&gt;=80,5,IF(S684&gt;=70,4,IF(S684&gt;=60,3.5,IF(S684&gt;=50,3,IF(S684&gt;=40,2,IF(S684&gt;=33,1,0)))))))</f>
        <v/>
      </c>
      <c r="AL684">
        <f>(AC684+AD684+AE684+AF684+AG684+AH684+AI684+AJ684)/8</f>
        <v/>
      </c>
      <c r="AM684">
        <f>IF(AK684&gt;=2,(AK684-2)/8,0)</f>
        <v/>
      </c>
    </row>
    <row r="685">
      <c r="T685">
        <f>SUM(C685:R685)</f>
        <v/>
      </c>
      <c r="U685" s="6">
        <f>ROUND(T685/11.5,2)</f>
        <v/>
      </c>
      <c r="V685" s="7">
        <f>IF(B685="","",IF(AB685,0,ROUND(AL685,2)))</f>
        <v/>
      </c>
      <c r="W685" s="7">
        <f>IF(B685="","",IF(AB685,0,MIN(5,ROUND(AL685+AM685,2))))</f>
        <v/>
      </c>
      <c r="X685" s="8">
        <f>IF(B685="","",IF(W685&gt;=5,"A+",IF(W685&gt;=4,"A",IF(W685&gt;=3.5,"A-",IF(W685&gt;=3,"B",IF(W685&gt;=2,"C",IF(W685&gt;=1,"D","F")))))))</f>
        <v/>
      </c>
      <c r="Y685">
        <f>NOT(OR(AND(J685&gt;=10,K685&gt;=23,L685&gt;=10,M685&gt;=23),AND(J685+L685&gt;=20,K685+M685&gt;=46)))</f>
        <v/>
      </c>
      <c r="Z685">
        <f>OR(N685&lt;10,O685&lt;23)</f>
        <v/>
      </c>
      <c r="AA685">
        <f>OR(P685&lt;10,Q685&lt;23)</f>
        <v/>
      </c>
      <c r="AB685">
        <f>OR((C685+D685)&lt;66,(E685+F685)&lt;66,G685&lt;33,(H685+I685)&lt;66,Y685,Z685,AA685,R685&lt;8.25)</f>
        <v/>
      </c>
      <c r="AC685">
        <f>IF(C685+D685&lt;66,0,IF((C685+D685)/2&gt;=80,5,IF((C685+D685)/2&gt;=70,4,IF((C685+D685)/2&gt;=60,3.5,IF((C685+D685)/2&gt;=50,3,IF((C685+D685)/2&gt;=40,2,IF((C685+D685)/2&gt;=33,1,0)))))))</f>
        <v/>
      </c>
      <c r="AD685">
        <f>IF(E685+F685&lt;66,0,IF((E685+F685)/2&gt;=80,5,IF((E685+F685)/2&gt;=70,4,IF((E685+F685)/2&gt;=60,3.5,IF((E685+F685)/2&gt;=50,3,IF((E685+F685)/2&gt;=40,2,IF((E685+F685)/2&gt;=33,1,0)))))))</f>
        <v/>
      </c>
      <c r="AE685">
        <f>IF(G685&lt;33,0,IF(G685&gt;=80,5,IF(G685&gt;=70,4,IF(G685&gt;=60,3.5,IF(G685&gt;=50,3,IF(G685&gt;=40,2,IF(G685&gt;=33,1,0)))))))</f>
        <v/>
      </c>
      <c r="AF685">
        <f>IF(H685+I685&lt;66,0,IF((H685+I685)/2&gt;=80,5,IF((H685+I685)/2&gt;=70,4,IF((H685+I685)/2&gt;=60,3.5,IF((H685+I685)/2&gt;=50,3,IF((H685+I685)/2&gt;=40,2,IF((H685+I685)/2&gt;=33,1,0)))))))</f>
        <v/>
      </c>
      <c r="AG685">
        <f>IF(Y685,0,IF((J685+K685+L685+M685)/2&gt;=80,5,IF((J685+K685+L685+M685)/2&gt;=70,4,IF((J685+K685+L685+M685)/2&gt;=60,3.5,IF((J685+K685+L685+M685)/2&gt;=50,3,IF((J685+K685+L685+M685)/2&gt;=40,2,IF((J685+K685+L685+M685)/2&gt;=33,1,0)))))))</f>
        <v/>
      </c>
      <c r="AH685">
        <f>IF(Z685,0,IF(N685+O685&gt;=80,5,IF(N685+O685&gt;=70,4,IF(N685+O685&gt;=60,3.5,IF(N685+O685&gt;=50,3,IF(N685+O685&gt;=40,2,IF(N685+O685&gt;=33,1,0)))))))</f>
        <v/>
      </c>
      <c r="AI685">
        <f>IF(AA685,0,IF(P685+Q685&gt;=80,5,IF(P685+Q685&gt;=70,4,IF(P685+Q685&gt;=60,3.5,IF(P685+Q685&gt;=50,3,IF(P685+Q685&gt;=40,2,IF(P685+Q685&gt;=33,1,0)))))))</f>
        <v/>
      </c>
      <c r="AJ685">
        <f>IF(R685&lt;8.25,0,IF(R685*2&gt;=80,5,IF(R685*2&gt;=70,4,IF(R685*2&gt;=60,3.5,IF(R685*2&gt;=50,3,IF(R685*2&gt;=40,2,IF(R685*2&gt;=33,1,0)))))))</f>
        <v/>
      </c>
      <c r="AK685">
        <f>IF(S685&lt;33,0,IF(S685&gt;=80,5,IF(S685&gt;=70,4,IF(S685&gt;=60,3.5,IF(S685&gt;=50,3,IF(S685&gt;=40,2,IF(S685&gt;=33,1,0)))))))</f>
        <v/>
      </c>
      <c r="AL685">
        <f>(AC685+AD685+AE685+AF685+AG685+AH685+AI685+AJ685)/8</f>
        <v/>
      </c>
      <c r="AM685">
        <f>IF(AK685&gt;=2,(AK685-2)/8,0)</f>
        <v/>
      </c>
    </row>
    <row r="686">
      <c r="T686">
        <f>SUM(C686:R686)</f>
        <v/>
      </c>
      <c r="U686" s="6">
        <f>ROUND(T686/11.5,2)</f>
        <v/>
      </c>
      <c r="V686" s="7">
        <f>IF(B686="","",IF(AB686,0,ROUND(AL686,2)))</f>
        <v/>
      </c>
      <c r="W686" s="7">
        <f>IF(B686="","",IF(AB686,0,MIN(5,ROUND(AL686+AM686,2))))</f>
        <v/>
      </c>
      <c r="X686" s="8">
        <f>IF(B686="","",IF(W686&gt;=5,"A+",IF(W686&gt;=4,"A",IF(W686&gt;=3.5,"A-",IF(W686&gt;=3,"B",IF(W686&gt;=2,"C",IF(W686&gt;=1,"D","F")))))))</f>
        <v/>
      </c>
      <c r="Y686">
        <f>NOT(OR(AND(J686&gt;=10,K686&gt;=23,L686&gt;=10,M686&gt;=23),AND(J686+L686&gt;=20,K686+M686&gt;=46)))</f>
        <v/>
      </c>
      <c r="Z686">
        <f>OR(N686&lt;10,O686&lt;23)</f>
        <v/>
      </c>
      <c r="AA686">
        <f>OR(P686&lt;10,Q686&lt;23)</f>
        <v/>
      </c>
      <c r="AB686">
        <f>OR((C686+D686)&lt;66,(E686+F686)&lt;66,G686&lt;33,(H686+I686)&lt;66,Y686,Z686,AA686,R686&lt;8.25)</f>
        <v/>
      </c>
      <c r="AC686">
        <f>IF(C686+D686&lt;66,0,IF((C686+D686)/2&gt;=80,5,IF((C686+D686)/2&gt;=70,4,IF((C686+D686)/2&gt;=60,3.5,IF((C686+D686)/2&gt;=50,3,IF((C686+D686)/2&gt;=40,2,IF((C686+D686)/2&gt;=33,1,0)))))))</f>
        <v/>
      </c>
      <c r="AD686">
        <f>IF(E686+F686&lt;66,0,IF((E686+F686)/2&gt;=80,5,IF((E686+F686)/2&gt;=70,4,IF((E686+F686)/2&gt;=60,3.5,IF((E686+F686)/2&gt;=50,3,IF((E686+F686)/2&gt;=40,2,IF((E686+F686)/2&gt;=33,1,0)))))))</f>
        <v/>
      </c>
      <c r="AE686">
        <f>IF(G686&lt;33,0,IF(G686&gt;=80,5,IF(G686&gt;=70,4,IF(G686&gt;=60,3.5,IF(G686&gt;=50,3,IF(G686&gt;=40,2,IF(G686&gt;=33,1,0)))))))</f>
        <v/>
      </c>
      <c r="AF686">
        <f>IF(H686+I686&lt;66,0,IF((H686+I686)/2&gt;=80,5,IF((H686+I686)/2&gt;=70,4,IF((H686+I686)/2&gt;=60,3.5,IF((H686+I686)/2&gt;=50,3,IF((H686+I686)/2&gt;=40,2,IF((H686+I686)/2&gt;=33,1,0)))))))</f>
        <v/>
      </c>
      <c r="AG686">
        <f>IF(Y686,0,IF((J686+K686+L686+M686)/2&gt;=80,5,IF((J686+K686+L686+M686)/2&gt;=70,4,IF((J686+K686+L686+M686)/2&gt;=60,3.5,IF((J686+K686+L686+M686)/2&gt;=50,3,IF((J686+K686+L686+M686)/2&gt;=40,2,IF((J686+K686+L686+M686)/2&gt;=33,1,0)))))))</f>
        <v/>
      </c>
      <c r="AH686">
        <f>IF(Z686,0,IF(N686+O686&gt;=80,5,IF(N686+O686&gt;=70,4,IF(N686+O686&gt;=60,3.5,IF(N686+O686&gt;=50,3,IF(N686+O686&gt;=40,2,IF(N686+O686&gt;=33,1,0)))))))</f>
        <v/>
      </c>
      <c r="AI686">
        <f>IF(AA686,0,IF(P686+Q686&gt;=80,5,IF(P686+Q686&gt;=70,4,IF(P686+Q686&gt;=60,3.5,IF(P686+Q686&gt;=50,3,IF(P686+Q686&gt;=40,2,IF(P686+Q686&gt;=33,1,0)))))))</f>
        <v/>
      </c>
      <c r="AJ686">
        <f>IF(R686&lt;8.25,0,IF(R686*2&gt;=80,5,IF(R686*2&gt;=70,4,IF(R686*2&gt;=60,3.5,IF(R686*2&gt;=50,3,IF(R686*2&gt;=40,2,IF(R686*2&gt;=33,1,0)))))))</f>
        <v/>
      </c>
      <c r="AK686">
        <f>IF(S686&lt;33,0,IF(S686&gt;=80,5,IF(S686&gt;=70,4,IF(S686&gt;=60,3.5,IF(S686&gt;=50,3,IF(S686&gt;=40,2,IF(S686&gt;=33,1,0)))))))</f>
        <v/>
      </c>
      <c r="AL686">
        <f>(AC686+AD686+AE686+AF686+AG686+AH686+AI686+AJ686)/8</f>
        <v/>
      </c>
      <c r="AM686">
        <f>IF(AK686&gt;=2,(AK686-2)/8,0)</f>
        <v/>
      </c>
    </row>
    <row r="687">
      <c r="T687">
        <f>SUM(C687:R687)</f>
        <v/>
      </c>
      <c r="U687" s="6">
        <f>ROUND(T687/11.5,2)</f>
        <v/>
      </c>
      <c r="V687" s="7">
        <f>IF(B687="","",IF(AB687,0,ROUND(AL687,2)))</f>
        <v/>
      </c>
      <c r="W687" s="7">
        <f>IF(B687="","",IF(AB687,0,MIN(5,ROUND(AL687+AM687,2))))</f>
        <v/>
      </c>
      <c r="X687" s="8">
        <f>IF(B687="","",IF(W687&gt;=5,"A+",IF(W687&gt;=4,"A",IF(W687&gt;=3.5,"A-",IF(W687&gt;=3,"B",IF(W687&gt;=2,"C",IF(W687&gt;=1,"D","F")))))))</f>
        <v/>
      </c>
      <c r="Y687">
        <f>NOT(OR(AND(J687&gt;=10,K687&gt;=23,L687&gt;=10,M687&gt;=23),AND(J687+L687&gt;=20,K687+M687&gt;=46)))</f>
        <v/>
      </c>
      <c r="Z687">
        <f>OR(N687&lt;10,O687&lt;23)</f>
        <v/>
      </c>
      <c r="AA687">
        <f>OR(P687&lt;10,Q687&lt;23)</f>
        <v/>
      </c>
      <c r="AB687">
        <f>OR((C687+D687)&lt;66,(E687+F687)&lt;66,G687&lt;33,(H687+I687)&lt;66,Y687,Z687,AA687,R687&lt;8.25)</f>
        <v/>
      </c>
      <c r="AC687">
        <f>IF(C687+D687&lt;66,0,IF((C687+D687)/2&gt;=80,5,IF((C687+D687)/2&gt;=70,4,IF((C687+D687)/2&gt;=60,3.5,IF((C687+D687)/2&gt;=50,3,IF((C687+D687)/2&gt;=40,2,IF((C687+D687)/2&gt;=33,1,0)))))))</f>
        <v/>
      </c>
      <c r="AD687">
        <f>IF(E687+F687&lt;66,0,IF((E687+F687)/2&gt;=80,5,IF((E687+F687)/2&gt;=70,4,IF((E687+F687)/2&gt;=60,3.5,IF((E687+F687)/2&gt;=50,3,IF((E687+F687)/2&gt;=40,2,IF((E687+F687)/2&gt;=33,1,0)))))))</f>
        <v/>
      </c>
      <c r="AE687">
        <f>IF(G687&lt;33,0,IF(G687&gt;=80,5,IF(G687&gt;=70,4,IF(G687&gt;=60,3.5,IF(G687&gt;=50,3,IF(G687&gt;=40,2,IF(G687&gt;=33,1,0)))))))</f>
        <v/>
      </c>
      <c r="AF687">
        <f>IF(H687+I687&lt;66,0,IF((H687+I687)/2&gt;=80,5,IF((H687+I687)/2&gt;=70,4,IF((H687+I687)/2&gt;=60,3.5,IF((H687+I687)/2&gt;=50,3,IF((H687+I687)/2&gt;=40,2,IF((H687+I687)/2&gt;=33,1,0)))))))</f>
        <v/>
      </c>
      <c r="AG687">
        <f>IF(Y687,0,IF((J687+K687+L687+M687)/2&gt;=80,5,IF((J687+K687+L687+M687)/2&gt;=70,4,IF((J687+K687+L687+M687)/2&gt;=60,3.5,IF((J687+K687+L687+M687)/2&gt;=50,3,IF((J687+K687+L687+M687)/2&gt;=40,2,IF((J687+K687+L687+M687)/2&gt;=33,1,0)))))))</f>
        <v/>
      </c>
      <c r="AH687">
        <f>IF(Z687,0,IF(N687+O687&gt;=80,5,IF(N687+O687&gt;=70,4,IF(N687+O687&gt;=60,3.5,IF(N687+O687&gt;=50,3,IF(N687+O687&gt;=40,2,IF(N687+O687&gt;=33,1,0)))))))</f>
        <v/>
      </c>
      <c r="AI687">
        <f>IF(AA687,0,IF(P687+Q687&gt;=80,5,IF(P687+Q687&gt;=70,4,IF(P687+Q687&gt;=60,3.5,IF(P687+Q687&gt;=50,3,IF(P687+Q687&gt;=40,2,IF(P687+Q687&gt;=33,1,0)))))))</f>
        <v/>
      </c>
      <c r="AJ687">
        <f>IF(R687&lt;8.25,0,IF(R687*2&gt;=80,5,IF(R687*2&gt;=70,4,IF(R687*2&gt;=60,3.5,IF(R687*2&gt;=50,3,IF(R687*2&gt;=40,2,IF(R687*2&gt;=33,1,0)))))))</f>
        <v/>
      </c>
      <c r="AK687">
        <f>IF(S687&lt;33,0,IF(S687&gt;=80,5,IF(S687&gt;=70,4,IF(S687&gt;=60,3.5,IF(S687&gt;=50,3,IF(S687&gt;=40,2,IF(S687&gt;=33,1,0)))))))</f>
        <v/>
      </c>
      <c r="AL687">
        <f>(AC687+AD687+AE687+AF687+AG687+AH687+AI687+AJ687)/8</f>
        <v/>
      </c>
      <c r="AM687">
        <f>IF(AK687&gt;=2,(AK687-2)/8,0)</f>
        <v/>
      </c>
    </row>
    <row r="688">
      <c r="T688">
        <f>SUM(C688:R688)</f>
        <v/>
      </c>
      <c r="U688" s="6">
        <f>ROUND(T688/11.5,2)</f>
        <v/>
      </c>
      <c r="V688" s="7">
        <f>IF(B688="","",IF(AB688,0,ROUND(AL688,2)))</f>
        <v/>
      </c>
      <c r="W688" s="7">
        <f>IF(B688="","",IF(AB688,0,MIN(5,ROUND(AL688+AM688,2))))</f>
        <v/>
      </c>
      <c r="X688" s="8">
        <f>IF(B688="","",IF(W688&gt;=5,"A+",IF(W688&gt;=4,"A",IF(W688&gt;=3.5,"A-",IF(W688&gt;=3,"B",IF(W688&gt;=2,"C",IF(W688&gt;=1,"D","F")))))))</f>
        <v/>
      </c>
      <c r="Y688">
        <f>NOT(OR(AND(J688&gt;=10,K688&gt;=23,L688&gt;=10,M688&gt;=23),AND(J688+L688&gt;=20,K688+M688&gt;=46)))</f>
        <v/>
      </c>
      <c r="Z688">
        <f>OR(N688&lt;10,O688&lt;23)</f>
        <v/>
      </c>
      <c r="AA688">
        <f>OR(P688&lt;10,Q688&lt;23)</f>
        <v/>
      </c>
      <c r="AB688">
        <f>OR((C688+D688)&lt;66,(E688+F688)&lt;66,G688&lt;33,(H688+I688)&lt;66,Y688,Z688,AA688,R688&lt;8.25)</f>
        <v/>
      </c>
      <c r="AC688">
        <f>IF(C688+D688&lt;66,0,IF((C688+D688)/2&gt;=80,5,IF((C688+D688)/2&gt;=70,4,IF((C688+D688)/2&gt;=60,3.5,IF((C688+D688)/2&gt;=50,3,IF((C688+D688)/2&gt;=40,2,IF((C688+D688)/2&gt;=33,1,0)))))))</f>
        <v/>
      </c>
      <c r="AD688">
        <f>IF(E688+F688&lt;66,0,IF((E688+F688)/2&gt;=80,5,IF((E688+F688)/2&gt;=70,4,IF((E688+F688)/2&gt;=60,3.5,IF((E688+F688)/2&gt;=50,3,IF((E688+F688)/2&gt;=40,2,IF((E688+F688)/2&gt;=33,1,0)))))))</f>
        <v/>
      </c>
      <c r="AE688">
        <f>IF(G688&lt;33,0,IF(G688&gt;=80,5,IF(G688&gt;=70,4,IF(G688&gt;=60,3.5,IF(G688&gt;=50,3,IF(G688&gt;=40,2,IF(G688&gt;=33,1,0)))))))</f>
        <v/>
      </c>
      <c r="AF688">
        <f>IF(H688+I688&lt;66,0,IF((H688+I688)/2&gt;=80,5,IF((H688+I688)/2&gt;=70,4,IF((H688+I688)/2&gt;=60,3.5,IF((H688+I688)/2&gt;=50,3,IF((H688+I688)/2&gt;=40,2,IF((H688+I688)/2&gt;=33,1,0)))))))</f>
        <v/>
      </c>
      <c r="AG688">
        <f>IF(Y688,0,IF((J688+K688+L688+M688)/2&gt;=80,5,IF((J688+K688+L688+M688)/2&gt;=70,4,IF((J688+K688+L688+M688)/2&gt;=60,3.5,IF((J688+K688+L688+M688)/2&gt;=50,3,IF((J688+K688+L688+M688)/2&gt;=40,2,IF((J688+K688+L688+M688)/2&gt;=33,1,0)))))))</f>
        <v/>
      </c>
      <c r="AH688">
        <f>IF(Z688,0,IF(N688+O688&gt;=80,5,IF(N688+O688&gt;=70,4,IF(N688+O688&gt;=60,3.5,IF(N688+O688&gt;=50,3,IF(N688+O688&gt;=40,2,IF(N688+O688&gt;=33,1,0)))))))</f>
        <v/>
      </c>
      <c r="AI688">
        <f>IF(AA688,0,IF(P688+Q688&gt;=80,5,IF(P688+Q688&gt;=70,4,IF(P688+Q688&gt;=60,3.5,IF(P688+Q688&gt;=50,3,IF(P688+Q688&gt;=40,2,IF(P688+Q688&gt;=33,1,0)))))))</f>
        <v/>
      </c>
      <c r="AJ688">
        <f>IF(R688&lt;8.25,0,IF(R688*2&gt;=80,5,IF(R688*2&gt;=70,4,IF(R688*2&gt;=60,3.5,IF(R688*2&gt;=50,3,IF(R688*2&gt;=40,2,IF(R688*2&gt;=33,1,0)))))))</f>
        <v/>
      </c>
      <c r="AK688">
        <f>IF(S688&lt;33,0,IF(S688&gt;=80,5,IF(S688&gt;=70,4,IF(S688&gt;=60,3.5,IF(S688&gt;=50,3,IF(S688&gt;=40,2,IF(S688&gt;=33,1,0)))))))</f>
        <v/>
      </c>
      <c r="AL688">
        <f>(AC688+AD688+AE688+AF688+AG688+AH688+AI688+AJ688)/8</f>
        <v/>
      </c>
      <c r="AM688">
        <f>IF(AK688&gt;=2,(AK688-2)/8,0)</f>
        <v/>
      </c>
    </row>
    <row r="689">
      <c r="T689">
        <f>SUM(C689:R689)</f>
        <v/>
      </c>
      <c r="U689" s="6">
        <f>ROUND(T689/11.5,2)</f>
        <v/>
      </c>
      <c r="V689" s="7">
        <f>IF(B689="","",IF(AB689,0,ROUND(AL689,2)))</f>
        <v/>
      </c>
      <c r="W689" s="7">
        <f>IF(B689="","",IF(AB689,0,MIN(5,ROUND(AL689+AM689,2))))</f>
        <v/>
      </c>
      <c r="X689" s="8">
        <f>IF(B689="","",IF(W689&gt;=5,"A+",IF(W689&gt;=4,"A",IF(W689&gt;=3.5,"A-",IF(W689&gt;=3,"B",IF(W689&gt;=2,"C",IF(W689&gt;=1,"D","F")))))))</f>
        <v/>
      </c>
      <c r="Y689">
        <f>NOT(OR(AND(J689&gt;=10,K689&gt;=23,L689&gt;=10,M689&gt;=23),AND(J689+L689&gt;=20,K689+M689&gt;=46)))</f>
        <v/>
      </c>
      <c r="Z689">
        <f>OR(N689&lt;10,O689&lt;23)</f>
        <v/>
      </c>
      <c r="AA689">
        <f>OR(P689&lt;10,Q689&lt;23)</f>
        <v/>
      </c>
      <c r="AB689">
        <f>OR((C689+D689)&lt;66,(E689+F689)&lt;66,G689&lt;33,(H689+I689)&lt;66,Y689,Z689,AA689,R689&lt;8.25)</f>
        <v/>
      </c>
      <c r="AC689">
        <f>IF(C689+D689&lt;66,0,IF((C689+D689)/2&gt;=80,5,IF((C689+D689)/2&gt;=70,4,IF((C689+D689)/2&gt;=60,3.5,IF((C689+D689)/2&gt;=50,3,IF((C689+D689)/2&gt;=40,2,IF((C689+D689)/2&gt;=33,1,0)))))))</f>
        <v/>
      </c>
      <c r="AD689">
        <f>IF(E689+F689&lt;66,0,IF((E689+F689)/2&gt;=80,5,IF((E689+F689)/2&gt;=70,4,IF((E689+F689)/2&gt;=60,3.5,IF((E689+F689)/2&gt;=50,3,IF((E689+F689)/2&gt;=40,2,IF((E689+F689)/2&gt;=33,1,0)))))))</f>
        <v/>
      </c>
      <c r="AE689">
        <f>IF(G689&lt;33,0,IF(G689&gt;=80,5,IF(G689&gt;=70,4,IF(G689&gt;=60,3.5,IF(G689&gt;=50,3,IF(G689&gt;=40,2,IF(G689&gt;=33,1,0)))))))</f>
        <v/>
      </c>
      <c r="AF689">
        <f>IF(H689+I689&lt;66,0,IF((H689+I689)/2&gt;=80,5,IF((H689+I689)/2&gt;=70,4,IF((H689+I689)/2&gt;=60,3.5,IF((H689+I689)/2&gt;=50,3,IF((H689+I689)/2&gt;=40,2,IF((H689+I689)/2&gt;=33,1,0)))))))</f>
        <v/>
      </c>
      <c r="AG689">
        <f>IF(Y689,0,IF((J689+K689+L689+M689)/2&gt;=80,5,IF((J689+K689+L689+M689)/2&gt;=70,4,IF((J689+K689+L689+M689)/2&gt;=60,3.5,IF((J689+K689+L689+M689)/2&gt;=50,3,IF((J689+K689+L689+M689)/2&gt;=40,2,IF((J689+K689+L689+M689)/2&gt;=33,1,0)))))))</f>
        <v/>
      </c>
      <c r="AH689">
        <f>IF(Z689,0,IF(N689+O689&gt;=80,5,IF(N689+O689&gt;=70,4,IF(N689+O689&gt;=60,3.5,IF(N689+O689&gt;=50,3,IF(N689+O689&gt;=40,2,IF(N689+O689&gt;=33,1,0)))))))</f>
        <v/>
      </c>
      <c r="AI689">
        <f>IF(AA689,0,IF(P689+Q689&gt;=80,5,IF(P689+Q689&gt;=70,4,IF(P689+Q689&gt;=60,3.5,IF(P689+Q689&gt;=50,3,IF(P689+Q689&gt;=40,2,IF(P689+Q689&gt;=33,1,0)))))))</f>
        <v/>
      </c>
      <c r="AJ689">
        <f>IF(R689&lt;8.25,0,IF(R689*2&gt;=80,5,IF(R689*2&gt;=70,4,IF(R689*2&gt;=60,3.5,IF(R689*2&gt;=50,3,IF(R689*2&gt;=40,2,IF(R689*2&gt;=33,1,0)))))))</f>
        <v/>
      </c>
      <c r="AK689">
        <f>IF(S689&lt;33,0,IF(S689&gt;=80,5,IF(S689&gt;=70,4,IF(S689&gt;=60,3.5,IF(S689&gt;=50,3,IF(S689&gt;=40,2,IF(S689&gt;=33,1,0)))))))</f>
        <v/>
      </c>
      <c r="AL689">
        <f>(AC689+AD689+AE689+AF689+AG689+AH689+AI689+AJ689)/8</f>
        <v/>
      </c>
      <c r="AM689">
        <f>IF(AK689&gt;=2,(AK689-2)/8,0)</f>
        <v/>
      </c>
    </row>
    <row r="690">
      <c r="T690">
        <f>SUM(C690:R690)</f>
        <v/>
      </c>
      <c r="U690" s="6">
        <f>ROUND(T690/11.5,2)</f>
        <v/>
      </c>
      <c r="V690" s="7">
        <f>IF(B690="","",IF(AB690,0,ROUND(AL690,2)))</f>
        <v/>
      </c>
      <c r="W690" s="7">
        <f>IF(B690="","",IF(AB690,0,MIN(5,ROUND(AL690+AM690,2))))</f>
        <v/>
      </c>
      <c r="X690" s="8">
        <f>IF(B690="","",IF(W690&gt;=5,"A+",IF(W690&gt;=4,"A",IF(W690&gt;=3.5,"A-",IF(W690&gt;=3,"B",IF(W690&gt;=2,"C",IF(W690&gt;=1,"D","F")))))))</f>
        <v/>
      </c>
      <c r="Y690">
        <f>NOT(OR(AND(J690&gt;=10,K690&gt;=23,L690&gt;=10,M690&gt;=23),AND(J690+L690&gt;=20,K690+M690&gt;=46)))</f>
        <v/>
      </c>
      <c r="Z690">
        <f>OR(N690&lt;10,O690&lt;23)</f>
        <v/>
      </c>
      <c r="AA690">
        <f>OR(P690&lt;10,Q690&lt;23)</f>
        <v/>
      </c>
      <c r="AB690">
        <f>OR((C690+D690)&lt;66,(E690+F690)&lt;66,G690&lt;33,(H690+I690)&lt;66,Y690,Z690,AA690,R690&lt;8.25)</f>
        <v/>
      </c>
      <c r="AC690">
        <f>IF(C690+D690&lt;66,0,IF((C690+D690)/2&gt;=80,5,IF((C690+D690)/2&gt;=70,4,IF((C690+D690)/2&gt;=60,3.5,IF((C690+D690)/2&gt;=50,3,IF((C690+D690)/2&gt;=40,2,IF((C690+D690)/2&gt;=33,1,0)))))))</f>
        <v/>
      </c>
      <c r="AD690">
        <f>IF(E690+F690&lt;66,0,IF((E690+F690)/2&gt;=80,5,IF((E690+F690)/2&gt;=70,4,IF((E690+F690)/2&gt;=60,3.5,IF((E690+F690)/2&gt;=50,3,IF((E690+F690)/2&gt;=40,2,IF((E690+F690)/2&gt;=33,1,0)))))))</f>
        <v/>
      </c>
      <c r="AE690">
        <f>IF(G690&lt;33,0,IF(G690&gt;=80,5,IF(G690&gt;=70,4,IF(G690&gt;=60,3.5,IF(G690&gt;=50,3,IF(G690&gt;=40,2,IF(G690&gt;=33,1,0)))))))</f>
        <v/>
      </c>
      <c r="AF690">
        <f>IF(H690+I690&lt;66,0,IF((H690+I690)/2&gt;=80,5,IF((H690+I690)/2&gt;=70,4,IF((H690+I690)/2&gt;=60,3.5,IF((H690+I690)/2&gt;=50,3,IF((H690+I690)/2&gt;=40,2,IF((H690+I690)/2&gt;=33,1,0)))))))</f>
        <v/>
      </c>
      <c r="AG690">
        <f>IF(Y690,0,IF((J690+K690+L690+M690)/2&gt;=80,5,IF((J690+K690+L690+M690)/2&gt;=70,4,IF((J690+K690+L690+M690)/2&gt;=60,3.5,IF((J690+K690+L690+M690)/2&gt;=50,3,IF((J690+K690+L690+M690)/2&gt;=40,2,IF((J690+K690+L690+M690)/2&gt;=33,1,0)))))))</f>
        <v/>
      </c>
      <c r="AH690">
        <f>IF(Z690,0,IF(N690+O690&gt;=80,5,IF(N690+O690&gt;=70,4,IF(N690+O690&gt;=60,3.5,IF(N690+O690&gt;=50,3,IF(N690+O690&gt;=40,2,IF(N690+O690&gt;=33,1,0)))))))</f>
        <v/>
      </c>
      <c r="AI690">
        <f>IF(AA690,0,IF(P690+Q690&gt;=80,5,IF(P690+Q690&gt;=70,4,IF(P690+Q690&gt;=60,3.5,IF(P690+Q690&gt;=50,3,IF(P690+Q690&gt;=40,2,IF(P690+Q690&gt;=33,1,0)))))))</f>
        <v/>
      </c>
      <c r="AJ690">
        <f>IF(R690&lt;8.25,0,IF(R690*2&gt;=80,5,IF(R690*2&gt;=70,4,IF(R690*2&gt;=60,3.5,IF(R690*2&gt;=50,3,IF(R690*2&gt;=40,2,IF(R690*2&gt;=33,1,0)))))))</f>
        <v/>
      </c>
      <c r="AK690">
        <f>IF(S690&lt;33,0,IF(S690&gt;=80,5,IF(S690&gt;=70,4,IF(S690&gt;=60,3.5,IF(S690&gt;=50,3,IF(S690&gt;=40,2,IF(S690&gt;=33,1,0)))))))</f>
        <v/>
      </c>
      <c r="AL690">
        <f>(AC690+AD690+AE690+AF690+AG690+AH690+AI690+AJ690)/8</f>
        <v/>
      </c>
      <c r="AM690">
        <f>IF(AK690&gt;=2,(AK690-2)/8,0)</f>
        <v/>
      </c>
    </row>
    <row r="691">
      <c r="T691">
        <f>SUM(C691:R691)</f>
        <v/>
      </c>
      <c r="U691" s="6">
        <f>ROUND(T691/11.5,2)</f>
        <v/>
      </c>
      <c r="V691" s="7">
        <f>IF(B691="","",IF(AB691,0,ROUND(AL691,2)))</f>
        <v/>
      </c>
      <c r="W691" s="7">
        <f>IF(B691="","",IF(AB691,0,MIN(5,ROUND(AL691+AM691,2))))</f>
        <v/>
      </c>
      <c r="X691" s="8">
        <f>IF(B691="","",IF(W691&gt;=5,"A+",IF(W691&gt;=4,"A",IF(W691&gt;=3.5,"A-",IF(W691&gt;=3,"B",IF(W691&gt;=2,"C",IF(W691&gt;=1,"D","F")))))))</f>
        <v/>
      </c>
      <c r="Y691">
        <f>NOT(OR(AND(J691&gt;=10,K691&gt;=23,L691&gt;=10,M691&gt;=23),AND(J691+L691&gt;=20,K691+M691&gt;=46)))</f>
        <v/>
      </c>
      <c r="Z691">
        <f>OR(N691&lt;10,O691&lt;23)</f>
        <v/>
      </c>
      <c r="AA691">
        <f>OR(P691&lt;10,Q691&lt;23)</f>
        <v/>
      </c>
      <c r="AB691">
        <f>OR((C691+D691)&lt;66,(E691+F691)&lt;66,G691&lt;33,(H691+I691)&lt;66,Y691,Z691,AA691,R691&lt;8.25)</f>
        <v/>
      </c>
      <c r="AC691">
        <f>IF(C691+D691&lt;66,0,IF((C691+D691)/2&gt;=80,5,IF((C691+D691)/2&gt;=70,4,IF((C691+D691)/2&gt;=60,3.5,IF((C691+D691)/2&gt;=50,3,IF((C691+D691)/2&gt;=40,2,IF((C691+D691)/2&gt;=33,1,0)))))))</f>
        <v/>
      </c>
      <c r="AD691">
        <f>IF(E691+F691&lt;66,0,IF((E691+F691)/2&gt;=80,5,IF((E691+F691)/2&gt;=70,4,IF((E691+F691)/2&gt;=60,3.5,IF((E691+F691)/2&gt;=50,3,IF((E691+F691)/2&gt;=40,2,IF((E691+F691)/2&gt;=33,1,0)))))))</f>
        <v/>
      </c>
      <c r="AE691">
        <f>IF(G691&lt;33,0,IF(G691&gt;=80,5,IF(G691&gt;=70,4,IF(G691&gt;=60,3.5,IF(G691&gt;=50,3,IF(G691&gt;=40,2,IF(G691&gt;=33,1,0)))))))</f>
        <v/>
      </c>
      <c r="AF691">
        <f>IF(H691+I691&lt;66,0,IF((H691+I691)/2&gt;=80,5,IF((H691+I691)/2&gt;=70,4,IF((H691+I691)/2&gt;=60,3.5,IF((H691+I691)/2&gt;=50,3,IF((H691+I691)/2&gt;=40,2,IF((H691+I691)/2&gt;=33,1,0)))))))</f>
        <v/>
      </c>
      <c r="AG691">
        <f>IF(Y691,0,IF((J691+K691+L691+M691)/2&gt;=80,5,IF((J691+K691+L691+M691)/2&gt;=70,4,IF((J691+K691+L691+M691)/2&gt;=60,3.5,IF((J691+K691+L691+M691)/2&gt;=50,3,IF((J691+K691+L691+M691)/2&gt;=40,2,IF((J691+K691+L691+M691)/2&gt;=33,1,0)))))))</f>
        <v/>
      </c>
      <c r="AH691">
        <f>IF(Z691,0,IF(N691+O691&gt;=80,5,IF(N691+O691&gt;=70,4,IF(N691+O691&gt;=60,3.5,IF(N691+O691&gt;=50,3,IF(N691+O691&gt;=40,2,IF(N691+O691&gt;=33,1,0)))))))</f>
        <v/>
      </c>
      <c r="AI691">
        <f>IF(AA691,0,IF(P691+Q691&gt;=80,5,IF(P691+Q691&gt;=70,4,IF(P691+Q691&gt;=60,3.5,IF(P691+Q691&gt;=50,3,IF(P691+Q691&gt;=40,2,IF(P691+Q691&gt;=33,1,0)))))))</f>
        <v/>
      </c>
      <c r="AJ691">
        <f>IF(R691&lt;8.25,0,IF(R691*2&gt;=80,5,IF(R691*2&gt;=70,4,IF(R691*2&gt;=60,3.5,IF(R691*2&gt;=50,3,IF(R691*2&gt;=40,2,IF(R691*2&gt;=33,1,0)))))))</f>
        <v/>
      </c>
      <c r="AK691">
        <f>IF(S691&lt;33,0,IF(S691&gt;=80,5,IF(S691&gt;=70,4,IF(S691&gt;=60,3.5,IF(S691&gt;=50,3,IF(S691&gt;=40,2,IF(S691&gt;=33,1,0)))))))</f>
        <v/>
      </c>
      <c r="AL691">
        <f>(AC691+AD691+AE691+AF691+AG691+AH691+AI691+AJ691)/8</f>
        <v/>
      </c>
      <c r="AM691">
        <f>IF(AK691&gt;=2,(AK691-2)/8,0)</f>
        <v/>
      </c>
    </row>
    <row r="692">
      <c r="T692">
        <f>SUM(C692:R692)</f>
        <v/>
      </c>
      <c r="U692" s="6">
        <f>ROUND(T692/11.5,2)</f>
        <v/>
      </c>
      <c r="V692" s="7">
        <f>IF(B692="","",IF(AB692,0,ROUND(AL692,2)))</f>
        <v/>
      </c>
      <c r="W692" s="7">
        <f>IF(B692="","",IF(AB692,0,MIN(5,ROUND(AL692+AM692,2))))</f>
        <v/>
      </c>
      <c r="X692" s="8">
        <f>IF(B692="","",IF(W692&gt;=5,"A+",IF(W692&gt;=4,"A",IF(W692&gt;=3.5,"A-",IF(W692&gt;=3,"B",IF(W692&gt;=2,"C",IF(W692&gt;=1,"D","F")))))))</f>
        <v/>
      </c>
      <c r="Y692">
        <f>NOT(OR(AND(J692&gt;=10,K692&gt;=23,L692&gt;=10,M692&gt;=23),AND(J692+L692&gt;=20,K692+M692&gt;=46)))</f>
        <v/>
      </c>
      <c r="Z692">
        <f>OR(N692&lt;10,O692&lt;23)</f>
        <v/>
      </c>
      <c r="AA692">
        <f>OR(P692&lt;10,Q692&lt;23)</f>
        <v/>
      </c>
      <c r="AB692">
        <f>OR((C692+D692)&lt;66,(E692+F692)&lt;66,G692&lt;33,(H692+I692)&lt;66,Y692,Z692,AA692,R692&lt;8.25)</f>
        <v/>
      </c>
      <c r="AC692">
        <f>IF(C692+D692&lt;66,0,IF((C692+D692)/2&gt;=80,5,IF((C692+D692)/2&gt;=70,4,IF((C692+D692)/2&gt;=60,3.5,IF((C692+D692)/2&gt;=50,3,IF((C692+D692)/2&gt;=40,2,IF((C692+D692)/2&gt;=33,1,0)))))))</f>
        <v/>
      </c>
      <c r="AD692">
        <f>IF(E692+F692&lt;66,0,IF((E692+F692)/2&gt;=80,5,IF((E692+F692)/2&gt;=70,4,IF((E692+F692)/2&gt;=60,3.5,IF((E692+F692)/2&gt;=50,3,IF((E692+F692)/2&gt;=40,2,IF((E692+F692)/2&gt;=33,1,0)))))))</f>
        <v/>
      </c>
      <c r="AE692">
        <f>IF(G692&lt;33,0,IF(G692&gt;=80,5,IF(G692&gt;=70,4,IF(G692&gt;=60,3.5,IF(G692&gt;=50,3,IF(G692&gt;=40,2,IF(G692&gt;=33,1,0)))))))</f>
        <v/>
      </c>
      <c r="AF692">
        <f>IF(H692+I692&lt;66,0,IF((H692+I692)/2&gt;=80,5,IF((H692+I692)/2&gt;=70,4,IF((H692+I692)/2&gt;=60,3.5,IF((H692+I692)/2&gt;=50,3,IF((H692+I692)/2&gt;=40,2,IF((H692+I692)/2&gt;=33,1,0)))))))</f>
        <v/>
      </c>
      <c r="AG692">
        <f>IF(Y692,0,IF((J692+K692+L692+M692)/2&gt;=80,5,IF((J692+K692+L692+M692)/2&gt;=70,4,IF((J692+K692+L692+M692)/2&gt;=60,3.5,IF((J692+K692+L692+M692)/2&gt;=50,3,IF((J692+K692+L692+M692)/2&gt;=40,2,IF((J692+K692+L692+M692)/2&gt;=33,1,0)))))))</f>
        <v/>
      </c>
      <c r="AH692">
        <f>IF(Z692,0,IF(N692+O692&gt;=80,5,IF(N692+O692&gt;=70,4,IF(N692+O692&gt;=60,3.5,IF(N692+O692&gt;=50,3,IF(N692+O692&gt;=40,2,IF(N692+O692&gt;=33,1,0)))))))</f>
        <v/>
      </c>
      <c r="AI692">
        <f>IF(AA692,0,IF(P692+Q692&gt;=80,5,IF(P692+Q692&gt;=70,4,IF(P692+Q692&gt;=60,3.5,IF(P692+Q692&gt;=50,3,IF(P692+Q692&gt;=40,2,IF(P692+Q692&gt;=33,1,0)))))))</f>
        <v/>
      </c>
      <c r="AJ692">
        <f>IF(R692&lt;8.25,0,IF(R692*2&gt;=80,5,IF(R692*2&gt;=70,4,IF(R692*2&gt;=60,3.5,IF(R692*2&gt;=50,3,IF(R692*2&gt;=40,2,IF(R692*2&gt;=33,1,0)))))))</f>
        <v/>
      </c>
      <c r="AK692">
        <f>IF(S692&lt;33,0,IF(S692&gt;=80,5,IF(S692&gt;=70,4,IF(S692&gt;=60,3.5,IF(S692&gt;=50,3,IF(S692&gt;=40,2,IF(S692&gt;=33,1,0)))))))</f>
        <v/>
      </c>
      <c r="AL692">
        <f>(AC692+AD692+AE692+AF692+AG692+AH692+AI692+AJ692)/8</f>
        <v/>
      </c>
      <c r="AM692">
        <f>IF(AK692&gt;=2,(AK692-2)/8,0)</f>
        <v/>
      </c>
    </row>
    <row r="693">
      <c r="T693">
        <f>SUM(C693:R693)</f>
        <v/>
      </c>
      <c r="U693" s="6">
        <f>ROUND(T693/11.5,2)</f>
        <v/>
      </c>
      <c r="V693" s="7">
        <f>IF(B693="","",IF(AB693,0,ROUND(AL693,2)))</f>
        <v/>
      </c>
      <c r="W693" s="7">
        <f>IF(B693="","",IF(AB693,0,MIN(5,ROUND(AL693+AM693,2))))</f>
        <v/>
      </c>
      <c r="X693" s="8">
        <f>IF(B693="","",IF(W693&gt;=5,"A+",IF(W693&gt;=4,"A",IF(W693&gt;=3.5,"A-",IF(W693&gt;=3,"B",IF(W693&gt;=2,"C",IF(W693&gt;=1,"D","F")))))))</f>
        <v/>
      </c>
      <c r="Y693">
        <f>NOT(OR(AND(J693&gt;=10,K693&gt;=23,L693&gt;=10,M693&gt;=23),AND(J693+L693&gt;=20,K693+M693&gt;=46)))</f>
        <v/>
      </c>
      <c r="Z693">
        <f>OR(N693&lt;10,O693&lt;23)</f>
        <v/>
      </c>
      <c r="AA693">
        <f>OR(P693&lt;10,Q693&lt;23)</f>
        <v/>
      </c>
      <c r="AB693">
        <f>OR((C693+D693)&lt;66,(E693+F693)&lt;66,G693&lt;33,(H693+I693)&lt;66,Y693,Z693,AA693,R693&lt;8.25)</f>
        <v/>
      </c>
      <c r="AC693">
        <f>IF(C693+D693&lt;66,0,IF((C693+D693)/2&gt;=80,5,IF((C693+D693)/2&gt;=70,4,IF((C693+D693)/2&gt;=60,3.5,IF((C693+D693)/2&gt;=50,3,IF((C693+D693)/2&gt;=40,2,IF((C693+D693)/2&gt;=33,1,0)))))))</f>
        <v/>
      </c>
      <c r="AD693">
        <f>IF(E693+F693&lt;66,0,IF((E693+F693)/2&gt;=80,5,IF((E693+F693)/2&gt;=70,4,IF((E693+F693)/2&gt;=60,3.5,IF((E693+F693)/2&gt;=50,3,IF((E693+F693)/2&gt;=40,2,IF((E693+F693)/2&gt;=33,1,0)))))))</f>
        <v/>
      </c>
      <c r="AE693">
        <f>IF(G693&lt;33,0,IF(G693&gt;=80,5,IF(G693&gt;=70,4,IF(G693&gt;=60,3.5,IF(G693&gt;=50,3,IF(G693&gt;=40,2,IF(G693&gt;=33,1,0)))))))</f>
        <v/>
      </c>
      <c r="AF693">
        <f>IF(H693+I693&lt;66,0,IF((H693+I693)/2&gt;=80,5,IF((H693+I693)/2&gt;=70,4,IF((H693+I693)/2&gt;=60,3.5,IF((H693+I693)/2&gt;=50,3,IF((H693+I693)/2&gt;=40,2,IF((H693+I693)/2&gt;=33,1,0)))))))</f>
        <v/>
      </c>
      <c r="AG693">
        <f>IF(Y693,0,IF((J693+K693+L693+M693)/2&gt;=80,5,IF((J693+K693+L693+M693)/2&gt;=70,4,IF((J693+K693+L693+M693)/2&gt;=60,3.5,IF((J693+K693+L693+M693)/2&gt;=50,3,IF((J693+K693+L693+M693)/2&gt;=40,2,IF((J693+K693+L693+M693)/2&gt;=33,1,0)))))))</f>
        <v/>
      </c>
      <c r="AH693">
        <f>IF(Z693,0,IF(N693+O693&gt;=80,5,IF(N693+O693&gt;=70,4,IF(N693+O693&gt;=60,3.5,IF(N693+O693&gt;=50,3,IF(N693+O693&gt;=40,2,IF(N693+O693&gt;=33,1,0)))))))</f>
        <v/>
      </c>
      <c r="AI693">
        <f>IF(AA693,0,IF(P693+Q693&gt;=80,5,IF(P693+Q693&gt;=70,4,IF(P693+Q693&gt;=60,3.5,IF(P693+Q693&gt;=50,3,IF(P693+Q693&gt;=40,2,IF(P693+Q693&gt;=33,1,0)))))))</f>
        <v/>
      </c>
      <c r="AJ693">
        <f>IF(R693&lt;8.25,0,IF(R693*2&gt;=80,5,IF(R693*2&gt;=70,4,IF(R693*2&gt;=60,3.5,IF(R693*2&gt;=50,3,IF(R693*2&gt;=40,2,IF(R693*2&gt;=33,1,0)))))))</f>
        <v/>
      </c>
      <c r="AK693">
        <f>IF(S693&lt;33,0,IF(S693&gt;=80,5,IF(S693&gt;=70,4,IF(S693&gt;=60,3.5,IF(S693&gt;=50,3,IF(S693&gt;=40,2,IF(S693&gt;=33,1,0)))))))</f>
        <v/>
      </c>
      <c r="AL693">
        <f>(AC693+AD693+AE693+AF693+AG693+AH693+AI693+AJ693)/8</f>
        <v/>
      </c>
      <c r="AM693">
        <f>IF(AK693&gt;=2,(AK693-2)/8,0)</f>
        <v/>
      </c>
    </row>
    <row r="694">
      <c r="T694">
        <f>SUM(C694:R694)</f>
        <v/>
      </c>
      <c r="U694" s="6">
        <f>ROUND(T694/11.5,2)</f>
        <v/>
      </c>
      <c r="V694" s="7">
        <f>IF(B694="","",IF(AB694,0,ROUND(AL694,2)))</f>
        <v/>
      </c>
      <c r="W694" s="7">
        <f>IF(B694="","",IF(AB694,0,MIN(5,ROUND(AL694+AM694,2))))</f>
        <v/>
      </c>
      <c r="X694" s="8">
        <f>IF(B694="","",IF(W694&gt;=5,"A+",IF(W694&gt;=4,"A",IF(W694&gt;=3.5,"A-",IF(W694&gt;=3,"B",IF(W694&gt;=2,"C",IF(W694&gt;=1,"D","F")))))))</f>
        <v/>
      </c>
      <c r="Y694">
        <f>NOT(OR(AND(J694&gt;=10,K694&gt;=23,L694&gt;=10,M694&gt;=23),AND(J694+L694&gt;=20,K694+M694&gt;=46)))</f>
        <v/>
      </c>
      <c r="Z694">
        <f>OR(N694&lt;10,O694&lt;23)</f>
        <v/>
      </c>
      <c r="AA694">
        <f>OR(P694&lt;10,Q694&lt;23)</f>
        <v/>
      </c>
      <c r="AB694">
        <f>OR((C694+D694)&lt;66,(E694+F694)&lt;66,G694&lt;33,(H694+I694)&lt;66,Y694,Z694,AA694,R694&lt;8.25)</f>
        <v/>
      </c>
      <c r="AC694">
        <f>IF(C694+D694&lt;66,0,IF((C694+D694)/2&gt;=80,5,IF((C694+D694)/2&gt;=70,4,IF((C694+D694)/2&gt;=60,3.5,IF((C694+D694)/2&gt;=50,3,IF((C694+D694)/2&gt;=40,2,IF((C694+D694)/2&gt;=33,1,0)))))))</f>
        <v/>
      </c>
      <c r="AD694">
        <f>IF(E694+F694&lt;66,0,IF((E694+F694)/2&gt;=80,5,IF((E694+F694)/2&gt;=70,4,IF((E694+F694)/2&gt;=60,3.5,IF((E694+F694)/2&gt;=50,3,IF((E694+F694)/2&gt;=40,2,IF((E694+F694)/2&gt;=33,1,0)))))))</f>
        <v/>
      </c>
      <c r="AE694">
        <f>IF(G694&lt;33,0,IF(G694&gt;=80,5,IF(G694&gt;=70,4,IF(G694&gt;=60,3.5,IF(G694&gt;=50,3,IF(G694&gt;=40,2,IF(G694&gt;=33,1,0)))))))</f>
        <v/>
      </c>
      <c r="AF694">
        <f>IF(H694+I694&lt;66,0,IF((H694+I694)/2&gt;=80,5,IF((H694+I694)/2&gt;=70,4,IF((H694+I694)/2&gt;=60,3.5,IF((H694+I694)/2&gt;=50,3,IF((H694+I694)/2&gt;=40,2,IF((H694+I694)/2&gt;=33,1,0)))))))</f>
        <v/>
      </c>
      <c r="AG694">
        <f>IF(Y694,0,IF((J694+K694+L694+M694)/2&gt;=80,5,IF((J694+K694+L694+M694)/2&gt;=70,4,IF((J694+K694+L694+M694)/2&gt;=60,3.5,IF((J694+K694+L694+M694)/2&gt;=50,3,IF((J694+K694+L694+M694)/2&gt;=40,2,IF((J694+K694+L694+M694)/2&gt;=33,1,0)))))))</f>
        <v/>
      </c>
      <c r="AH694">
        <f>IF(Z694,0,IF(N694+O694&gt;=80,5,IF(N694+O694&gt;=70,4,IF(N694+O694&gt;=60,3.5,IF(N694+O694&gt;=50,3,IF(N694+O694&gt;=40,2,IF(N694+O694&gt;=33,1,0)))))))</f>
        <v/>
      </c>
      <c r="AI694">
        <f>IF(AA694,0,IF(P694+Q694&gt;=80,5,IF(P694+Q694&gt;=70,4,IF(P694+Q694&gt;=60,3.5,IF(P694+Q694&gt;=50,3,IF(P694+Q694&gt;=40,2,IF(P694+Q694&gt;=33,1,0)))))))</f>
        <v/>
      </c>
      <c r="AJ694">
        <f>IF(R694&lt;8.25,0,IF(R694*2&gt;=80,5,IF(R694*2&gt;=70,4,IF(R694*2&gt;=60,3.5,IF(R694*2&gt;=50,3,IF(R694*2&gt;=40,2,IF(R694*2&gt;=33,1,0)))))))</f>
        <v/>
      </c>
      <c r="AK694">
        <f>IF(S694&lt;33,0,IF(S694&gt;=80,5,IF(S694&gt;=70,4,IF(S694&gt;=60,3.5,IF(S694&gt;=50,3,IF(S694&gt;=40,2,IF(S694&gt;=33,1,0)))))))</f>
        <v/>
      </c>
      <c r="AL694">
        <f>(AC694+AD694+AE694+AF694+AG694+AH694+AI694+AJ694)/8</f>
        <v/>
      </c>
      <c r="AM694">
        <f>IF(AK694&gt;=2,(AK694-2)/8,0)</f>
        <v/>
      </c>
    </row>
    <row r="695">
      <c r="T695">
        <f>SUM(C695:R695)</f>
        <v/>
      </c>
      <c r="U695" s="6">
        <f>ROUND(T695/11.5,2)</f>
        <v/>
      </c>
      <c r="V695" s="7">
        <f>IF(B695="","",IF(AB695,0,ROUND(AL695,2)))</f>
        <v/>
      </c>
      <c r="W695" s="7">
        <f>IF(B695="","",IF(AB695,0,MIN(5,ROUND(AL695+AM695,2))))</f>
        <v/>
      </c>
      <c r="X695" s="8">
        <f>IF(B695="","",IF(W695&gt;=5,"A+",IF(W695&gt;=4,"A",IF(W695&gt;=3.5,"A-",IF(W695&gt;=3,"B",IF(W695&gt;=2,"C",IF(W695&gt;=1,"D","F")))))))</f>
        <v/>
      </c>
      <c r="Y695">
        <f>NOT(OR(AND(J695&gt;=10,K695&gt;=23,L695&gt;=10,M695&gt;=23),AND(J695+L695&gt;=20,K695+M695&gt;=46)))</f>
        <v/>
      </c>
      <c r="Z695">
        <f>OR(N695&lt;10,O695&lt;23)</f>
        <v/>
      </c>
      <c r="AA695">
        <f>OR(P695&lt;10,Q695&lt;23)</f>
        <v/>
      </c>
      <c r="AB695">
        <f>OR((C695+D695)&lt;66,(E695+F695)&lt;66,G695&lt;33,(H695+I695)&lt;66,Y695,Z695,AA695,R695&lt;8.25)</f>
        <v/>
      </c>
      <c r="AC695">
        <f>IF(C695+D695&lt;66,0,IF((C695+D695)/2&gt;=80,5,IF((C695+D695)/2&gt;=70,4,IF((C695+D695)/2&gt;=60,3.5,IF((C695+D695)/2&gt;=50,3,IF((C695+D695)/2&gt;=40,2,IF((C695+D695)/2&gt;=33,1,0)))))))</f>
        <v/>
      </c>
      <c r="AD695">
        <f>IF(E695+F695&lt;66,0,IF((E695+F695)/2&gt;=80,5,IF((E695+F695)/2&gt;=70,4,IF((E695+F695)/2&gt;=60,3.5,IF((E695+F695)/2&gt;=50,3,IF((E695+F695)/2&gt;=40,2,IF((E695+F695)/2&gt;=33,1,0)))))))</f>
        <v/>
      </c>
      <c r="AE695">
        <f>IF(G695&lt;33,0,IF(G695&gt;=80,5,IF(G695&gt;=70,4,IF(G695&gt;=60,3.5,IF(G695&gt;=50,3,IF(G695&gt;=40,2,IF(G695&gt;=33,1,0)))))))</f>
        <v/>
      </c>
      <c r="AF695">
        <f>IF(H695+I695&lt;66,0,IF((H695+I695)/2&gt;=80,5,IF((H695+I695)/2&gt;=70,4,IF((H695+I695)/2&gt;=60,3.5,IF((H695+I695)/2&gt;=50,3,IF((H695+I695)/2&gt;=40,2,IF((H695+I695)/2&gt;=33,1,0)))))))</f>
        <v/>
      </c>
      <c r="AG695">
        <f>IF(Y695,0,IF((J695+K695+L695+M695)/2&gt;=80,5,IF((J695+K695+L695+M695)/2&gt;=70,4,IF((J695+K695+L695+M695)/2&gt;=60,3.5,IF((J695+K695+L695+M695)/2&gt;=50,3,IF((J695+K695+L695+M695)/2&gt;=40,2,IF((J695+K695+L695+M695)/2&gt;=33,1,0)))))))</f>
        <v/>
      </c>
      <c r="AH695">
        <f>IF(Z695,0,IF(N695+O695&gt;=80,5,IF(N695+O695&gt;=70,4,IF(N695+O695&gt;=60,3.5,IF(N695+O695&gt;=50,3,IF(N695+O695&gt;=40,2,IF(N695+O695&gt;=33,1,0)))))))</f>
        <v/>
      </c>
      <c r="AI695">
        <f>IF(AA695,0,IF(P695+Q695&gt;=80,5,IF(P695+Q695&gt;=70,4,IF(P695+Q695&gt;=60,3.5,IF(P695+Q695&gt;=50,3,IF(P695+Q695&gt;=40,2,IF(P695+Q695&gt;=33,1,0)))))))</f>
        <v/>
      </c>
      <c r="AJ695">
        <f>IF(R695&lt;8.25,0,IF(R695*2&gt;=80,5,IF(R695*2&gt;=70,4,IF(R695*2&gt;=60,3.5,IF(R695*2&gt;=50,3,IF(R695*2&gt;=40,2,IF(R695*2&gt;=33,1,0)))))))</f>
        <v/>
      </c>
      <c r="AK695">
        <f>IF(S695&lt;33,0,IF(S695&gt;=80,5,IF(S695&gt;=70,4,IF(S695&gt;=60,3.5,IF(S695&gt;=50,3,IF(S695&gt;=40,2,IF(S695&gt;=33,1,0)))))))</f>
        <v/>
      </c>
      <c r="AL695">
        <f>(AC695+AD695+AE695+AF695+AG695+AH695+AI695+AJ695)/8</f>
        <v/>
      </c>
      <c r="AM695">
        <f>IF(AK695&gt;=2,(AK695-2)/8,0)</f>
        <v/>
      </c>
    </row>
    <row r="696">
      <c r="T696">
        <f>SUM(C696:R696)</f>
        <v/>
      </c>
      <c r="U696" s="6">
        <f>ROUND(T696/11.5,2)</f>
        <v/>
      </c>
      <c r="V696" s="7">
        <f>IF(B696="","",IF(AB696,0,ROUND(AL696,2)))</f>
        <v/>
      </c>
      <c r="W696" s="7">
        <f>IF(B696="","",IF(AB696,0,MIN(5,ROUND(AL696+AM696,2))))</f>
        <v/>
      </c>
      <c r="X696" s="8">
        <f>IF(B696="","",IF(W696&gt;=5,"A+",IF(W696&gt;=4,"A",IF(W696&gt;=3.5,"A-",IF(W696&gt;=3,"B",IF(W696&gt;=2,"C",IF(W696&gt;=1,"D","F")))))))</f>
        <v/>
      </c>
      <c r="Y696">
        <f>NOT(OR(AND(J696&gt;=10,K696&gt;=23,L696&gt;=10,M696&gt;=23),AND(J696+L696&gt;=20,K696+M696&gt;=46)))</f>
        <v/>
      </c>
      <c r="Z696">
        <f>OR(N696&lt;10,O696&lt;23)</f>
        <v/>
      </c>
      <c r="AA696">
        <f>OR(P696&lt;10,Q696&lt;23)</f>
        <v/>
      </c>
      <c r="AB696">
        <f>OR((C696+D696)&lt;66,(E696+F696)&lt;66,G696&lt;33,(H696+I696)&lt;66,Y696,Z696,AA696,R696&lt;8.25)</f>
        <v/>
      </c>
      <c r="AC696">
        <f>IF(C696+D696&lt;66,0,IF((C696+D696)/2&gt;=80,5,IF((C696+D696)/2&gt;=70,4,IF((C696+D696)/2&gt;=60,3.5,IF((C696+D696)/2&gt;=50,3,IF((C696+D696)/2&gt;=40,2,IF((C696+D696)/2&gt;=33,1,0)))))))</f>
        <v/>
      </c>
      <c r="AD696">
        <f>IF(E696+F696&lt;66,0,IF((E696+F696)/2&gt;=80,5,IF((E696+F696)/2&gt;=70,4,IF((E696+F696)/2&gt;=60,3.5,IF((E696+F696)/2&gt;=50,3,IF((E696+F696)/2&gt;=40,2,IF((E696+F696)/2&gt;=33,1,0)))))))</f>
        <v/>
      </c>
      <c r="AE696">
        <f>IF(G696&lt;33,0,IF(G696&gt;=80,5,IF(G696&gt;=70,4,IF(G696&gt;=60,3.5,IF(G696&gt;=50,3,IF(G696&gt;=40,2,IF(G696&gt;=33,1,0)))))))</f>
        <v/>
      </c>
      <c r="AF696">
        <f>IF(H696+I696&lt;66,0,IF((H696+I696)/2&gt;=80,5,IF((H696+I696)/2&gt;=70,4,IF((H696+I696)/2&gt;=60,3.5,IF((H696+I696)/2&gt;=50,3,IF((H696+I696)/2&gt;=40,2,IF((H696+I696)/2&gt;=33,1,0)))))))</f>
        <v/>
      </c>
      <c r="AG696">
        <f>IF(Y696,0,IF((J696+K696+L696+M696)/2&gt;=80,5,IF((J696+K696+L696+M696)/2&gt;=70,4,IF((J696+K696+L696+M696)/2&gt;=60,3.5,IF((J696+K696+L696+M696)/2&gt;=50,3,IF((J696+K696+L696+M696)/2&gt;=40,2,IF((J696+K696+L696+M696)/2&gt;=33,1,0)))))))</f>
        <v/>
      </c>
      <c r="AH696">
        <f>IF(Z696,0,IF(N696+O696&gt;=80,5,IF(N696+O696&gt;=70,4,IF(N696+O696&gt;=60,3.5,IF(N696+O696&gt;=50,3,IF(N696+O696&gt;=40,2,IF(N696+O696&gt;=33,1,0)))))))</f>
        <v/>
      </c>
      <c r="AI696">
        <f>IF(AA696,0,IF(P696+Q696&gt;=80,5,IF(P696+Q696&gt;=70,4,IF(P696+Q696&gt;=60,3.5,IF(P696+Q696&gt;=50,3,IF(P696+Q696&gt;=40,2,IF(P696+Q696&gt;=33,1,0)))))))</f>
        <v/>
      </c>
      <c r="AJ696">
        <f>IF(R696&lt;8.25,0,IF(R696*2&gt;=80,5,IF(R696*2&gt;=70,4,IF(R696*2&gt;=60,3.5,IF(R696*2&gt;=50,3,IF(R696*2&gt;=40,2,IF(R696*2&gt;=33,1,0)))))))</f>
        <v/>
      </c>
      <c r="AK696">
        <f>IF(S696&lt;33,0,IF(S696&gt;=80,5,IF(S696&gt;=70,4,IF(S696&gt;=60,3.5,IF(S696&gt;=50,3,IF(S696&gt;=40,2,IF(S696&gt;=33,1,0)))))))</f>
        <v/>
      </c>
      <c r="AL696">
        <f>(AC696+AD696+AE696+AF696+AG696+AH696+AI696+AJ696)/8</f>
        <v/>
      </c>
      <c r="AM696">
        <f>IF(AK696&gt;=2,(AK696-2)/8,0)</f>
        <v/>
      </c>
    </row>
    <row r="697">
      <c r="T697">
        <f>SUM(C697:R697)</f>
        <v/>
      </c>
      <c r="U697" s="6">
        <f>ROUND(T697/11.5,2)</f>
        <v/>
      </c>
      <c r="V697" s="7">
        <f>IF(B697="","",IF(AB697,0,ROUND(AL697,2)))</f>
        <v/>
      </c>
      <c r="W697" s="7">
        <f>IF(B697="","",IF(AB697,0,MIN(5,ROUND(AL697+AM697,2))))</f>
        <v/>
      </c>
      <c r="X697" s="8">
        <f>IF(B697="","",IF(W697&gt;=5,"A+",IF(W697&gt;=4,"A",IF(W697&gt;=3.5,"A-",IF(W697&gt;=3,"B",IF(W697&gt;=2,"C",IF(W697&gt;=1,"D","F")))))))</f>
        <v/>
      </c>
      <c r="Y697">
        <f>NOT(OR(AND(J697&gt;=10,K697&gt;=23,L697&gt;=10,M697&gt;=23),AND(J697+L697&gt;=20,K697+M697&gt;=46)))</f>
        <v/>
      </c>
      <c r="Z697">
        <f>OR(N697&lt;10,O697&lt;23)</f>
        <v/>
      </c>
      <c r="AA697">
        <f>OR(P697&lt;10,Q697&lt;23)</f>
        <v/>
      </c>
      <c r="AB697">
        <f>OR((C697+D697)&lt;66,(E697+F697)&lt;66,G697&lt;33,(H697+I697)&lt;66,Y697,Z697,AA697,R697&lt;8.25)</f>
        <v/>
      </c>
      <c r="AC697">
        <f>IF(C697+D697&lt;66,0,IF((C697+D697)/2&gt;=80,5,IF((C697+D697)/2&gt;=70,4,IF((C697+D697)/2&gt;=60,3.5,IF((C697+D697)/2&gt;=50,3,IF((C697+D697)/2&gt;=40,2,IF((C697+D697)/2&gt;=33,1,0)))))))</f>
        <v/>
      </c>
      <c r="AD697">
        <f>IF(E697+F697&lt;66,0,IF((E697+F697)/2&gt;=80,5,IF((E697+F697)/2&gt;=70,4,IF((E697+F697)/2&gt;=60,3.5,IF((E697+F697)/2&gt;=50,3,IF((E697+F697)/2&gt;=40,2,IF((E697+F697)/2&gt;=33,1,0)))))))</f>
        <v/>
      </c>
      <c r="AE697">
        <f>IF(G697&lt;33,0,IF(G697&gt;=80,5,IF(G697&gt;=70,4,IF(G697&gt;=60,3.5,IF(G697&gt;=50,3,IF(G697&gt;=40,2,IF(G697&gt;=33,1,0)))))))</f>
        <v/>
      </c>
      <c r="AF697">
        <f>IF(H697+I697&lt;66,0,IF((H697+I697)/2&gt;=80,5,IF((H697+I697)/2&gt;=70,4,IF((H697+I697)/2&gt;=60,3.5,IF((H697+I697)/2&gt;=50,3,IF((H697+I697)/2&gt;=40,2,IF((H697+I697)/2&gt;=33,1,0)))))))</f>
        <v/>
      </c>
      <c r="AG697">
        <f>IF(Y697,0,IF((J697+K697+L697+M697)/2&gt;=80,5,IF((J697+K697+L697+M697)/2&gt;=70,4,IF((J697+K697+L697+M697)/2&gt;=60,3.5,IF((J697+K697+L697+M697)/2&gt;=50,3,IF((J697+K697+L697+M697)/2&gt;=40,2,IF((J697+K697+L697+M697)/2&gt;=33,1,0)))))))</f>
        <v/>
      </c>
      <c r="AH697">
        <f>IF(Z697,0,IF(N697+O697&gt;=80,5,IF(N697+O697&gt;=70,4,IF(N697+O697&gt;=60,3.5,IF(N697+O697&gt;=50,3,IF(N697+O697&gt;=40,2,IF(N697+O697&gt;=33,1,0)))))))</f>
        <v/>
      </c>
      <c r="AI697">
        <f>IF(AA697,0,IF(P697+Q697&gt;=80,5,IF(P697+Q697&gt;=70,4,IF(P697+Q697&gt;=60,3.5,IF(P697+Q697&gt;=50,3,IF(P697+Q697&gt;=40,2,IF(P697+Q697&gt;=33,1,0)))))))</f>
        <v/>
      </c>
      <c r="AJ697">
        <f>IF(R697&lt;8.25,0,IF(R697*2&gt;=80,5,IF(R697*2&gt;=70,4,IF(R697*2&gt;=60,3.5,IF(R697*2&gt;=50,3,IF(R697*2&gt;=40,2,IF(R697*2&gt;=33,1,0)))))))</f>
        <v/>
      </c>
      <c r="AK697">
        <f>IF(S697&lt;33,0,IF(S697&gt;=80,5,IF(S697&gt;=70,4,IF(S697&gt;=60,3.5,IF(S697&gt;=50,3,IF(S697&gt;=40,2,IF(S697&gt;=33,1,0)))))))</f>
        <v/>
      </c>
      <c r="AL697">
        <f>(AC697+AD697+AE697+AF697+AG697+AH697+AI697+AJ697)/8</f>
        <v/>
      </c>
      <c r="AM697">
        <f>IF(AK697&gt;=2,(AK697-2)/8,0)</f>
        <v/>
      </c>
    </row>
    <row r="698">
      <c r="T698">
        <f>SUM(C698:R698)</f>
        <v/>
      </c>
      <c r="U698" s="6">
        <f>ROUND(T698/11.5,2)</f>
        <v/>
      </c>
      <c r="V698" s="7">
        <f>IF(B698="","",IF(AB698,0,ROUND(AL698,2)))</f>
        <v/>
      </c>
      <c r="W698" s="7">
        <f>IF(B698="","",IF(AB698,0,MIN(5,ROUND(AL698+AM698,2))))</f>
        <v/>
      </c>
      <c r="X698" s="8">
        <f>IF(B698="","",IF(W698&gt;=5,"A+",IF(W698&gt;=4,"A",IF(W698&gt;=3.5,"A-",IF(W698&gt;=3,"B",IF(W698&gt;=2,"C",IF(W698&gt;=1,"D","F")))))))</f>
        <v/>
      </c>
      <c r="Y698">
        <f>NOT(OR(AND(J698&gt;=10,K698&gt;=23,L698&gt;=10,M698&gt;=23),AND(J698+L698&gt;=20,K698+M698&gt;=46)))</f>
        <v/>
      </c>
      <c r="Z698">
        <f>OR(N698&lt;10,O698&lt;23)</f>
        <v/>
      </c>
      <c r="AA698">
        <f>OR(P698&lt;10,Q698&lt;23)</f>
        <v/>
      </c>
      <c r="AB698">
        <f>OR((C698+D698)&lt;66,(E698+F698)&lt;66,G698&lt;33,(H698+I698)&lt;66,Y698,Z698,AA698,R698&lt;8.25)</f>
        <v/>
      </c>
      <c r="AC698">
        <f>IF(C698+D698&lt;66,0,IF((C698+D698)/2&gt;=80,5,IF((C698+D698)/2&gt;=70,4,IF((C698+D698)/2&gt;=60,3.5,IF((C698+D698)/2&gt;=50,3,IF((C698+D698)/2&gt;=40,2,IF((C698+D698)/2&gt;=33,1,0)))))))</f>
        <v/>
      </c>
      <c r="AD698">
        <f>IF(E698+F698&lt;66,0,IF((E698+F698)/2&gt;=80,5,IF((E698+F698)/2&gt;=70,4,IF((E698+F698)/2&gt;=60,3.5,IF((E698+F698)/2&gt;=50,3,IF((E698+F698)/2&gt;=40,2,IF((E698+F698)/2&gt;=33,1,0)))))))</f>
        <v/>
      </c>
      <c r="AE698">
        <f>IF(G698&lt;33,0,IF(G698&gt;=80,5,IF(G698&gt;=70,4,IF(G698&gt;=60,3.5,IF(G698&gt;=50,3,IF(G698&gt;=40,2,IF(G698&gt;=33,1,0)))))))</f>
        <v/>
      </c>
      <c r="AF698">
        <f>IF(H698+I698&lt;66,0,IF((H698+I698)/2&gt;=80,5,IF((H698+I698)/2&gt;=70,4,IF((H698+I698)/2&gt;=60,3.5,IF((H698+I698)/2&gt;=50,3,IF((H698+I698)/2&gt;=40,2,IF((H698+I698)/2&gt;=33,1,0)))))))</f>
        <v/>
      </c>
      <c r="AG698">
        <f>IF(Y698,0,IF((J698+K698+L698+M698)/2&gt;=80,5,IF((J698+K698+L698+M698)/2&gt;=70,4,IF((J698+K698+L698+M698)/2&gt;=60,3.5,IF((J698+K698+L698+M698)/2&gt;=50,3,IF((J698+K698+L698+M698)/2&gt;=40,2,IF((J698+K698+L698+M698)/2&gt;=33,1,0)))))))</f>
        <v/>
      </c>
      <c r="AH698">
        <f>IF(Z698,0,IF(N698+O698&gt;=80,5,IF(N698+O698&gt;=70,4,IF(N698+O698&gt;=60,3.5,IF(N698+O698&gt;=50,3,IF(N698+O698&gt;=40,2,IF(N698+O698&gt;=33,1,0)))))))</f>
        <v/>
      </c>
      <c r="AI698">
        <f>IF(AA698,0,IF(P698+Q698&gt;=80,5,IF(P698+Q698&gt;=70,4,IF(P698+Q698&gt;=60,3.5,IF(P698+Q698&gt;=50,3,IF(P698+Q698&gt;=40,2,IF(P698+Q698&gt;=33,1,0)))))))</f>
        <v/>
      </c>
      <c r="AJ698">
        <f>IF(R698&lt;8.25,0,IF(R698*2&gt;=80,5,IF(R698*2&gt;=70,4,IF(R698*2&gt;=60,3.5,IF(R698*2&gt;=50,3,IF(R698*2&gt;=40,2,IF(R698*2&gt;=33,1,0)))))))</f>
        <v/>
      </c>
      <c r="AK698">
        <f>IF(S698&lt;33,0,IF(S698&gt;=80,5,IF(S698&gt;=70,4,IF(S698&gt;=60,3.5,IF(S698&gt;=50,3,IF(S698&gt;=40,2,IF(S698&gt;=33,1,0)))))))</f>
        <v/>
      </c>
      <c r="AL698">
        <f>(AC698+AD698+AE698+AF698+AG698+AH698+AI698+AJ698)/8</f>
        <v/>
      </c>
      <c r="AM698">
        <f>IF(AK698&gt;=2,(AK698-2)/8,0)</f>
        <v/>
      </c>
    </row>
    <row r="699">
      <c r="T699">
        <f>SUM(C699:R699)</f>
        <v/>
      </c>
      <c r="U699" s="6">
        <f>ROUND(T699/11.5,2)</f>
        <v/>
      </c>
      <c r="V699" s="7">
        <f>IF(B699="","",IF(AB699,0,ROUND(AL699,2)))</f>
        <v/>
      </c>
      <c r="W699" s="7">
        <f>IF(B699="","",IF(AB699,0,MIN(5,ROUND(AL699+AM699,2))))</f>
        <v/>
      </c>
      <c r="X699" s="8">
        <f>IF(B699="","",IF(W699&gt;=5,"A+",IF(W699&gt;=4,"A",IF(W699&gt;=3.5,"A-",IF(W699&gt;=3,"B",IF(W699&gt;=2,"C",IF(W699&gt;=1,"D","F")))))))</f>
        <v/>
      </c>
      <c r="Y699">
        <f>NOT(OR(AND(J699&gt;=10,K699&gt;=23,L699&gt;=10,M699&gt;=23),AND(J699+L699&gt;=20,K699+M699&gt;=46)))</f>
        <v/>
      </c>
      <c r="Z699">
        <f>OR(N699&lt;10,O699&lt;23)</f>
        <v/>
      </c>
      <c r="AA699">
        <f>OR(P699&lt;10,Q699&lt;23)</f>
        <v/>
      </c>
      <c r="AB699">
        <f>OR((C699+D699)&lt;66,(E699+F699)&lt;66,G699&lt;33,(H699+I699)&lt;66,Y699,Z699,AA699,R699&lt;8.25)</f>
        <v/>
      </c>
      <c r="AC699">
        <f>IF(C699+D699&lt;66,0,IF((C699+D699)/2&gt;=80,5,IF((C699+D699)/2&gt;=70,4,IF((C699+D699)/2&gt;=60,3.5,IF((C699+D699)/2&gt;=50,3,IF((C699+D699)/2&gt;=40,2,IF((C699+D699)/2&gt;=33,1,0)))))))</f>
        <v/>
      </c>
      <c r="AD699">
        <f>IF(E699+F699&lt;66,0,IF((E699+F699)/2&gt;=80,5,IF((E699+F699)/2&gt;=70,4,IF((E699+F699)/2&gt;=60,3.5,IF((E699+F699)/2&gt;=50,3,IF((E699+F699)/2&gt;=40,2,IF((E699+F699)/2&gt;=33,1,0)))))))</f>
        <v/>
      </c>
      <c r="AE699">
        <f>IF(G699&lt;33,0,IF(G699&gt;=80,5,IF(G699&gt;=70,4,IF(G699&gt;=60,3.5,IF(G699&gt;=50,3,IF(G699&gt;=40,2,IF(G699&gt;=33,1,0)))))))</f>
        <v/>
      </c>
      <c r="AF699">
        <f>IF(H699+I699&lt;66,0,IF((H699+I699)/2&gt;=80,5,IF((H699+I699)/2&gt;=70,4,IF((H699+I699)/2&gt;=60,3.5,IF((H699+I699)/2&gt;=50,3,IF((H699+I699)/2&gt;=40,2,IF((H699+I699)/2&gt;=33,1,0)))))))</f>
        <v/>
      </c>
      <c r="AG699">
        <f>IF(Y699,0,IF((J699+K699+L699+M699)/2&gt;=80,5,IF((J699+K699+L699+M699)/2&gt;=70,4,IF((J699+K699+L699+M699)/2&gt;=60,3.5,IF((J699+K699+L699+M699)/2&gt;=50,3,IF((J699+K699+L699+M699)/2&gt;=40,2,IF((J699+K699+L699+M699)/2&gt;=33,1,0)))))))</f>
        <v/>
      </c>
      <c r="AH699">
        <f>IF(Z699,0,IF(N699+O699&gt;=80,5,IF(N699+O699&gt;=70,4,IF(N699+O699&gt;=60,3.5,IF(N699+O699&gt;=50,3,IF(N699+O699&gt;=40,2,IF(N699+O699&gt;=33,1,0)))))))</f>
        <v/>
      </c>
      <c r="AI699">
        <f>IF(AA699,0,IF(P699+Q699&gt;=80,5,IF(P699+Q699&gt;=70,4,IF(P699+Q699&gt;=60,3.5,IF(P699+Q699&gt;=50,3,IF(P699+Q699&gt;=40,2,IF(P699+Q699&gt;=33,1,0)))))))</f>
        <v/>
      </c>
      <c r="AJ699">
        <f>IF(R699&lt;8.25,0,IF(R699*2&gt;=80,5,IF(R699*2&gt;=70,4,IF(R699*2&gt;=60,3.5,IF(R699*2&gt;=50,3,IF(R699*2&gt;=40,2,IF(R699*2&gt;=33,1,0)))))))</f>
        <v/>
      </c>
      <c r="AK699">
        <f>IF(S699&lt;33,0,IF(S699&gt;=80,5,IF(S699&gt;=70,4,IF(S699&gt;=60,3.5,IF(S699&gt;=50,3,IF(S699&gt;=40,2,IF(S699&gt;=33,1,0)))))))</f>
        <v/>
      </c>
      <c r="AL699">
        <f>(AC699+AD699+AE699+AF699+AG699+AH699+AI699+AJ699)/8</f>
        <v/>
      </c>
      <c r="AM699">
        <f>IF(AK699&gt;=2,(AK699-2)/8,0)</f>
        <v/>
      </c>
    </row>
    <row r="700">
      <c r="T700">
        <f>SUM(C700:R700)</f>
        <v/>
      </c>
      <c r="U700" s="6">
        <f>ROUND(T700/11.5,2)</f>
        <v/>
      </c>
      <c r="V700" s="7">
        <f>IF(B700="","",IF(AB700,0,ROUND(AL700,2)))</f>
        <v/>
      </c>
      <c r="W700" s="7">
        <f>IF(B700="","",IF(AB700,0,MIN(5,ROUND(AL700+AM700,2))))</f>
        <v/>
      </c>
      <c r="X700" s="8">
        <f>IF(B700="","",IF(W700&gt;=5,"A+",IF(W700&gt;=4,"A",IF(W700&gt;=3.5,"A-",IF(W700&gt;=3,"B",IF(W700&gt;=2,"C",IF(W700&gt;=1,"D","F")))))))</f>
        <v/>
      </c>
      <c r="Y700">
        <f>NOT(OR(AND(J700&gt;=10,K700&gt;=23,L700&gt;=10,M700&gt;=23),AND(J700+L700&gt;=20,K700+M700&gt;=46)))</f>
        <v/>
      </c>
      <c r="Z700">
        <f>OR(N700&lt;10,O700&lt;23)</f>
        <v/>
      </c>
      <c r="AA700">
        <f>OR(P700&lt;10,Q700&lt;23)</f>
        <v/>
      </c>
      <c r="AB700">
        <f>OR((C700+D700)&lt;66,(E700+F700)&lt;66,G700&lt;33,(H700+I700)&lt;66,Y700,Z700,AA700,R700&lt;8.25)</f>
        <v/>
      </c>
      <c r="AC700">
        <f>IF(C700+D700&lt;66,0,IF((C700+D700)/2&gt;=80,5,IF((C700+D700)/2&gt;=70,4,IF((C700+D700)/2&gt;=60,3.5,IF((C700+D700)/2&gt;=50,3,IF((C700+D700)/2&gt;=40,2,IF((C700+D700)/2&gt;=33,1,0)))))))</f>
        <v/>
      </c>
      <c r="AD700">
        <f>IF(E700+F700&lt;66,0,IF((E700+F700)/2&gt;=80,5,IF((E700+F700)/2&gt;=70,4,IF((E700+F700)/2&gt;=60,3.5,IF((E700+F700)/2&gt;=50,3,IF((E700+F700)/2&gt;=40,2,IF((E700+F700)/2&gt;=33,1,0)))))))</f>
        <v/>
      </c>
      <c r="AE700">
        <f>IF(G700&lt;33,0,IF(G700&gt;=80,5,IF(G700&gt;=70,4,IF(G700&gt;=60,3.5,IF(G700&gt;=50,3,IF(G700&gt;=40,2,IF(G700&gt;=33,1,0)))))))</f>
        <v/>
      </c>
      <c r="AF700">
        <f>IF(H700+I700&lt;66,0,IF((H700+I700)/2&gt;=80,5,IF((H700+I700)/2&gt;=70,4,IF((H700+I700)/2&gt;=60,3.5,IF((H700+I700)/2&gt;=50,3,IF((H700+I700)/2&gt;=40,2,IF((H700+I700)/2&gt;=33,1,0)))))))</f>
        <v/>
      </c>
      <c r="AG700">
        <f>IF(Y700,0,IF((J700+K700+L700+M700)/2&gt;=80,5,IF((J700+K700+L700+M700)/2&gt;=70,4,IF((J700+K700+L700+M700)/2&gt;=60,3.5,IF((J700+K700+L700+M700)/2&gt;=50,3,IF((J700+K700+L700+M700)/2&gt;=40,2,IF((J700+K700+L700+M700)/2&gt;=33,1,0)))))))</f>
        <v/>
      </c>
      <c r="AH700">
        <f>IF(Z700,0,IF(N700+O700&gt;=80,5,IF(N700+O700&gt;=70,4,IF(N700+O700&gt;=60,3.5,IF(N700+O700&gt;=50,3,IF(N700+O700&gt;=40,2,IF(N700+O700&gt;=33,1,0)))))))</f>
        <v/>
      </c>
      <c r="AI700">
        <f>IF(AA700,0,IF(P700+Q700&gt;=80,5,IF(P700+Q700&gt;=70,4,IF(P700+Q700&gt;=60,3.5,IF(P700+Q700&gt;=50,3,IF(P700+Q700&gt;=40,2,IF(P700+Q700&gt;=33,1,0)))))))</f>
        <v/>
      </c>
      <c r="AJ700">
        <f>IF(R700&lt;8.25,0,IF(R700*2&gt;=80,5,IF(R700*2&gt;=70,4,IF(R700*2&gt;=60,3.5,IF(R700*2&gt;=50,3,IF(R700*2&gt;=40,2,IF(R700*2&gt;=33,1,0)))))))</f>
        <v/>
      </c>
      <c r="AK700">
        <f>IF(S700&lt;33,0,IF(S700&gt;=80,5,IF(S700&gt;=70,4,IF(S700&gt;=60,3.5,IF(S700&gt;=50,3,IF(S700&gt;=40,2,IF(S700&gt;=33,1,0)))))))</f>
        <v/>
      </c>
      <c r="AL700">
        <f>(AC700+AD700+AE700+AF700+AG700+AH700+AI700+AJ700)/8</f>
        <v/>
      </c>
      <c r="AM700">
        <f>IF(AK700&gt;=2,(AK700-2)/8,0)</f>
        <v/>
      </c>
    </row>
    <row r="701">
      <c r="T701">
        <f>SUM(C701:R701)</f>
        <v/>
      </c>
      <c r="U701" s="6">
        <f>ROUND(T701/11.5,2)</f>
        <v/>
      </c>
      <c r="V701" s="7">
        <f>IF(B701="","",IF(AB701,0,ROUND(AL701,2)))</f>
        <v/>
      </c>
      <c r="W701" s="7">
        <f>IF(B701="","",IF(AB701,0,MIN(5,ROUND(AL701+AM701,2))))</f>
        <v/>
      </c>
      <c r="X701" s="8">
        <f>IF(B701="","",IF(W701&gt;=5,"A+",IF(W701&gt;=4,"A",IF(W701&gt;=3.5,"A-",IF(W701&gt;=3,"B",IF(W701&gt;=2,"C",IF(W701&gt;=1,"D","F")))))))</f>
        <v/>
      </c>
      <c r="Y701">
        <f>NOT(OR(AND(J701&gt;=10,K701&gt;=23,L701&gt;=10,M701&gt;=23),AND(J701+L701&gt;=20,K701+M701&gt;=46)))</f>
        <v/>
      </c>
      <c r="Z701">
        <f>OR(N701&lt;10,O701&lt;23)</f>
        <v/>
      </c>
      <c r="AA701">
        <f>OR(P701&lt;10,Q701&lt;23)</f>
        <v/>
      </c>
      <c r="AB701">
        <f>OR((C701+D701)&lt;66,(E701+F701)&lt;66,G701&lt;33,(H701+I701)&lt;66,Y701,Z701,AA701,R701&lt;8.25)</f>
        <v/>
      </c>
      <c r="AC701">
        <f>IF(C701+D701&lt;66,0,IF((C701+D701)/2&gt;=80,5,IF((C701+D701)/2&gt;=70,4,IF((C701+D701)/2&gt;=60,3.5,IF((C701+D701)/2&gt;=50,3,IF((C701+D701)/2&gt;=40,2,IF((C701+D701)/2&gt;=33,1,0)))))))</f>
        <v/>
      </c>
      <c r="AD701">
        <f>IF(E701+F701&lt;66,0,IF((E701+F701)/2&gt;=80,5,IF((E701+F701)/2&gt;=70,4,IF((E701+F701)/2&gt;=60,3.5,IF((E701+F701)/2&gt;=50,3,IF((E701+F701)/2&gt;=40,2,IF((E701+F701)/2&gt;=33,1,0)))))))</f>
        <v/>
      </c>
      <c r="AE701">
        <f>IF(G701&lt;33,0,IF(G701&gt;=80,5,IF(G701&gt;=70,4,IF(G701&gt;=60,3.5,IF(G701&gt;=50,3,IF(G701&gt;=40,2,IF(G701&gt;=33,1,0)))))))</f>
        <v/>
      </c>
      <c r="AF701">
        <f>IF(H701+I701&lt;66,0,IF((H701+I701)/2&gt;=80,5,IF((H701+I701)/2&gt;=70,4,IF((H701+I701)/2&gt;=60,3.5,IF((H701+I701)/2&gt;=50,3,IF((H701+I701)/2&gt;=40,2,IF((H701+I701)/2&gt;=33,1,0)))))))</f>
        <v/>
      </c>
      <c r="AG701">
        <f>IF(Y701,0,IF((J701+K701+L701+M701)/2&gt;=80,5,IF((J701+K701+L701+M701)/2&gt;=70,4,IF((J701+K701+L701+M701)/2&gt;=60,3.5,IF((J701+K701+L701+M701)/2&gt;=50,3,IF((J701+K701+L701+M701)/2&gt;=40,2,IF((J701+K701+L701+M701)/2&gt;=33,1,0)))))))</f>
        <v/>
      </c>
      <c r="AH701">
        <f>IF(Z701,0,IF(N701+O701&gt;=80,5,IF(N701+O701&gt;=70,4,IF(N701+O701&gt;=60,3.5,IF(N701+O701&gt;=50,3,IF(N701+O701&gt;=40,2,IF(N701+O701&gt;=33,1,0)))))))</f>
        <v/>
      </c>
      <c r="AI701">
        <f>IF(AA701,0,IF(P701+Q701&gt;=80,5,IF(P701+Q701&gt;=70,4,IF(P701+Q701&gt;=60,3.5,IF(P701+Q701&gt;=50,3,IF(P701+Q701&gt;=40,2,IF(P701+Q701&gt;=33,1,0)))))))</f>
        <v/>
      </c>
      <c r="AJ701">
        <f>IF(R701&lt;8.25,0,IF(R701*2&gt;=80,5,IF(R701*2&gt;=70,4,IF(R701*2&gt;=60,3.5,IF(R701*2&gt;=50,3,IF(R701*2&gt;=40,2,IF(R701*2&gt;=33,1,0)))))))</f>
        <v/>
      </c>
      <c r="AK701">
        <f>IF(S701&lt;33,0,IF(S701&gt;=80,5,IF(S701&gt;=70,4,IF(S701&gt;=60,3.5,IF(S701&gt;=50,3,IF(S701&gt;=40,2,IF(S701&gt;=33,1,0)))))))</f>
        <v/>
      </c>
      <c r="AL701">
        <f>(AC701+AD701+AE701+AF701+AG701+AH701+AI701+AJ701)/8</f>
        <v/>
      </c>
      <c r="AM701">
        <f>IF(AK701&gt;=2,(AK701-2)/8,0)</f>
        <v/>
      </c>
    </row>
    <row r="702">
      <c r="T702">
        <f>SUM(C702:R702)</f>
        <v/>
      </c>
      <c r="U702" s="6">
        <f>ROUND(T702/11.5,2)</f>
        <v/>
      </c>
      <c r="V702" s="7">
        <f>IF(B702="","",IF(AB702,0,ROUND(AL702,2)))</f>
        <v/>
      </c>
      <c r="W702" s="7">
        <f>IF(B702="","",IF(AB702,0,MIN(5,ROUND(AL702+AM702,2))))</f>
        <v/>
      </c>
      <c r="X702" s="8">
        <f>IF(B702="","",IF(W702&gt;=5,"A+",IF(W702&gt;=4,"A",IF(W702&gt;=3.5,"A-",IF(W702&gt;=3,"B",IF(W702&gt;=2,"C",IF(W702&gt;=1,"D","F")))))))</f>
        <v/>
      </c>
      <c r="Y702">
        <f>NOT(OR(AND(J702&gt;=10,K702&gt;=23,L702&gt;=10,M702&gt;=23),AND(J702+L702&gt;=20,K702+M702&gt;=46)))</f>
        <v/>
      </c>
      <c r="Z702">
        <f>OR(N702&lt;10,O702&lt;23)</f>
        <v/>
      </c>
      <c r="AA702">
        <f>OR(P702&lt;10,Q702&lt;23)</f>
        <v/>
      </c>
      <c r="AB702">
        <f>OR((C702+D702)&lt;66,(E702+F702)&lt;66,G702&lt;33,(H702+I702)&lt;66,Y702,Z702,AA702,R702&lt;8.25)</f>
        <v/>
      </c>
      <c r="AC702">
        <f>IF(C702+D702&lt;66,0,IF((C702+D702)/2&gt;=80,5,IF((C702+D702)/2&gt;=70,4,IF((C702+D702)/2&gt;=60,3.5,IF((C702+D702)/2&gt;=50,3,IF((C702+D702)/2&gt;=40,2,IF((C702+D702)/2&gt;=33,1,0)))))))</f>
        <v/>
      </c>
      <c r="AD702">
        <f>IF(E702+F702&lt;66,0,IF((E702+F702)/2&gt;=80,5,IF((E702+F702)/2&gt;=70,4,IF((E702+F702)/2&gt;=60,3.5,IF((E702+F702)/2&gt;=50,3,IF((E702+F702)/2&gt;=40,2,IF((E702+F702)/2&gt;=33,1,0)))))))</f>
        <v/>
      </c>
      <c r="AE702">
        <f>IF(G702&lt;33,0,IF(G702&gt;=80,5,IF(G702&gt;=70,4,IF(G702&gt;=60,3.5,IF(G702&gt;=50,3,IF(G702&gt;=40,2,IF(G702&gt;=33,1,0)))))))</f>
        <v/>
      </c>
      <c r="AF702">
        <f>IF(H702+I702&lt;66,0,IF((H702+I702)/2&gt;=80,5,IF((H702+I702)/2&gt;=70,4,IF((H702+I702)/2&gt;=60,3.5,IF((H702+I702)/2&gt;=50,3,IF((H702+I702)/2&gt;=40,2,IF((H702+I702)/2&gt;=33,1,0)))))))</f>
        <v/>
      </c>
      <c r="AG702">
        <f>IF(Y702,0,IF((J702+K702+L702+M702)/2&gt;=80,5,IF((J702+K702+L702+M702)/2&gt;=70,4,IF((J702+K702+L702+M702)/2&gt;=60,3.5,IF((J702+K702+L702+M702)/2&gt;=50,3,IF((J702+K702+L702+M702)/2&gt;=40,2,IF((J702+K702+L702+M702)/2&gt;=33,1,0)))))))</f>
        <v/>
      </c>
      <c r="AH702">
        <f>IF(Z702,0,IF(N702+O702&gt;=80,5,IF(N702+O702&gt;=70,4,IF(N702+O702&gt;=60,3.5,IF(N702+O702&gt;=50,3,IF(N702+O702&gt;=40,2,IF(N702+O702&gt;=33,1,0)))))))</f>
        <v/>
      </c>
      <c r="AI702">
        <f>IF(AA702,0,IF(P702+Q702&gt;=80,5,IF(P702+Q702&gt;=70,4,IF(P702+Q702&gt;=60,3.5,IF(P702+Q702&gt;=50,3,IF(P702+Q702&gt;=40,2,IF(P702+Q702&gt;=33,1,0)))))))</f>
        <v/>
      </c>
      <c r="AJ702">
        <f>IF(R702&lt;8.25,0,IF(R702*2&gt;=80,5,IF(R702*2&gt;=70,4,IF(R702*2&gt;=60,3.5,IF(R702*2&gt;=50,3,IF(R702*2&gt;=40,2,IF(R702*2&gt;=33,1,0)))))))</f>
        <v/>
      </c>
      <c r="AK702">
        <f>IF(S702&lt;33,0,IF(S702&gt;=80,5,IF(S702&gt;=70,4,IF(S702&gt;=60,3.5,IF(S702&gt;=50,3,IF(S702&gt;=40,2,IF(S702&gt;=33,1,0)))))))</f>
        <v/>
      </c>
      <c r="AL702">
        <f>(AC702+AD702+AE702+AF702+AG702+AH702+AI702+AJ702)/8</f>
        <v/>
      </c>
      <c r="AM702">
        <f>IF(AK702&gt;=2,(AK702-2)/8,0)</f>
        <v/>
      </c>
    </row>
    <row r="703">
      <c r="T703">
        <f>SUM(C703:R703)</f>
        <v/>
      </c>
      <c r="U703" s="6">
        <f>ROUND(T703/11.5,2)</f>
        <v/>
      </c>
      <c r="V703" s="7">
        <f>IF(B703="","",IF(AB703,0,ROUND(AL703,2)))</f>
        <v/>
      </c>
      <c r="W703" s="7">
        <f>IF(B703="","",IF(AB703,0,MIN(5,ROUND(AL703+AM703,2))))</f>
        <v/>
      </c>
      <c r="X703" s="8">
        <f>IF(B703="","",IF(W703&gt;=5,"A+",IF(W703&gt;=4,"A",IF(W703&gt;=3.5,"A-",IF(W703&gt;=3,"B",IF(W703&gt;=2,"C",IF(W703&gt;=1,"D","F")))))))</f>
        <v/>
      </c>
      <c r="Y703">
        <f>NOT(OR(AND(J703&gt;=10,K703&gt;=23,L703&gt;=10,M703&gt;=23),AND(J703+L703&gt;=20,K703+M703&gt;=46)))</f>
        <v/>
      </c>
      <c r="Z703">
        <f>OR(N703&lt;10,O703&lt;23)</f>
        <v/>
      </c>
      <c r="AA703">
        <f>OR(P703&lt;10,Q703&lt;23)</f>
        <v/>
      </c>
      <c r="AB703">
        <f>OR((C703+D703)&lt;66,(E703+F703)&lt;66,G703&lt;33,(H703+I703)&lt;66,Y703,Z703,AA703,R703&lt;8.25)</f>
        <v/>
      </c>
      <c r="AC703">
        <f>IF(C703+D703&lt;66,0,IF((C703+D703)/2&gt;=80,5,IF((C703+D703)/2&gt;=70,4,IF((C703+D703)/2&gt;=60,3.5,IF((C703+D703)/2&gt;=50,3,IF((C703+D703)/2&gt;=40,2,IF((C703+D703)/2&gt;=33,1,0)))))))</f>
        <v/>
      </c>
      <c r="AD703">
        <f>IF(E703+F703&lt;66,0,IF((E703+F703)/2&gt;=80,5,IF((E703+F703)/2&gt;=70,4,IF((E703+F703)/2&gt;=60,3.5,IF((E703+F703)/2&gt;=50,3,IF((E703+F703)/2&gt;=40,2,IF((E703+F703)/2&gt;=33,1,0)))))))</f>
        <v/>
      </c>
      <c r="AE703">
        <f>IF(G703&lt;33,0,IF(G703&gt;=80,5,IF(G703&gt;=70,4,IF(G703&gt;=60,3.5,IF(G703&gt;=50,3,IF(G703&gt;=40,2,IF(G703&gt;=33,1,0)))))))</f>
        <v/>
      </c>
      <c r="AF703">
        <f>IF(H703+I703&lt;66,0,IF((H703+I703)/2&gt;=80,5,IF((H703+I703)/2&gt;=70,4,IF((H703+I703)/2&gt;=60,3.5,IF((H703+I703)/2&gt;=50,3,IF((H703+I703)/2&gt;=40,2,IF((H703+I703)/2&gt;=33,1,0)))))))</f>
        <v/>
      </c>
      <c r="AG703">
        <f>IF(Y703,0,IF((J703+K703+L703+M703)/2&gt;=80,5,IF((J703+K703+L703+M703)/2&gt;=70,4,IF((J703+K703+L703+M703)/2&gt;=60,3.5,IF((J703+K703+L703+M703)/2&gt;=50,3,IF((J703+K703+L703+M703)/2&gt;=40,2,IF((J703+K703+L703+M703)/2&gt;=33,1,0)))))))</f>
        <v/>
      </c>
      <c r="AH703">
        <f>IF(Z703,0,IF(N703+O703&gt;=80,5,IF(N703+O703&gt;=70,4,IF(N703+O703&gt;=60,3.5,IF(N703+O703&gt;=50,3,IF(N703+O703&gt;=40,2,IF(N703+O703&gt;=33,1,0)))))))</f>
        <v/>
      </c>
      <c r="AI703">
        <f>IF(AA703,0,IF(P703+Q703&gt;=80,5,IF(P703+Q703&gt;=70,4,IF(P703+Q703&gt;=60,3.5,IF(P703+Q703&gt;=50,3,IF(P703+Q703&gt;=40,2,IF(P703+Q703&gt;=33,1,0)))))))</f>
        <v/>
      </c>
      <c r="AJ703">
        <f>IF(R703&lt;8.25,0,IF(R703*2&gt;=80,5,IF(R703*2&gt;=70,4,IF(R703*2&gt;=60,3.5,IF(R703*2&gt;=50,3,IF(R703*2&gt;=40,2,IF(R703*2&gt;=33,1,0)))))))</f>
        <v/>
      </c>
      <c r="AK703">
        <f>IF(S703&lt;33,0,IF(S703&gt;=80,5,IF(S703&gt;=70,4,IF(S703&gt;=60,3.5,IF(S703&gt;=50,3,IF(S703&gt;=40,2,IF(S703&gt;=33,1,0)))))))</f>
        <v/>
      </c>
      <c r="AL703">
        <f>(AC703+AD703+AE703+AF703+AG703+AH703+AI703+AJ703)/8</f>
        <v/>
      </c>
      <c r="AM703">
        <f>IF(AK703&gt;=2,(AK703-2)/8,0)</f>
        <v/>
      </c>
    </row>
    <row r="704">
      <c r="T704">
        <f>SUM(C704:R704)</f>
        <v/>
      </c>
      <c r="U704" s="6">
        <f>ROUND(T704/11.5,2)</f>
        <v/>
      </c>
      <c r="V704" s="7">
        <f>IF(B704="","",IF(AB704,0,ROUND(AL704,2)))</f>
        <v/>
      </c>
      <c r="W704" s="7">
        <f>IF(B704="","",IF(AB704,0,MIN(5,ROUND(AL704+AM704,2))))</f>
        <v/>
      </c>
      <c r="X704" s="8">
        <f>IF(B704="","",IF(W704&gt;=5,"A+",IF(W704&gt;=4,"A",IF(W704&gt;=3.5,"A-",IF(W704&gt;=3,"B",IF(W704&gt;=2,"C",IF(W704&gt;=1,"D","F")))))))</f>
        <v/>
      </c>
      <c r="Y704">
        <f>NOT(OR(AND(J704&gt;=10,K704&gt;=23,L704&gt;=10,M704&gt;=23),AND(J704+L704&gt;=20,K704+M704&gt;=46)))</f>
        <v/>
      </c>
      <c r="Z704">
        <f>OR(N704&lt;10,O704&lt;23)</f>
        <v/>
      </c>
      <c r="AA704">
        <f>OR(P704&lt;10,Q704&lt;23)</f>
        <v/>
      </c>
      <c r="AB704">
        <f>OR((C704+D704)&lt;66,(E704+F704)&lt;66,G704&lt;33,(H704+I704)&lt;66,Y704,Z704,AA704,R704&lt;8.25)</f>
        <v/>
      </c>
      <c r="AC704">
        <f>IF(C704+D704&lt;66,0,IF((C704+D704)/2&gt;=80,5,IF((C704+D704)/2&gt;=70,4,IF((C704+D704)/2&gt;=60,3.5,IF((C704+D704)/2&gt;=50,3,IF((C704+D704)/2&gt;=40,2,IF((C704+D704)/2&gt;=33,1,0)))))))</f>
        <v/>
      </c>
      <c r="AD704">
        <f>IF(E704+F704&lt;66,0,IF((E704+F704)/2&gt;=80,5,IF((E704+F704)/2&gt;=70,4,IF((E704+F704)/2&gt;=60,3.5,IF((E704+F704)/2&gt;=50,3,IF((E704+F704)/2&gt;=40,2,IF((E704+F704)/2&gt;=33,1,0)))))))</f>
        <v/>
      </c>
      <c r="AE704">
        <f>IF(G704&lt;33,0,IF(G704&gt;=80,5,IF(G704&gt;=70,4,IF(G704&gt;=60,3.5,IF(G704&gt;=50,3,IF(G704&gt;=40,2,IF(G704&gt;=33,1,0)))))))</f>
        <v/>
      </c>
      <c r="AF704">
        <f>IF(H704+I704&lt;66,0,IF((H704+I704)/2&gt;=80,5,IF((H704+I704)/2&gt;=70,4,IF((H704+I704)/2&gt;=60,3.5,IF((H704+I704)/2&gt;=50,3,IF((H704+I704)/2&gt;=40,2,IF((H704+I704)/2&gt;=33,1,0)))))))</f>
        <v/>
      </c>
      <c r="AG704">
        <f>IF(Y704,0,IF((J704+K704+L704+M704)/2&gt;=80,5,IF((J704+K704+L704+M704)/2&gt;=70,4,IF((J704+K704+L704+M704)/2&gt;=60,3.5,IF((J704+K704+L704+M704)/2&gt;=50,3,IF((J704+K704+L704+M704)/2&gt;=40,2,IF((J704+K704+L704+M704)/2&gt;=33,1,0)))))))</f>
        <v/>
      </c>
      <c r="AH704">
        <f>IF(Z704,0,IF(N704+O704&gt;=80,5,IF(N704+O704&gt;=70,4,IF(N704+O704&gt;=60,3.5,IF(N704+O704&gt;=50,3,IF(N704+O704&gt;=40,2,IF(N704+O704&gt;=33,1,0)))))))</f>
        <v/>
      </c>
      <c r="AI704">
        <f>IF(AA704,0,IF(P704+Q704&gt;=80,5,IF(P704+Q704&gt;=70,4,IF(P704+Q704&gt;=60,3.5,IF(P704+Q704&gt;=50,3,IF(P704+Q704&gt;=40,2,IF(P704+Q704&gt;=33,1,0)))))))</f>
        <v/>
      </c>
      <c r="AJ704">
        <f>IF(R704&lt;8.25,0,IF(R704*2&gt;=80,5,IF(R704*2&gt;=70,4,IF(R704*2&gt;=60,3.5,IF(R704*2&gt;=50,3,IF(R704*2&gt;=40,2,IF(R704*2&gt;=33,1,0)))))))</f>
        <v/>
      </c>
      <c r="AK704">
        <f>IF(S704&lt;33,0,IF(S704&gt;=80,5,IF(S704&gt;=70,4,IF(S704&gt;=60,3.5,IF(S704&gt;=50,3,IF(S704&gt;=40,2,IF(S704&gt;=33,1,0)))))))</f>
        <v/>
      </c>
      <c r="AL704">
        <f>(AC704+AD704+AE704+AF704+AG704+AH704+AI704+AJ704)/8</f>
        <v/>
      </c>
      <c r="AM704">
        <f>IF(AK704&gt;=2,(AK704-2)/8,0)</f>
        <v/>
      </c>
    </row>
    <row r="705">
      <c r="T705">
        <f>SUM(C705:R705)</f>
        <v/>
      </c>
      <c r="U705" s="6">
        <f>ROUND(T705/11.5,2)</f>
        <v/>
      </c>
      <c r="V705" s="7">
        <f>IF(B705="","",IF(AB705,0,ROUND(AL705,2)))</f>
        <v/>
      </c>
      <c r="W705" s="7">
        <f>IF(B705="","",IF(AB705,0,MIN(5,ROUND(AL705+AM705,2))))</f>
        <v/>
      </c>
      <c r="X705" s="8">
        <f>IF(B705="","",IF(W705&gt;=5,"A+",IF(W705&gt;=4,"A",IF(W705&gt;=3.5,"A-",IF(W705&gt;=3,"B",IF(W705&gt;=2,"C",IF(W705&gt;=1,"D","F")))))))</f>
        <v/>
      </c>
      <c r="Y705">
        <f>NOT(OR(AND(J705&gt;=10,K705&gt;=23,L705&gt;=10,M705&gt;=23),AND(J705+L705&gt;=20,K705+M705&gt;=46)))</f>
        <v/>
      </c>
      <c r="Z705">
        <f>OR(N705&lt;10,O705&lt;23)</f>
        <v/>
      </c>
      <c r="AA705">
        <f>OR(P705&lt;10,Q705&lt;23)</f>
        <v/>
      </c>
      <c r="AB705">
        <f>OR((C705+D705)&lt;66,(E705+F705)&lt;66,G705&lt;33,(H705+I705)&lt;66,Y705,Z705,AA705,R705&lt;8.25)</f>
        <v/>
      </c>
      <c r="AC705">
        <f>IF(C705+D705&lt;66,0,IF((C705+D705)/2&gt;=80,5,IF((C705+D705)/2&gt;=70,4,IF((C705+D705)/2&gt;=60,3.5,IF((C705+D705)/2&gt;=50,3,IF((C705+D705)/2&gt;=40,2,IF((C705+D705)/2&gt;=33,1,0)))))))</f>
        <v/>
      </c>
      <c r="AD705">
        <f>IF(E705+F705&lt;66,0,IF((E705+F705)/2&gt;=80,5,IF((E705+F705)/2&gt;=70,4,IF((E705+F705)/2&gt;=60,3.5,IF((E705+F705)/2&gt;=50,3,IF((E705+F705)/2&gt;=40,2,IF((E705+F705)/2&gt;=33,1,0)))))))</f>
        <v/>
      </c>
      <c r="AE705">
        <f>IF(G705&lt;33,0,IF(G705&gt;=80,5,IF(G705&gt;=70,4,IF(G705&gt;=60,3.5,IF(G705&gt;=50,3,IF(G705&gt;=40,2,IF(G705&gt;=33,1,0)))))))</f>
        <v/>
      </c>
      <c r="AF705">
        <f>IF(H705+I705&lt;66,0,IF((H705+I705)/2&gt;=80,5,IF((H705+I705)/2&gt;=70,4,IF((H705+I705)/2&gt;=60,3.5,IF((H705+I705)/2&gt;=50,3,IF((H705+I705)/2&gt;=40,2,IF((H705+I705)/2&gt;=33,1,0)))))))</f>
        <v/>
      </c>
      <c r="AG705">
        <f>IF(Y705,0,IF((J705+K705+L705+M705)/2&gt;=80,5,IF((J705+K705+L705+M705)/2&gt;=70,4,IF((J705+K705+L705+M705)/2&gt;=60,3.5,IF((J705+K705+L705+M705)/2&gt;=50,3,IF((J705+K705+L705+M705)/2&gt;=40,2,IF((J705+K705+L705+M705)/2&gt;=33,1,0)))))))</f>
        <v/>
      </c>
      <c r="AH705">
        <f>IF(Z705,0,IF(N705+O705&gt;=80,5,IF(N705+O705&gt;=70,4,IF(N705+O705&gt;=60,3.5,IF(N705+O705&gt;=50,3,IF(N705+O705&gt;=40,2,IF(N705+O705&gt;=33,1,0)))))))</f>
        <v/>
      </c>
      <c r="AI705">
        <f>IF(AA705,0,IF(P705+Q705&gt;=80,5,IF(P705+Q705&gt;=70,4,IF(P705+Q705&gt;=60,3.5,IF(P705+Q705&gt;=50,3,IF(P705+Q705&gt;=40,2,IF(P705+Q705&gt;=33,1,0)))))))</f>
        <v/>
      </c>
      <c r="AJ705">
        <f>IF(R705&lt;8.25,0,IF(R705*2&gt;=80,5,IF(R705*2&gt;=70,4,IF(R705*2&gt;=60,3.5,IF(R705*2&gt;=50,3,IF(R705*2&gt;=40,2,IF(R705*2&gt;=33,1,0)))))))</f>
        <v/>
      </c>
      <c r="AK705">
        <f>IF(S705&lt;33,0,IF(S705&gt;=80,5,IF(S705&gt;=70,4,IF(S705&gt;=60,3.5,IF(S705&gt;=50,3,IF(S705&gt;=40,2,IF(S705&gt;=33,1,0)))))))</f>
        <v/>
      </c>
      <c r="AL705">
        <f>(AC705+AD705+AE705+AF705+AG705+AH705+AI705+AJ705)/8</f>
        <v/>
      </c>
      <c r="AM705">
        <f>IF(AK705&gt;=2,(AK705-2)/8,0)</f>
        <v/>
      </c>
    </row>
    <row r="706">
      <c r="T706">
        <f>SUM(C706:R706)</f>
        <v/>
      </c>
      <c r="U706" s="6">
        <f>ROUND(T706/11.5,2)</f>
        <v/>
      </c>
      <c r="V706" s="7">
        <f>IF(B706="","",IF(AB706,0,ROUND(AL706,2)))</f>
        <v/>
      </c>
      <c r="W706" s="7">
        <f>IF(B706="","",IF(AB706,0,MIN(5,ROUND(AL706+AM706,2))))</f>
        <v/>
      </c>
      <c r="X706" s="8">
        <f>IF(B706="","",IF(W706&gt;=5,"A+",IF(W706&gt;=4,"A",IF(W706&gt;=3.5,"A-",IF(W706&gt;=3,"B",IF(W706&gt;=2,"C",IF(W706&gt;=1,"D","F")))))))</f>
        <v/>
      </c>
      <c r="Y706">
        <f>NOT(OR(AND(J706&gt;=10,K706&gt;=23,L706&gt;=10,M706&gt;=23),AND(J706+L706&gt;=20,K706+M706&gt;=46)))</f>
        <v/>
      </c>
      <c r="Z706">
        <f>OR(N706&lt;10,O706&lt;23)</f>
        <v/>
      </c>
      <c r="AA706">
        <f>OR(P706&lt;10,Q706&lt;23)</f>
        <v/>
      </c>
      <c r="AB706">
        <f>OR((C706+D706)&lt;66,(E706+F706)&lt;66,G706&lt;33,(H706+I706)&lt;66,Y706,Z706,AA706,R706&lt;8.25)</f>
        <v/>
      </c>
      <c r="AC706">
        <f>IF(C706+D706&lt;66,0,IF((C706+D706)/2&gt;=80,5,IF((C706+D706)/2&gt;=70,4,IF((C706+D706)/2&gt;=60,3.5,IF((C706+D706)/2&gt;=50,3,IF((C706+D706)/2&gt;=40,2,IF((C706+D706)/2&gt;=33,1,0)))))))</f>
        <v/>
      </c>
      <c r="AD706">
        <f>IF(E706+F706&lt;66,0,IF((E706+F706)/2&gt;=80,5,IF((E706+F706)/2&gt;=70,4,IF((E706+F706)/2&gt;=60,3.5,IF((E706+F706)/2&gt;=50,3,IF((E706+F706)/2&gt;=40,2,IF((E706+F706)/2&gt;=33,1,0)))))))</f>
        <v/>
      </c>
      <c r="AE706">
        <f>IF(G706&lt;33,0,IF(G706&gt;=80,5,IF(G706&gt;=70,4,IF(G706&gt;=60,3.5,IF(G706&gt;=50,3,IF(G706&gt;=40,2,IF(G706&gt;=33,1,0)))))))</f>
        <v/>
      </c>
      <c r="AF706">
        <f>IF(H706+I706&lt;66,0,IF((H706+I706)/2&gt;=80,5,IF((H706+I706)/2&gt;=70,4,IF((H706+I706)/2&gt;=60,3.5,IF((H706+I706)/2&gt;=50,3,IF((H706+I706)/2&gt;=40,2,IF((H706+I706)/2&gt;=33,1,0)))))))</f>
        <v/>
      </c>
      <c r="AG706">
        <f>IF(Y706,0,IF((J706+K706+L706+M706)/2&gt;=80,5,IF((J706+K706+L706+M706)/2&gt;=70,4,IF((J706+K706+L706+M706)/2&gt;=60,3.5,IF((J706+K706+L706+M706)/2&gt;=50,3,IF((J706+K706+L706+M706)/2&gt;=40,2,IF((J706+K706+L706+M706)/2&gt;=33,1,0)))))))</f>
        <v/>
      </c>
      <c r="AH706">
        <f>IF(Z706,0,IF(N706+O706&gt;=80,5,IF(N706+O706&gt;=70,4,IF(N706+O706&gt;=60,3.5,IF(N706+O706&gt;=50,3,IF(N706+O706&gt;=40,2,IF(N706+O706&gt;=33,1,0)))))))</f>
        <v/>
      </c>
      <c r="AI706">
        <f>IF(AA706,0,IF(P706+Q706&gt;=80,5,IF(P706+Q706&gt;=70,4,IF(P706+Q706&gt;=60,3.5,IF(P706+Q706&gt;=50,3,IF(P706+Q706&gt;=40,2,IF(P706+Q706&gt;=33,1,0)))))))</f>
        <v/>
      </c>
      <c r="AJ706">
        <f>IF(R706&lt;8.25,0,IF(R706*2&gt;=80,5,IF(R706*2&gt;=70,4,IF(R706*2&gt;=60,3.5,IF(R706*2&gt;=50,3,IF(R706*2&gt;=40,2,IF(R706*2&gt;=33,1,0)))))))</f>
        <v/>
      </c>
      <c r="AK706">
        <f>IF(S706&lt;33,0,IF(S706&gt;=80,5,IF(S706&gt;=70,4,IF(S706&gt;=60,3.5,IF(S706&gt;=50,3,IF(S706&gt;=40,2,IF(S706&gt;=33,1,0)))))))</f>
        <v/>
      </c>
      <c r="AL706">
        <f>(AC706+AD706+AE706+AF706+AG706+AH706+AI706+AJ706)/8</f>
        <v/>
      </c>
      <c r="AM706">
        <f>IF(AK706&gt;=2,(AK706-2)/8,0)</f>
        <v/>
      </c>
    </row>
    <row r="707">
      <c r="T707">
        <f>SUM(C707:R707)</f>
        <v/>
      </c>
      <c r="U707" s="6">
        <f>ROUND(T707/11.5,2)</f>
        <v/>
      </c>
      <c r="V707" s="7">
        <f>IF(B707="","",IF(AB707,0,ROUND(AL707,2)))</f>
        <v/>
      </c>
      <c r="W707" s="7">
        <f>IF(B707="","",IF(AB707,0,MIN(5,ROUND(AL707+AM707,2))))</f>
        <v/>
      </c>
      <c r="X707" s="8">
        <f>IF(B707="","",IF(W707&gt;=5,"A+",IF(W707&gt;=4,"A",IF(W707&gt;=3.5,"A-",IF(W707&gt;=3,"B",IF(W707&gt;=2,"C",IF(W707&gt;=1,"D","F")))))))</f>
        <v/>
      </c>
      <c r="Y707">
        <f>NOT(OR(AND(J707&gt;=10,K707&gt;=23,L707&gt;=10,M707&gt;=23),AND(J707+L707&gt;=20,K707+M707&gt;=46)))</f>
        <v/>
      </c>
      <c r="Z707">
        <f>OR(N707&lt;10,O707&lt;23)</f>
        <v/>
      </c>
      <c r="AA707">
        <f>OR(P707&lt;10,Q707&lt;23)</f>
        <v/>
      </c>
      <c r="AB707">
        <f>OR((C707+D707)&lt;66,(E707+F707)&lt;66,G707&lt;33,(H707+I707)&lt;66,Y707,Z707,AA707,R707&lt;8.25)</f>
        <v/>
      </c>
      <c r="AC707">
        <f>IF(C707+D707&lt;66,0,IF((C707+D707)/2&gt;=80,5,IF((C707+D707)/2&gt;=70,4,IF((C707+D707)/2&gt;=60,3.5,IF((C707+D707)/2&gt;=50,3,IF((C707+D707)/2&gt;=40,2,IF((C707+D707)/2&gt;=33,1,0)))))))</f>
        <v/>
      </c>
      <c r="AD707">
        <f>IF(E707+F707&lt;66,0,IF((E707+F707)/2&gt;=80,5,IF((E707+F707)/2&gt;=70,4,IF((E707+F707)/2&gt;=60,3.5,IF((E707+F707)/2&gt;=50,3,IF((E707+F707)/2&gt;=40,2,IF((E707+F707)/2&gt;=33,1,0)))))))</f>
        <v/>
      </c>
      <c r="AE707">
        <f>IF(G707&lt;33,0,IF(G707&gt;=80,5,IF(G707&gt;=70,4,IF(G707&gt;=60,3.5,IF(G707&gt;=50,3,IF(G707&gt;=40,2,IF(G707&gt;=33,1,0)))))))</f>
        <v/>
      </c>
      <c r="AF707">
        <f>IF(H707+I707&lt;66,0,IF((H707+I707)/2&gt;=80,5,IF((H707+I707)/2&gt;=70,4,IF((H707+I707)/2&gt;=60,3.5,IF((H707+I707)/2&gt;=50,3,IF((H707+I707)/2&gt;=40,2,IF((H707+I707)/2&gt;=33,1,0)))))))</f>
        <v/>
      </c>
      <c r="AG707">
        <f>IF(Y707,0,IF((J707+K707+L707+M707)/2&gt;=80,5,IF((J707+K707+L707+M707)/2&gt;=70,4,IF((J707+K707+L707+M707)/2&gt;=60,3.5,IF((J707+K707+L707+M707)/2&gt;=50,3,IF((J707+K707+L707+M707)/2&gt;=40,2,IF((J707+K707+L707+M707)/2&gt;=33,1,0)))))))</f>
        <v/>
      </c>
      <c r="AH707">
        <f>IF(Z707,0,IF(N707+O707&gt;=80,5,IF(N707+O707&gt;=70,4,IF(N707+O707&gt;=60,3.5,IF(N707+O707&gt;=50,3,IF(N707+O707&gt;=40,2,IF(N707+O707&gt;=33,1,0)))))))</f>
        <v/>
      </c>
      <c r="AI707">
        <f>IF(AA707,0,IF(P707+Q707&gt;=80,5,IF(P707+Q707&gt;=70,4,IF(P707+Q707&gt;=60,3.5,IF(P707+Q707&gt;=50,3,IF(P707+Q707&gt;=40,2,IF(P707+Q707&gt;=33,1,0)))))))</f>
        <v/>
      </c>
      <c r="AJ707">
        <f>IF(R707&lt;8.25,0,IF(R707*2&gt;=80,5,IF(R707*2&gt;=70,4,IF(R707*2&gt;=60,3.5,IF(R707*2&gt;=50,3,IF(R707*2&gt;=40,2,IF(R707*2&gt;=33,1,0)))))))</f>
        <v/>
      </c>
      <c r="AK707">
        <f>IF(S707&lt;33,0,IF(S707&gt;=80,5,IF(S707&gt;=70,4,IF(S707&gt;=60,3.5,IF(S707&gt;=50,3,IF(S707&gt;=40,2,IF(S707&gt;=33,1,0)))))))</f>
        <v/>
      </c>
      <c r="AL707">
        <f>(AC707+AD707+AE707+AF707+AG707+AH707+AI707+AJ707)/8</f>
        <v/>
      </c>
      <c r="AM707">
        <f>IF(AK707&gt;=2,(AK707-2)/8,0)</f>
        <v/>
      </c>
    </row>
    <row r="708">
      <c r="T708">
        <f>SUM(C708:R708)</f>
        <v/>
      </c>
      <c r="U708" s="6">
        <f>ROUND(T708/11.5,2)</f>
        <v/>
      </c>
      <c r="V708" s="7">
        <f>IF(B708="","",IF(AB708,0,ROUND(AL708,2)))</f>
        <v/>
      </c>
      <c r="W708" s="7">
        <f>IF(B708="","",IF(AB708,0,MIN(5,ROUND(AL708+AM708,2))))</f>
        <v/>
      </c>
      <c r="X708" s="8">
        <f>IF(B708="","",IF(W708&gt;=5,"A+",IF(W708&gt;=4,"A",IF(W708&gt;=3.5,"A-",IF(W708&gt;=3,"B",IF(W708&gt;=2,"C",IF(W708&gt;=1,"D","F")))))))</f>
        <v/>
      </c>
      <c r="Y708">
        <f>NOT(OR(AND(J708&gt;=10,K708&gt;=23,L708&gt;=10,M708&gt;=23),AND(J708+L708&gt;=20,K708+M708&gt;=46)))</f>
        <v/>
      </c>
      <c r="Z708">
        <f>OR(N708&lt;10,O708&lt;23)</f>
        <v/>
      </c>
      <c r="AA708">
        <f>OR(P708&lt;10,Q708&lt;23)</f>
        <v/>
      </c>
      <c r="AB708">
        <f>OR((C708+D708)&lt;66,(E708+F708)&lt;66,G708&lt;33,(H708+I708)&lt;66,Y708,Z708,AA708,R708&lt;8.25)</f>
        <v/>
      </c>
      <c r="AC708">
        <f>IF(C708+D708&lt;66,0,IF((C708+D708)/2&gt;=80,5,IF((C708+D708)/2&gt;=70,4,IF((C708+D708)/2&gt;=60,3.5,IF((C708+D708)/2&gt;=50,3,IF((C708+D708)/2&gt;=40,2,IF((C708+D708)/2&gt;=33,1,0)))))))</f>
        <v/>
      </c>
      <c r="AD708">
        <f>IF(E708+F708&lt;66,0,IF((E708+F708)/2&gt;=80,5,IF((E708+F708)/2&gt;=70,4,IF((E708+F708)/2&gt;=60,3.5,IF((E708+F708)/2&gt;=50,3,IF((E708+F708)/2&gt;=40,2,IF((E708+F708)/2&gt;=33,1,0)))))))</f>
        <v/>
      </c>
      <c r="AE708">
        <f>IF(G708&lt;33,0,IF(G708&gt;=80,5,IF(G708&gt;=70,4,IF(G708&gt;=60,3.5,IF(G708&gt;=50,3,IF(G708&gt;=40,2,IF(G708&gt;=33,1,0)))))))</f>
        <v/>
      </c>
      <c r="AF708">
        <f>IF(H708+I708&lt;66,0,IF((H708+I708)/2&gt;=80,5,IF((H708+I708)/2&gt;=70,4,IF((H708+I708)/2&gt;=60,3.5,IF((H708+I708)/2&gt;=50,3,IF((H708+I708)/2&gt;=40,2,IF((H708+I708)/2&gt;=33,1,0)))))))</f>
        <v/>
      </c>
      <c r="AG708">
        <f>IF(Y708,0,IF((J708+K708+L708+M708)/2&gt;=80,5,IF((J708+K708+L708+M708)/2&gt;=70,4,IF((J708+K708+L708+M708)/2&gt;=60,3.5,IF((J708+K708+L708+M708)/2&gt;=50,3,IF((J708+K708+L708+M708)/2&gt;=40,2,IF((J708+K708+L708+M708)/2&gt;=33,1,0)))))))</f>
        <v/>
      </c>
      <c r="AH708">
        <f>IF(Z708,0,IF(N708+O708&gt;=80,5,IF(N708+O708&gt;=70,4,IF(N708+O708&gt;=60,3.5,IF(N708+O708&gt;=50,3,IF(N708+O708&gt;=40,2,IF(N708+O708&gt;=33,1,0)))))))</f>
        <v/>
      </c>
      <c r="AI708">
        <f>IF(AA708,0,IF(P708+Q708&gt;=80,5,IF(P708+Q708&gt;=70,4,IF(P708+Q708&gt;=60,3.5,IF(P708+Q708&gt;=50,3,IF(P708+Q708&gt;=40,2,IF(P708+Q708&gt;=33,1,0)))))))</f>
        <v/>
      </c>
      <c r="AJ708">
        <f>IF(R708&lt;8.25,0,IF(R708*2&gt;=80,5,IF(R708*2&gt;=70,4,IF(R708*2&gt;=60,3.5,IF(R708*2&gt;=50,3,IF(R708*2&gt;=40,2,IF(R708*2&gt;=33,1,0)))))))</f>
        <v/>
      </c>
      <c r="AK708">
        <f>IF(S708&lt;33,0,IF(S708&gt;=80,5,IF(S708&gt;=70,4,IF(S708&gt;=60,3.5,IF(S708&gt;=50,3,IF(S708&gt;=40,2,IF(S708&gt;=33,1,0)))))))</f>
        <v/>
      </c>
      <c r="AL708">
        <f>(AC708+AD708+AE708+AF708+AG708+AH708+AI708+AJ708)/8</f>
        <v/>
      </c>
      <c r="AM708">
        <f>IF(AK708&gt;=2,(AK708-2)/8,0)</f>
        <v/>
      </c>
    </row>
    <row r="709">
      <c r="T709">
        <f>SUM(C709:R709)</f>
        <v/>
      </c>
      <c r="U709" s="6">
        <f>ROUND(T709/11.5,2)</f>
        <v/>
      </c>
      <c r="V709" s="7">
        <f>IF(B709="","",IF(AB709,0,ROUND(AL709,2)))</f>
        <v/>
      </c>
      <c r="W709" s="7">
        <f>IF(B709="","",IF(AB709,0,MIN(5,ROUND(AL709+AM709,2))))</f>
        <v/>
      </c>
      <c r="X709" s="8">
        <f>IF(B709="","",IF(W709&gt;=5,"A+",IF(W709&gt;=4,"A",IF(W709&gt;=3.5,"A-",IF(W709&gt;=3,"B",IF(W709&gt;=2,"C",IF(W709&gt;=1,"D","F")))))))</f>
        <v/>
      </c>
      <c r="Y709">
        <f>NOT(OR(AND(J709&gt;=10,K709&gt;=23,L709&gt;=10,M709&gt;=23),AND(J709+L709&gt;=20,K709+M709&gt;=46)))</f>
        <v/>
      </c>
      <c r="Z709">
        <f>OR(N709&lt;10,O709&lt;23)</f>
        <v/>
      </c>
      <c r="AA709">
        <f>OR(P709&lt;10,Q709&lt;23)</f>
        <v/>
      </c>
      <c r="AB709">
        <f>OR((C709+D709)&lt;66,(E709+F709)&lt;66,G709&lt;33,(H709+I709)&lt;66,Y709,Z709,AA709,R709&lt;8.25)</f>
        <v/>
      </c>
      <c r="AC709">
        <f>IF(C709+D709&lt;66,0,IF((C709+D709)/2&gt;=80,5,IF((C709+D709)/2&gt;=70,4,IF((C709+D709)/2&gt;=60,3.5,IF((C709+D709)/2&gt;=50,3,IF((C709+D709)/2&gt;=40,2,IF((C709+D709)/2&gt;=33,1,0)))))))</f>
        <v/>
      </c>
      <c r="AD709">
        <f>IF(E709+F709&lt;66,0,IF((E709+F709)/2&gt;=80,5,IF((E709+F709)/2&gt;=70,4,IF((E709+F709)/2&gt;=60,3.5,IF((E709+F709)/2&gt;=50,3,IF((E709+F709)/2&gt;=40,2,IF((E709+F709)/2&gt;=33,1,0)))))))</f>
        <v/>
      </c>
      <c r="AE709">
        <f>IF(G709&lt;33,0,IF(G709&gt;=80,5,IF(G709&gt;=70,4,IF(G709&gt;=60,3.5,IF(G709&gt;=50,3,IF(G709&gt;=40,2,IF(G709&gt;=33,1,0)))))))</f>
        <v/>
      </c>
      <c r="AF709">
        <f>IF(H709+I709&lt;66,0,IF((H709+I709)/2&gt;=80,5,IF((H709+I709)/2&gt;=70,4,IF((H709+I709)/2&gt;=60,3.5,IF((H709+I709)/2&gt;=50,3,IF((H709+I709)/2&gt;=40,2,IF((H709+I709)/2&gt;=33,1,0)))))))</f>
        <v/>
      </c>
      <c r="AG709">
        <f>IF(Y709,0,IF((J709+K709+L709+M709)/2&gt;=80,5,IF((J709+K709+L709+M709)/2&gt;=70,4,IF((J709+K709+L709+M709)/2&gt;=60,3.5,IF((J709+K709+L709+M709)/2&gt;=50,3,IF((J709+K709+L709+M709)/2&gt;=40,2,IF((J709+K709+L709+M709)/2&gt;=33,1,0)))))))</f>
        <v/>
      </c>
      <c r="AH709">
        <f>IF(Z709,0,IF(N709+O709&gt;=80,5,IF(N709+O709&gt;=70,4,IF(N709+O709&gt;=60,3.5,IF(N709+O709&gt;=50,3,IF(N709+O709&gt;=40,2,IF(N709+O709&gt;=33,1,0)))))))</f>
        <v/>
      </c>
      <c r="AI709">
        <f>IF(AA709,0,IF(P709+Q709&gt;=80,5,IF(P709+Q709&gt;=70,4,IF(P709+Q709&gt;=60,3.5,IF(P709+Q709&gt;=50,3,IF(P709+Q709&gt;=40,2,IF(P709+Q709&gt;=33,1,0)))))))</f>
        <v/>
      </c>
      <c r="AJ709">
        <f>IF(R709&lt;8.25,0,IF(R709*2&gt;=80,5,IF(R709*2&gt;=70,4,IF(R709*2&gt;=60,3.5,IF(R709*2&gt;=50,3,IF(R709*2&gt;=40,2,IF(R709*2&gt;=33,1,0)))))))</f>
        <v/>
      </c>
      <c r="AK709">
        <f>IF(S709&lt;33,0,IF(S709&gt;=80,5,IF(S709&gt;=70,4,IF(S709&gt;=60,3.5,IF(S709&gt;=50,3,IF(S709&gt;=40,2,IF(S709&gt;=33,1,0)))))))</f>
        <v/>
      </c>
      <c r="AL709">
        <f>(AC709+AD709+AE709+AF709+AG709+AH709+AI709+AJ709)/8</f>
        <v/>
      </c>
      <c r="AM709">
        <f>IF(AK709&gt;=2,(AK709-2)/8,0)</f>
        <v/>
      </c>
    </row>
    <row r="710">
      <c r="T710">
        <f>SUM(C710:R710)</f>
        <v/>
      </c>
      <c r="U710" s="6">
        <f>ROUND(T710/11.5,2)</f>
        <v/>
      </c>
      <c r="V710" s="7">
        <f>IF(B710="","",IF(AB710,0,ROUND(AL710,2)))</f>
        <v/>
      </c>
      <c r="W710" s="7">
        <f>IF(B710="","",IF(AB710,0,MIN(5,ROUND(AL710+AM710,2))))</f>
        <v/>
      </c>
      <c r="X710" s="8">
        <f>IF(B710="","",IF(W710&gt;=5,"A+",IF(W710&gt;=4,"A",IF(W710&gt;=3.5,"A-",IF(W710&gt;=3,"B",IF(W710&gt;=2,"C",IF(W710&gt;=1,"D","F")))))))</f>
        <v/>
      </c>
      <c r="Y710">
        <f>NOT(OR(AND(J710&gt;=10,K710&gt;=23,L710&gt;=10,M710&gt;=23),AND(J710+L710&gt;=20,K710+M710&gt;=46)))</f>
        <v/>
      </c>
      <c r="Z710">
        <f>OR(N710&lt;10,O710&lt;23)</f>
        <v/>
      </c>
      <c r="AA710">
        <f>OR(P710&lt;10,Q710&lt;23)</f>
        <v/>
      </c>
      <c r="AB710">
        <f>OR((C710+D710)&lt;66,(E710+F710)&lt;66,G710&lt;33,(H710+I710)&lt;66,Y710,Z710,AA710,R710&lt;8.25)</f>
        <v/>
      </c>
      <c r="AC710">
        <f>IF(C710+D710&lt;66,0,IF((C710+D710)/2&gt;=80,5,IF((C710+D710)/2&gt;=70,4,IF((C710+D710)/2&gt;=60,3.5,IF((C710+D710)/2&gt;=50,3,IF((C710+D710)/2&gt;=40,2,IF((C710+D710)/2&gt;=33,1,0)))))))</f>
        <v/>
      </c>
      <c r="AD710">
        <f>IF(E710+F710&lt;66,0,IF((E710+F710)/2&gt;=80,5,IF((E710+F710)/2&gt;=70,4,IF((E710+F710)/2&gt;=60,3.5,IF((E710+F710)/2&gt;=50,3,IF((E710+F710)/2&gt;=40,2,IF((E710+F710)/2&gt;=33,1,0)))))))</f>
        <v/>
      </c>
      <c r="AE710">
        <f>IF(G710&lt;33,0,IF(G710&gt;=80,5,IF(G710&gt;=70,4,IF(G710&gt;=60,3.5,IF(G710&gt;=50,3,IF(G710&gt;=40,2,IF(G710&gt;=33,1,0)))))))</f>
        <v/>
      </c>
      <c r="AF710">
        <f>IF(H710+I710&lt;66,0,IF((H710+I710)/2&gt;=80,5,IF((H710+I710)/2&gt;=70,4,IF((H710+I710)/2&gt;=60,3.5,IF((H710+I710)/2&gt;=50,3,IF((H710+I710)/2&gt;=40,2,IF((H710+I710)/2&gt;=33,1,0)))))))</f>
        <v/>
      </c>
      <c r="AG710">
        <f>IF(Y710,0,IF((J710+K710+L710+M710)/2&gt;=80,5,IF((J710+K710+L710+M710)/2&gt;=70,4,IF((J710+K710+L710+M710)/2&gt;=60,3.5,IF((J710+K710+L710+M710)/2&gt;=50,3,IF((J710+K710+L710+M710)/2&gt;=40,2,IF((J710+K710+L710+M710)/2&gt;=33,1,0)))))))</f>
        <v/>
      </c>
      <c r="AH710">
        <f>IF(Z710,0,IF(N710+O710&gt;=80,5,IF(N710+O710&gt;=70,4,IF(N710+O710&gt;=60,3.5,IF(N710+O710&gt;=50,3,IF(N710+O710&gt;=40,2,IF(N710+O710&gt;=33,1,0)))))))</f>
        <v/>
      </c>
      <c r="AI710">
        <f>IF(AA710,0,IF(P710+Q710&gt;=80,5,IF(P710+Q710&gt;=70,4,IF(P710+Q710&gt;=60,3.5,IF(P710+Q710&gt;=50,3,IF(P710+Q710&gt;=40,2,IF(P710+Q710&gt;=33,1,0)))))))</f>
        <v/>
      </c>
      <c r="AJ710">
        <f>IF(R710&lt;8.25,0,IF(R710*2&gt;=80,5,IF(R710*2&gt;=70,4,IF(R710*2&gt;=60,3.5,IF(R710*2&gt;=50,3,IF(R710*2&gt;=40,2,IF(R710*2&gt;=33,1,0)))))))</f>
        <v/>
      </c>
      <c r="AK710">
        <f>IF(S710&lt;33,0,IF(S710&gt;=80,5,IF(S710&gt;=70,4,IF(S710&gt;=60,3.5,IF(S710&gt;=50,3,IF(S710&gt;=40,2,IF(S710&gt;=33,1,0)))))))</f>
        <v/>
      </c>
      <c r="AL710">
        <f>(AC710+AD710+AE710+AF710+AG710+AH710+AI710+AJ710)/8</f>
        <v/>
      </c>
      <c r="AM710">
        <f>IF(AK710&gt;=2,(AK710-2)/8,0)</f>
        <v/>
      </c>
    </row>
    <row r="711">
      <c r="T711">
        <f>SUM(C711:R711)</f>
        <v/>
      </c>
      <c r="U711" s="6">
        <f>ROUND(T711/11.5,2)</f>
        <v/>
      </c>
      <c r="V711" s="7">
        <f>IF(B711="","",IF(AB711,0,ROUND(AL711,2)))</f>
        <v/>
      </c>
      <c r="W711" s="7">
        <f>IF(B711="","",IF(AB711,0,MIN(5,ROUND(AL711+AM711,2))))</f>
        <v/>
      </c>
      <c r="X711" s="8">
        <f>IF(B711="","",IF(W711&gt;=5,"A+",IF(W711&gt;=4,"A",IF(W711&gt;=3.5,"A-",IF(W711&gt;=3,"B",IF(W711&gt;=2,"C",IF(W711&gt;=1,"D","F")))))))</f>
        <v/>
      </c>
      <c r="Y711">
        <f>NOT(OR(AND(J711&gt;=10,K711&gt;=23,L711&gt;=10,M711&gt;=23),AND(J711+L711&gt;=20,K711+M711&gt;=46)))</f>
        <v/>
      </c>
      <c r="Z711">
        <f>OR(N711&lt;10,O711&lt;23)</f>
        <v/>
      </c>
      <c r="AA711">
        <f>OR(P711&lt;10,Q711&lt;23)</f>
        <v/>
      </c>
      <c r="AB711">
        <f>OR((C711+D711)&lt;66,(E711+F711)&lt;66,G711&lt;33,(H711+I711)&lt;66,Y711,Z711,AA711,R711&lt;8.25)</f>
        <v/>
      </c>
      <c r="AC711">
        <f>IF(C711+D711&lt;66,0,IF((C711+D711)/2&gt;=80,5,IF((C711+D711)/2&gt;=70,4,IF((C711+D711)/2&gt;=60,3.5,IF((C711+D711)/2&gt;=50,3,IF((C711+D711)/2&gt;=40,2,IF((C711+D711)/2&gt;=33,1,0)))))))</f>
        <v/>
      </c>
      <c r="AD711">
        <f>IF(E711+F711&lt;66,0,IF((E711+F711)/2&gt;=80,5,IF((E711+F711)/2&gt;=70,4,IF((E711+F711)/2&gt;=60,3.5,IF((E711+F711)/2&gt;=50,3,IF((E711+F711)/2&gt;=40,2,IF((E711+F711)/2&gt;=33,1,0)))))))</f>
        <v/>
      </c>
      <c r="AE711">
        <f>IF(G711&lt;33,0,IF(G711&gt;=80,5,IF(G711&gt;=70,4,IF(G711&gt;=60,3.5,IF(G711&gt;=50,3,IF(G711&gt;=40,2,IF(G711&gt;=33,1,0)))))))</f>
        <v/>
      </c>
      <c r="AF711">
        <f>IF(H711+I711&lt;66,0,IF((H711+I711)/2&gt;=80,5,IF((H711+I711)/2&gt;=70,4,IF((H711+I711)/2&gt;=60,3.5,IF((H711+I711)/2&gt;=50,3,IF((H711+I711)/2&gt;=40,2,IF((H711+I711)/2&gt;=33,1,0)))))))</f>
        <v/>
      </c>
      <c r="AG711">
        <f>IF(Y711,0,IF((J711+K711+L711+M711)/2&gt;=80,5,IF((J711+K711+L711+M711)/2&gt;=70,4,IF((J711+K711+L711+M711)/2&gt;=60,3.5,IF((J711+K711+L711+M711)/2&gt;=50,3,IF((J711+K711+L711+M711)/2&gt;=40,2,IF((J711+K711+L711+M711)/2&gt;=33,1,0)))))))</f>
        <v/>
      </c>
      <c r="AH711">
        <f>IF(Z711,0,IF(N711+O711&gt;=80,5,IF(N711+O711&gt;=70,4,IF(N711+O711&gt;=60,3.5,IF(N711+O711&gt;=50,3,IF(N711+O711&gt;=40,2,IF(N711+O711&gt;=33,1,0)))))))</f>
        <v/>
      </c>
      <c r="AI711">
        <f>IF(AA711,0,IF(P711+Q711&gt;=80,5,IF(P711+Q711&gt;=70,4,IF(P711+Q711&gt;=60,3.5,IF(P711+Q711&gt;=50,3,IF(P711+Q711&gt;=40,2,IF(P711+Q711&gt;=33,1,0)))))))</f>
        <v/>
      </c>
      <c r="AJ711">
        <f>IF(R711&lt;8.25,0,IF(R711*2&gt;=80,5,IF(R711*2&gt;=70,4,IF(R711*2&gt;=60,3.5,IF(R711*2&gt;=50,3,IF(R711*2&gt;=40,2,IF(R711*2&gt;=33,1,0)))))))</f>
        <v/>
      </c>
      <c r="AK711">
        <f>IF(S711&lt;33,0,IF(S711&gt;=80,5,IF(S711&gt;=70,4,IF(S711&gt;=60,3.5,IF(S711&gt;=50,3,IF(S711&gt;=40,2,IF(S711&gt;=33,1,0)))))))</f>
        <v/>
      </c>
      <c r="AL711">
        <f>(AC711+AD711+AE711+AF711+AG711+AH711+AI711+AJ711)/8</f>
        <v/>
      </c>
      <c r="AM711">
        <f>IF(AK711&gt;=2,(AK711-2)/8,0)</f>
        <v/>
      </c>
    </row>
    <row r="712">
      <c r="T712">
        <f>SUM(C712:R712)</f>
        <v/>
      </c>
      <c r="U712" s="6">
        <f>ROUND(T712/11.5,2)</f>
        <v/>
      </c>
      <c r="V712" s="7">
        <f>IF(B712="","",IF(AB712,0,ROUND(AL712,2)))</f>
        <v/>
      </c>
      <c r="W712" s="7">
        <f>IF(B712="","",IF(AB712,0,MIN(5,ROUND(AL712+AM712,2))))</f>
        <v/>
      </c>
      <c r="X712" s="8">
        <f>IF(B712="","",IF(W712&gt;=5,"A+",IF(W712&gt;=4,"A",IF(W712&gt;=3.5,"A-",IF(W712&gt;=3,"B",IF(W712&gt;=2,"C",IF(W712&gt;=1,"D","F")))))))</f>
        <v/>
      </c>
      <c r="Y712">
        <f>NOT(OR(AND(J712&gt;=10,K712&gt;=23,L712&gt;=10,M712&gt;=23),AND(J712+L712&gt;=20,K712+M712&gt;=46)))</f>
        <v/>
      </c>
      <c r="Z712">
        <f>OR(N712&lt;10,O712&lt;23)</f>
        <v/>
      </c>
      <c r="AA712">
        <f>OR(P712&lt;10,Q712&lt;23)</f>
        <v/>
      </c>
      <c r="AB712">
        <f>OR((C712+D712)&lt;66,(E712+F712)&lt;66,G712&lt;33,(H712+I712)&lt;66,Y712,Z712,AA712,R712&lt;8.25)</f>
        <v/>
      </c>
      <c r="AC712">
        <f>IF(C712+D712&lt;66,0,IF((C712+D712)/2&gt;=80,5,IF((C712+D712)/2&gt;=70,4,IF((C712+D712)/2&gt;=60,3.5,IF((C712+D712)/2&gt;=50,3,IF((C712+D712)/2&gt;=40,2,IF((C712+D712)/2&gt;=33,1,0)))))))</f>
        <v/>
      </c>
      <c r="AD712">
        <f>IF(E712+F712&lt;66,0,IF((E712+F712)/2&gt;=80,5,IF((E712+F712)/2&gt;=70,4,IF((E712+F712)/2&gt;=60,3.5,IF((E712+F712)/2&gt;=50,3,IF((E712+F712)/2&gt;=40,2,IF((E712+F712)/2&gt;=33,1,0)))))))</f>
        <v/>
      </c>
      <c r="AE712">
        <f>IF(G712&lt;33,0,IF(G712&gt;=80,5,IF(G712&gt;=70,4,IF(G712&gt;=60,3.5,IF(G712&gt;=50,3,IF(G712&gt;=40,2,IF(G712&gt;=33,1,0)))))))</f>
        <v/>
      </c>
      <c r="AF712">
        <f>IF(H712+I712&lt;66,0,IF((H712+I712)/2&gt;=80,5,IF((H712+I712)/2&gt;=70,4,IF((H712+I712)/2&gt;=60,3.5,IF((H712+I712)/2&gt;=50,3,IF((H712+I712)/2&gt;=40,2,IF((H712+I712)/2&gt;=33,1,0)))))))</f>
        <v/>
      </c>
      <c r="AG712">
        <f>IF(Y712,0,IF((J712+K712+L712+M712)/2&gt;=80,5,IF((J712+K712+L712+M712)/2&gt;=70,4,IF((J712+K712+L712+M712)/2&gt;=60,3.5,IF((J712+K712+L712+M712)/2&gt;=50,3,IF((J712+K712+L712+M712)/2&gt;=40,2,IF((J712+K712+L712+M712)/2&gt;=33,1,0)))))))</f>
        <v/>
      </c>
      <c r="AH712">
        <f>IF(Z712,0,IF(N712+O712&gt;=80,5,IF(N712+O712&gt;=70,4,IF(N712+O712&gt;=60,3.5,IF(N712+O712&gt;=50,3,IF(N712+O712&gt;=40,2,IF(N712+O712&gt;=33,1,0)))))))</f>
        <v/>
      </c>
      <c r="AI712">
        <f>IF(AA712,0,IF(P712+Q712&gt;=80,5,IF(P712+Q712&gt;=70,4,IF(P712+Q712&gt;=60,3.5,IF(P712+Q712&gt;=50,3,IF(P712+Q712&gt;=40,2,IF(P712+Q712&gt;=33,1,0)))))))</f>
        <v/>
      </c>
      <c r="AJ712">
        <f>IF(R712&lt;8.25,0,IF(R712*2&gt;=80,5,IF(R712*2&gt;=70,4,IF(R712*2&gt;=60,3.5,IF(R712*2&gt;=50,3,IF(R712*2&gt;=40,2,IF(R712*2&gt;=33,1,0)))))))</f>
        <v/>
      </c>
      <c r="AK712">
        <f>IF(S712&lt;33,0,IF(S712&gt;=80,5,IF(S712&gt;=70,4,IF(S712&gt;=60,3.5,IF(S712&gt;=50,3,IF(S712&gt;=40,2,IF(S712&gt;=33,1,0)))))))</f>
        <v/>
      </c>
      <c r="AL712">
        <f>(AC712+AD712+AE712+AF712+AG712+AH712+AI712+AJ712)/8</f>
        <v/>
      </c>
      <c r="AM712">
        <f>IF(AK712&gt;=2,(AK712-2)/8,0)</f>
        <v/>
      </c>
    </row>
    <row r="713">
      <c r="T713">
        <f>SUM(C713:R713)</f>
        <v/>
      </c>
      <c r="U713" s="6">
        <f>ROUND(T713/11.5,2)</f>
        <v/>
      </c>
      <c r="V713" s="7">
        <f>IF(B713="","",IF(AB713,0,ROUND(AL713,2)))</f>
        <v/>
      </c>
      <c r="W713" s="7">
        <f>IF(B713="","",IF(AB713,0,MIN(5,ROUND(AL713+AM713,2))))</f>
        <v/>
      </c>
      <c r="X713" s="8">
        <f>IF(B713="","",IF(W713&gt;=5,"A+",IF(W713&gt;=4,"A",IF(W713&gt;=3.5,"A-",IF(W713&gt;=3,"B",IF(W713&gt;=2,"C",IF(W713&gt;=1,"D","F")))))))</f>
        <v/>
      </c>
      <c r="Y713">
        <f>NOT(OR(AND(J713&gt;=10,K713&gt;=23,L713&gt;=10,M713&gt;=23),AND(J713+L713&gt;=20,K713+M713&gt;=46)))</f>
        <v/>
      </c>
      <c r="Z713">
        <f>OR(N713&lt;10,O713&lt;23)</f>
        <v/>
      </c>
      <c r="AA713">
        <f>OR(P713&lt;10,Q713&lt;23)</f>
        <v/>
      </c>
      <c r="AB713">
        <f>OR((C713+D713)&lt;66,(E713+F713)&lt;66,G713&lt;33,(H713+I713)&lt;66,Y713,Z713,AA713,R713&lt;8.25)</f>
        <v/>
      </c>
      <c r="AC713">
        <f>IF(C713+D713&lt;66,0,IF((C713+D713)/2&gt;=80,5,IF((C713+D713)/2&gt;=70,4,IF((C713+D713)/2&gt;=60,3.5,IF((C713+D713)/2&gt;=50,3,IF((C713+D713)/2&gt;=40,2,IF((C713+D713)/2&gt;=33,1,0)))))))</f>
        <v/>
      </c>
      <c r="AD713">
        <f>IF(E713+F713&lt;66,0,IF((E713+F713)/2&gt;=80,5,IF((E713+F713)/2&gt;=70,4,IF((E713+F713)/2&gt;=60,3.5,IF((E713+F713)/2&gt;=50,3,IF((E713+F713)/2&gt;=40,2,IF((E713+F713)/2&gt;=33,1,0)))))))</f>
        <v/>
      </c>
      <c r="AE713">
        <f>IF(G713&lt;33,0,IF(G713&gt;=80,5,IF(G713&gt;=70,4,IF(G713&gt;=60,3.5,IF(G713&gt;=50,3,IF(G713&gt;=40,2,IF(G713&gt;=33,1,0)))))))</f>
        <v/>
      </c>
      <c r="AF713">
        <f>IF(H713+I713&lt;66,0,IF((H713+I713)/2&gt;=80,5,IF((H713+I713)/2&gt;=70,4,IF((H713+I713)/2&gt;=60,3.5,IF((H713+I713)/2&gt;=50,3,IF((H713+I713)/2&gt;=40,2,IF((H713+I713)/2&gt;=33,1,0)))))))</f>
        <v/>
      </c>
      <c r="AG713">
        <f>IF(Y713,0,IF((J713+K713+L713+M713)/2&gt;=80,5,IF((J713+K713+L713+M713)/2&gt;=70,4,IF((J713+K713+L713+M713)/2&gt;=60,3.5,IF((J713+K713+L713+M713)/2&gt;=50,3,IF((J713+K713+L713+M713)/2&gt;=40,2,IF((J713+K713+L713+M713)/2&gt;=33,1,0)))))))</f>
        <v/>
      </c>
      <c r="AH713">
        <f>IF(Z713,0,IF(N713+O713&gt;=80,5,IF(N713+O713&gt;=70,4,IF(N713+O713&gt;=60,3.5,IF(N713+O713&gt;=50,3,IF(N713+O713&gt;=40,2,IF(N713+O713&gt;=33,1,0)))))))</f>
        <v/>
      </c>
      <c r="AI713">
        <f>IF(AA713,0,IF(P713+Q713&gt;=80,5,IF(P713+Q713&gt;=70,4,IF(P713+Q713&gt;=60,3.5,IF(P713+Q713&gt;=50,3,IF(P713+Q713&gt;=40,2,IF(P713+Q713&gt;=33,1,0)))))))</f>
        <v/>
      </c>
      <c r="AJ713">
        <f>IF(R713&lt;8.25,0,IF(R713*2&gt;=80,5,IF(R713*2&gt;=70,4,IF(R713*2&gt;=60,3.5,IF(R713*2&gt;=50,3,IF(R713*2&gt;=40,2,IF(R713*2&gt;=33,1,0)))))))</f>
        <v/>
      </c>
      <c r="AK713">
        <f>IF(S713&lt;33,0,IF(S713&gt;=80,5,IF(S713&gt;=70,4,IF(S713&gt;=60,3.5,IF(S713&gt;=50,3,IF(S713&gt;=40,2,IF(S713&gt;=33,1,0)))))))</f>
        <v/>
      </c>
      <c r="AL713">
        <f>(AC713+AD713+AE713+AF713+AG713+AH713+AI713+AJ713)/8</f>
        <v/>
      </c>
      <c r="AM713">
        <f>IF(AK713&gt;=2,(AK713-2)/8,0)</f>
        <v/>
      </c>
    </row>
    <row r="714">
      <c r="T714">
        <f>SUM(C714:R714)</f>
        <v/>
      </c>
      <c r="U714" s="6">
        <f>ROUND(T714/11.5,2)</f>
        <v/>
      </c>
      <c r="V714" s="7">
        <f>IF(B714="","",IF(AB714,0,ROUND(AL714,2)))</f>
        <v/>
      </c>
      <c r="W714" s="7">
        <f>IF(B714="","",IF(AB714,0,MIN(5,ROUND(AL714+AM714,2))))</f>
        <v/>
      </c>
      <c r="X714" s="8">
        <f>IF(B714="","",IF(W714&gt;=5,"A+",IF(W714&gt;=4,"A",IF(W714&gt;=3.5,"A-",IF(W714&gt;=3,"B",IF(W714&gt;=2,"C",IF(W714&gt;=1,"D","F")))))))</f>
        <v/>
      </c>
      <c r="Y714">
        <f>NOT(OR(AND(J714&gt;=10,K714&gt;=23,L714&gt;=10,M714&gt;=23),AND(J714+L714&gt;=20,K714+M714&gt;=46)))</f>
        <v/>
      </c>
      <c r="Z714">
        <f>OR(N714&lt;10,O714&lt;23)</f>
        <v/>
      </c>
      <c r="AA714">
        <f>OR(P714&lt;10,Q714&lt;23)</f>
        <v/>
      </c>
      <c r="AB714">
        <f>OR((C714+D714)&lt;66,(E714+F714)&lt;66,G714&lt;33,(H714+I714)&lt;66,Y714,Z714,AA714,R714&lt;8.25)</f>
        <v/>
      </c>
      <c r="AC714">
        <f>IF(C714+D714&lt;66,0,IF((C714+D714)/2&gt;=80,5,IF((C714+D714)/2&gt;=70,4,IF((C714+D714)/2&gt;=60,3.5,IF((C714+D714)/2&gt;=50,3,IF((C714+D714)/2&gt;=40,2,IF((C714+D714)/2&gt;=33,1,0)))))))</f>
        <v/>
      </c>
      <c r="AD714">
        <f>IF(E714+F714&lt;66,0,IF((E714+F714)/2&gt;=80,5,IF((E714+F714)/2&gt;=70,4,IF((E714+F714)/2&gt;=60,3.5,IF((E714+F714)/2&gt;=50,3,IF((E714+F714)/2&gt;=40,2,IF((E714+F714)/2&gt;=33,1,0)))))))</f>
        <v/>
      </c>
      <c r="AE714">
        <f>IF(G714&lt;33,0,IF(G714&gt;=80,5,IF(G714&gt;=70,4,IF(G714&gt;=60,3.5,IF(G714&gt;=50,3,IF(G714&gt;=40,2,IF(G714&gt;=33,1,0)))))))</f>
        <v/>
      </c>
      <c r="AF714">
        <f>IF(H714+I714&lt;66,0,IF((H714+I714)/2&gt;=80,5,IF((H714+I714)/2&gt;=70,4,IF((H714+I714)/2&gt;=60,3.5,IF((H714+I714)/2&gt;=50,3,IF((H714+I714)/2&gt;=40,2,IF((H714+I714)/2&gt;=33,1,0)))))))</f>
        <v/>
      </c>
      <c r="AG714">
        <f>IF(Y714,0,IF((J714+K714+L714+M714)/2&gt;=80,5,IF((J714+K714+L714+M714)/2&gt;=70,4,IF((J714+K714+L714+M714)/2&gt;=60,3.5,IF((J714+K714+L714+M714)/2&gt;=50,3,IF((J714+K714+L714+M714)/2&gt;=40,2,IF((J714+K714+L714+M714)/2&gt;=33,1,0)))))))</f>
        <v/>
      </c>
      <c r="AH714">
        <f>IF(Z714,0,IF(N714+O714&gt;=80,5,IF(N714+O714&gt;=70,4,IF(N714+O714&gt;=60,3.5,IF(N714+O714&gt;=50,3,IF(N714+O714&gt;=40,2,IF(N714+O714&gt;=33,1,0)))))))</f>
        <v/>
      </c>
      <c r="AI714">
        <f>IF(AA714,0,IF(P714+Q714&gt;=80,5,IF(P714+Q714&gt;=70,4,IF(P714+Q714&gt;=60,3.5,IF(P714+Q714&gt;=50,3,IF(P714+Q714&gt;=40,2,IF(P714+Q714&gt;=33,1,0)))))))</f>
        <v/>
      </c>
      <c r="AJ714">
        <f>IF(R714&lt;8.25,0,IF(R714*2&gt;=80,5,IF(R714*2&gt;=70,4,IF(R714*2&gt;=60,3.5,IF(R714*2&gt;=50,3,IF(R714*2&gt;=40,2,IF(R714*2&gt;=33,1,0)))))))</f>
        <v/>
      </c>
      <c r="AK714">
        <f>IF(S714&lt;33,0,IF(S714&gt;=80,5,IF(S714&gt;=70,4,IF(S714&gt;=60,3.5,IF(S714&gt;=50,3,IF(S714&gt;=40,2,IF(S714&gt;=33,1,0)))))))</f>
        <v/>
      </c>
      <c r="AL714">
        <f>(AC714+AD714+AE714+AF714+AG714+AH714+AI714+AJ714)/8</f>
        <v/>
      </c>
      <c r="AM714">
        <f>IF(AK714&gt;=2,(AK714-2)/8,0)</f>
        <v/>
      </c>
    </row>
    <row r="715">
      <c r="T715">
        <f>SUM(C715:R715)</f>
        <v/>
      </c>
      <c r="U715" s="6">
        <f>ROUND(T715/11.5,2)</f>
        <v/>
      </c>
      <c r="V715" s="7">
        <f>IF(B715="","",IF(AB715,0,ROUND(AL715,2)))</f>
        <v/>
      </c>
      <c r="W715" s="7">
        <f>IF(B715="","",IF(AB715,0,MIN(5,ROUND(AL715+AM715,2))))</f>
        <v/>
      </c>
      <c r="X715" s="8">
        <f>IF(B715="","",IF(W715&gt;=5,"A+",IF(W715&gt;=4,"A",IF(W715&gt;=3.5,"A-",IF(W715&gt;=3,"B",IF(W715&gt;=2,"C",IF(W715&gt;=1,"D","F")))))))</f>
        <v/>
      </c>
      <c r="Y715">
        <f>NOT(OR(AND(J715&gt;=10,K715&gt;=23,L715&gt;=10,M715&gt;=23),AND(J715+L715&gt;=20,K715+M715&gt;=46)))</f>
        <v/>
      </c>
      <c r="Z715">
        <f>OR(N715&lt;10,O715&lt;23)</f>
        <v/>
      </c>
      <c r="AA715">
        <f>OR(P715&lt;10,Q715&lt;23)</f>
        <v/>
      </c>
      <c r="AB715">
        <f>OR((C715+D715)&lt;66,(E715+F715)&lt;66,G715&lt;33,(H715+I715)&lt;66,Y715,Z715,AA715,R715&lt;8.25)</f>
        <v/>
      </c>
      <c r="AC715">
        <f>IF(C715+D715&lt;66,0,IF((C715+D715)/2&gt;=80,5,IF((C715+D715)/2&gt;=70,4,IF((C715+D715)/2&gt;=60,3.5,IF((C715+D715)/2&gt;=50,3,IF((C715+D715)/2&gt;=40,2,IF((C715+D715)/2&gt;=33,1,0)))))))</f>
        <v/>
      </c>
      <c r="AD715">
        <f>IF(E715+F715&lt;66,0,IF((E715+F715)/2&gt;=80,5,IF((E715+F715)/2&gt;=70,4,IF((E715+F715)/2&gt;=60,3.5,IF((E715+F715)/2&gt;=50,3,IF((E715+F715)/2&gt;=40,2,IF((E715+F715)/2&gt;=33,1,0)))))))</f>
        <v/>
      </c>
      <c r="AE715">
        <f>IF(G715&lt;33,0,IF(G715&gt;=80,5,IF(G715&gt;=70,4,IF(G715&gt;=60,3.5,IF(G715&gt;=50,3,IF(G715&gt;=40,2,IF(G715&gt;=33,1,0)))))))</f>
        <v/>
      </c>
      <c r="AF715">
        <f>IF(H715+I715&lt;66,0,IF((H715+I715)/2&gt;=80,5,IF((H715+I715)/2&gt;=70,4,IF((H715+I715)/2&gt;=60,3.5,IF((H715+I715)/2&gt;=50,3,IF((H715+I715)/2&gt;=40,2,IF((H715+I715)/2&gt;=33,1,0)))))))</f>
        <v/>
      </c>
      <c r="AG715">
        <f>IF(Y715,0,IF((J715+K715+L715+M715)/2&gt;=80,5,IF((J715+K715+L715+M715)/2&gt;=70,4,IF((J715+K715+L715+M715)/2&gt;=60,3.5,IF((J715+K715+L715+M715)/2&gt;=50,3,IF((J715+K715+L715+M715)/2&gt;=40,2,IF((J715+K715+L715+M715)/2&gt;=33,1,0)))))))</f>
        <v/>
      </c>
      <c r="AH715">
        <f>IF(Z715,0,IF(N715+O715&gt;=80,5,IF(N715+O715&gt;=70,4,IF(N715+O715&gt;=60,3.5,IF(N715+O715&gt;=50,3,IF(N715+O715&gt;=40,2,IF(N715+O715&gt;=33,1,0)))))))</f>
        <v/>
      </c>
      <c r="AI715">
        <f>IF(AA715,0,IF(P715+Q715&gt;=80,5,IF(P715+Q715&gt;=70,4,IF(P715+Q715&gt;=60,3.5,IF(P715+Q715&gt;=50,3,IF(P715+Q715&gt;=40,2,IF(P715+Q715&gt;=33,1,0)))))))</f>
        <v/>
      </c>
      <c r="AJ715">
        <f>IF(R715&lt;8.25,0,IF(R715*2&gt;=80,5,IF(R715*2&gt;=70,4,IF(R715*2&gt;=60,3.5,IF(R715*2&gt;=50,3,IF(R715*2&gt;=40,2,IF(R715*2&gt;=33,1,0)))))))</f>
        <v/>
      </c>
      <c r="AK715">
        <f>IF(S715&lt;33,0,IF(S715&gt;=80,5,IF(S715&gt;=70,4,IF(S715&gt;=60,3.5,IF(S715&gt;=50,3,IF(S715&gt;=40,2,IF(S715&gt;=33,1,0)))))))</f>
        <v/>
      </c>
      <c r="AL715">
        <f>(AC715+AD715+AE715+AF715+AG715+AH715+AI715+AJ715)/8</f>
        <v/>
      </c>
      <c r="AM715">
        <f>IF(AK715&gt;=2,(AK715-2)/8,0)</f>
        <v/>
      </c>
    </row>
    <row r="716">
      <c r="T716">
        <f>SUM(C716:R716)</f>
        <v/>
      </c>
      <c r="U716" s="6">
        <f>ROUND(T716/11.5,2)</f>
        <v/>
      </c>
      <c r="V716" s="7">
        <f>IF(B716="","",IF(AB716,0,ROUND(AL716,2)))</f>
        <v/>
      </c>
      <c r="W716" s="7">
        <f>IF(B716="","",IF(AB716,0,MIN(5,ROUND(AL716+AM716,2))))</f>
        <v/>
      </c>
      <c r="X716" s="8">
        <f>IF(B716="","",IF(W716&gt;=5,"A+",IF(W716&gt;=4,"A",IF(W716&gt;=3.5,"A-",IF(W716&gt;=3,"B",IF(W716&gt;=2,"C",IF(W716&gt;=1,"D","F")))))))</f>
        <v/>
      </c>
      <c r="Y716">
        <f>NOT(OR(AND(J716&gt;=10,K716&gt;=23,L716&gt;=10,M716&gt;=23),AND(J716+L716&gt;=20,K716+M716&gt;=46)))</f>
        <v/>
      </c>
      <c r="Z716">
        <f>OR(N716&lt;10,O716&lt;23)</f>
        <v/>
      </c>
      <c r="AA716">
        <f>OR(P716&lt;10,Q716&lt;23)</f>
        <v/>
      </c>
      <c r="AB716">
        <f>OR((C716+D716)&lt;66,(E716+F716)&lt;66,G716&lt;33,(H716+I716)&lt;66,Y716,Z716,AA716,R716&lt;8.25)</f>
        <v/>
      </c>
      <c r="AC716">
        <f>IF(C716+D716&lt;66,0,IF((C716+D716)/2&gt;=80,5,IF((C716+D716)/2&gt;=70,4,IF((C716+D716)/2&gt;=60,3.5,IF((C716+D716)/2&gt;=50,3,IF((C716+D716)/2&gt;=40,2,IF((C716+D716)/2&gt;=33,1,0)))))))</f>
        <v/>
      </c>
      <c r="AD716">
        <f>IF(E716+F716&lt;66,0,IF((E716+F716)/2&gt;=80,5,IF((E716+F716)/2&gt;=70,4,IF((E716+F716)/2&gt;=60,3.5,IF((E716+F716)/2&gt;=50,3,IF((E716+F716)/2&gt;=40,2,IF((E716+F716)/2&gt;=33,1,0)))))))</f>
        <v/>
      </c>
      <c r="AE716">
        <f>IF(G716&lt;33,0,IF(G716&gt;=80,5,IF(G716&gt;=70,4,IF(G716&gt;=60,3.5,IF(G716&gt;=50,3,IF(G716&gt;=40,2,IF(G716&gt;=33,1,0)))))))</f>
        <v/>
      </c>
      <c r="AF716">
        <f>IF(H716+I716&lt;66,0,IF((H716+I716)/2&gt;=80,5,IF((H716+I716)/2&gt;=70,4,IF((H716+I716)/2&gt;=60,3.5,IF((H716+I716)/2&gt;=50,3,IF((H716+I716)/2&gt;=40,2,IF((H716+I716)/2&gt;=33,1,0)))))))</f>
        <v/>
      </c>
      <c r="AG716">
        <f>IF(Y716,0,IF((J716+K716+L716+M716)/2&gt;=80,5,IF((J716+K716+L716+M716)/2&gt;=70,4,IF((J716+K716+L716+M716)/2&gt;=60,3.5,IF((J716+K716+L716+M716)/2&gt;=50,3,IF((J716+K716+L716+M716)/2&gt;=40,2,IF((J716+K716+L716+M716)/2&gt;=33,1,0)))))))</f>
        <v/>
      </c>
      <c r="AH716">
        <f>IF(Z716,0,IF(N716+O716&gt;=80,5,IF(N716+O716&gt;=70,4,IF(N716+O716&gt;=60,3.5,IF(N716+O716&gt;=50,3,IF(N716+O716&gt;=40,2,IF(N716+O716&gt;=33,1,0)))))))</f>
        <v/>
      </c>
      <c r="AI716">
        <f>IF(AA716,0,IF(P716+Q716&gt;=80,5,IF(P716+Q716&gt;=70,4,IF(P716+Q716&gt;=60,3.5,IF(P716+Q716&gt;=50,3,IF(P716+Q716&gt;=40,2,IF(P716+Q716&gt;=33,1,0)))))))</f>
        <v/>
      </c>
      <c r="AJ716">
        <f>IF(R716&lt;8.25,0,IF(R716*2&gt;=80,5,IF(R716*2&gt;=70,4,IF(R716*2&gt;=60,3.5,IF(R716*2&gt;=50,3,IF(R716*2&gt;=40,2,IF(R716*2&gt;=33,1,0)))))))</f>
        <v/>
      </c>
      <c r="AK716">
        <f>IF(S716&lt;33,0,IF(S716&gt;=80,5,IF(S716&gt;=70,4,IF(S716&gt;=60,3.5,IF(S716&gt;=50,3,IF(S716&gt;=40,2,IF(S716&gt;=33,1,0)))))))</f>
        <v/>
      </c>
      <c r="AL716">
        <f>(AC716+AD716+AE716+AF716+AG716+AH716+AI716+AJ716)/8</f>
        <v/>
      </c>
      <c r="AM716">
        <f>IF(AK716&gt;=2,(AK716-2)/8,0)</f>
        <v/>
      </c>
    </row>
    <row r="717">
      <c r="T717">
        <f>SUM(C717:R717)</f>
        <v/>
      </c>
      <c r="U717" s="6">
        <f>ROUND(T717/11.5,2)</f>
        <v/>
      </c>
      <c r="V717" s="7">
        <f>IF(B717="","",IF(AB717,0,ROUND(AL717,2)))</f>
        <v/>
      </c>
      <c r="W717" s="7">
        <f>IF(B717="","",IF(AB717,0,MIN(5,ROUND(AL717+AM717,2))))</f>
        <v/>
      </c>
      <c r="X717" s="8">
        <f>IF(B717="","",IF(W717&gt;=5,"A+",IF(W717&gt;=4,"A",IF(W717&gt;=3.5,"A-",IF(W717&gt;=3,"B",IF(W717&gt;=2,"C",IF(W717&gt;=1,"D","F")))))))</f>
        <v/>
      </c>
      <c r="Y717">
        <f>NOT(OR(AND(J717&gt;=10,K717&gt;=23,L717&gt;=10,M717&gt;=23),AND(J717+L717&gt;=20,K717+M717&gt;=46)))</f>
        <v/>
      </c>
      <c r="Z717">
        <f>OR(N717&lt;10,O717&lt;23)</f>
        <v/>
      </c>
      <c r="AA717">
        <f>OR(P717&lt;10,Q717&lt;23)</f>
        <v/>
      </c>
      <c r="AB717">
        <f>OR((C717+D717)&lt;66,(E717+F717)&lt;66,G717&lt;33,(H717+I717)&lt;66,Y717,Z717,AA717,R717&lt;8.25)</f>
        <v/>
      </c>
      <c r="AC717">
        <f>IF(C717+D717&lt;66,0,IF((C717+D717)/2&gt;=80,5,IF((C717+D717)/2&gt;=70,4,IF((C717+D717)/2&gt;=60,3.5,IF((C717+D717)/2&gt;=50,3,IF((C717+D717)/2&gt;=40,2,IF((C717+D717)/2&gt;=33,1,0)))))))</f>
        <v/>
      </c>
      <c r="AD717">
        <f>IF(E717+F717&lt;66,0,IF((E717+F717)/2&gt;=80,5,IF((E717+F717)/2&gt;=70,4,IF((E717+F717)/2&gt;=60,3.5,IF((E717+F717)/2&gt;=50,3,IF((E717+F717)/2&gt;=40,2,IF((E717+F717)/2&gt;=33,1,0)))))))</f>
        <v/>
      </c>
      <c r="AE717">
        <f>IF(G717&lt;33,0,IF(G717&gt;=80,5,IF(G717&gt;=70,4,IF(G717&gt;=60,3.5,IF(G717&gt;=50,3,IF(G717&gt;=40,2,IF(G717&gt;=33,1,0)))))))</f>
        <v/>
      </c>
      <c r="AF717">
        <f>IF(H717+I717&lt;66,0,IF((H717+I717)/2&gt;=80,5,IF((H717+I717)/2&gt;=70,4,IF((H717+I717)/2&gt;=60,3.5,IF((H717+I717)/2&gt;=50,3,IF((H717+I717)/2&gt;=40,2,IF((H717+I717)/2&gt;=33,1,0)))))))</f>
        <v/>
      </c>
      <c r="AG717">
        <f>IF(Y717,0,IF((J717+K717+L717+M717)/2&gt;=80,5,IF((J717+K717+L717+M717)/2&gt;=70,4,IF((J717+K717+L717+M717)/2&gt;=60,3.5,IF((J717+K717+L717+M717)/2&gt;=50,3,IF((J717+K717+L717+M717)/2&gt;=40,2,IF((J717+K717+L717+M717)/2&gt;=33,1,0)))))))</f>
        <v/>
      </c>
      <c r="AH717">
        <f>IF(Z717,0,IF(N717+O717&gt;=80,5,IF(N717+O717&gt;=70,4,IF(N717+O717&gt;=60,3.5,IF(N717+O717&gt;=50,3,IF(N717+O717&gt;=40,2,IF(N717+O717&gt;=33,1,0)))))))</f>
        <v/>
      </c>
      <c r="AI717">
        <f>IF(AA717,0,IF(P717+Q717&gt;=80,5,IF(P717+Q717&gt;=70,4,IF(P717+Q717&gt;=60,3.5,IF(P717+Q717&gt;=50,3,IF(P717+Q717&gt;=40,2,IF(P717+Q717&gt;=33,1,0)))))))</f>
        <v/>
      </c>
      <c r="AJ717">
        <f>IF(R717&lt;8.25,0,IF(R717*2&gt;=80,5,IF(R717*2&gt;=70,4,IF(R717*2&gt;=60,3.5,IF(R717*2&gt;=50,3,IF(R717*2&gt;=40,2,IF(R717*2&gt;=33,1,0)))))))</f>
        <v/>
      </c>
      <c r="AK717">
        <f>IF(S717&lt;33,0,IF(S717&gt;=80,5,IF(S717&gt;=70,4,IF(S717&gt;=60,3.5,IF(S717&gt;=50,3,IF(S717&gt;=40,2,IF(S717&gt;=33,1,0)))))))</f>
        <v/>
      </c>
      <c r="AL717">
        <f>(AC717+AD717+AE717+AF717+AG717+AH717+AI717+AJ717)/8</f>
        <v/>
      </c>
      <c r="AM717">
        <f>IF(AK717&gt;=2,(AK717-2)/8,0)</f>
        <v/>
      </c>
    </row>
    <row r="718">
      <c r="T718">
        <f>SUM(C718:R718)</f>
        <v/>
      </c>
      <c r="U718" s="6">
        <f>ROUND(T718/11.5,2)</f>
        <v/>
      </c>
      <c r="V718" s="7">
        <f>IF(B718="","",IF(AB718,0,ROUND(AL718,2)))</f>
        <v/>
      </c>
      <c r="W718" s="7">
        <f>IF(B718="","",IF(AB718,0,MIN(5,ROUND(AL718+AM718,2))))</f>
        <v/>
      </c>
      <c r="X718" s="8">
        <f>IF(B718="","",IF(W718&gt;=5,"A+",IF(W718&gt;=4,"A",IF(W718&gt;=3.5,"A-",IF(W718&gt;=3,"B",IF(W718&gt;=2,"C",IF(W718&gt;=1,"D","F")))))))</f>
        <v/>
      </c>
      <c r="Y718">
        <f>NOT(OR(AND(J718&gt;=10,K718&gt;=23,L718&gt;=10,M718&gt;=23),AND(J718+L718&gt;=20,K718+M718&gt;=46)))</f>
        <v/>
      </c>
      <c r="Z718">
        <f>OR(N718&lt;10,O718&lt;23)</f>
        <v/>
      </c>
      <c r="AA718">
        <f>OR(P718&lt;10,Q718&lt;23)</f>
        <v/>
      </c>
      <c r="AB718">
        <f>OR((C718+D718)&lt;66,(E718+F718)&lt;66,G718&lt;33,(H718+I718)&lt;66,Y718,Z718,AA718,R718&lt;8.25)</f>
        <v/>
      </c>
      <c r="AC718">
        <f>IF(C718+D718&lt;66,0,IF((C718+D718)/2&gt;=80,5,IF((C718+D718)/2&gt;=70,4,IF((C718+D718)/2&gt;=60,3.5,IF((C718+D718)/2&gt;=50,3,IF((C718+D718)/2&gt;=40,2,IF((C718+D718)/2&gt;=33,1,0)))))))</f>
        <v/>
      </c>
      <c r="AD718">
        <f>IF(E718+F718&lt;66,0,IF((E718+F718)/2&gt;=80,5,IF((E718+F718)/2&gt;=70,4,IF((E718+F718)/2&gt;=60,3.5,IF((E718+F718)/2&gt;=50,3,IF((E718+F718)/2&gt;=40,2,IF((E718+F718)/2&gt;=33,1,0)))))))</f>
        <v/>
      </c>
      <c r="AE718">
        <f>IF(G718&lt;33,0,IF(G718&gt;=80,5,IF(G718&gt;=70,4,IF(G718&gt;=60,3.5,IF(G718&gt;=50,3,IF(G718&gt;=40,2,IF(G718&gt;=33,1,0)))))))</f>
        <v/>
      </c>
      <c r="AF718">
        <f>IF(H718+I718&lt;66,0,IF((H718+I718)/2&gt;=80,5,IF((H718+I718)/2&gt;=70,4,IF((H718+I718)/2&gt;=60,3.5,IF((H718+I718)/2&gt;=50,3,IF((H718+I718)/2&gt;=40,2,IF((H718+I718)/2&gt;=33,1,0)))))))</f>
        <v/>
      </c>
      <c r="AG718">
        <f>IF(Y718,0,IF((J718+K718+L718+M718)/2&gt;=80,5,IF((J718+K718+L718+M718)/2&gt;=70,4,IF((J718+K718+L718+M718)/2&gt;=60,3.5,IF((J718+K718+L718+M718)/2&gt;=50,3,IF((J718+K718+L718+M718)/2&gt;=40,2,IF((J718+K718+L718+M718)/2&gt;=33,1,0)))))))</f>
        <v/>
      </c>
      <c r="AH718">
        <f>IF(Z718,0,IF(N718+O718&gt;=80,5,IF(N718+O718&gt;=70,4,IF(N718+O718&gt;=60,3.5,IF(N718+O718&gt;=50,3,IF(N718+O718&gt;=40,2,IF(N718+O718&gt;=33,1,0)))))))</f>
        <v/>
      </c>
      <c r="AI718">
        <f>IF(AA718,0,IF(P718+Q718&gt;=80,5,IF(P718+Q718&gt;=70,4,IF(P718+Q718&gt;=60,3.5,IF(P718+Q718&gt;=50,3,IF(P718+Q718&gt;=40,2,IF(P718+Q718&gt;=33,1,0)))))))</f>
        <v/>
      </c>
      <c r="AJ718">
        <f>IF(R718&lt;8.25,0,IF(R718*2&gt;=80,5,IF(R718*2&gt;=70,4,IF(R718*2&gt;=60,3.5,IF(R718*2&gt;=50,3,IF(R718*2&gt;=40,2,IF(R718*2&gt;=33,1,0)))))))</f>
        <v/>
      </c>
      <c r="AK718">
        <f>IF(S718&lt;33,0,IF(S718&gt;=80,5,IF(S718&gt;=70,4,IF(S718&gt;=60,3.5,IF(S718&gt;=50,3,IF(S718&gt;=40,2,IF(S718&gt;=33,1,0)))))))</f>
        <v/>
      </c>
      <c r="AL718">
        <f>(AC718+AD718+AE718+AF718+AG718+AH718+AI718+AJ718)/8</f>
        <v/>
      </c>
      <c r="AM718">
        <f>IF(AK718&gt;=2,(AK718-2)/8,0)</f>
        <v/>
      </c>
    </row>
    <row r="719">
      <c r="T719">
        <f>SUM(C719:R719)</f>
        <v/>
      </c>
      <c r="U719" s="6">
        <f>ROUND(T719/11.5,2)</f>
        <v/>
      </c>
      <c r="V719" s="7">
        <f>IF(B719="","",IF(AB719,0,ROUND(AL719,2)))</f>
        <v/>
      </c>
      <c r="W719" s="7">
        <f>IF(B719="","",IF(AB719,0,MIN(5,ROUND(AL719+AM719,2))))</f>
        <v/>
      </c>
      <c r="X719" s="8">
        <f>IF(B719="","",IF(W719&gt;=5,"A+",IF(W719&gt;=4,"A",IF(W719&gt;=3.5,"A-",IF(W719&gt;=3,"B",IF(W719&gt;=2,"C",IF(W719&gt;=1,"D","F")))))))</f>
        <v/>
      </c>
      <c r="Y719">
        <f>NOT(OR(AND(J719&gt;=10,K719&gt;=23,L719&gt;=10,M719&gt;=23),AND(J719+L719&gt;=20,K719+M719&gt;=46)))</f>
        <v/>
      </c>
      <c r="Z719">
        <f>OR(N719&lt;10,O719&lt;23)</f>
        <v/>
      </c>
      <c r="AA719">
        <f>OR(P719&lt;10,Q719&lt;23)</f>
        <v/>
      </c>
      <c r="AB719">
        <f>OR((C719+D719)&lt;66,(E719+F719)&lt;66,G719&lt;33,(H719+I719)&lt;66,Y719,Z719,AA719,R719&lt;8.25)</f>
        <v/>
      </c>
      <c r="AC719">
        <f>IF(C719+D719&lt;66,0,IF((C719+D719)/2&gt;=80,5,IF((C719+D719)/2&gt;=70,4,IF((C719+D719)/2&gt;=60,3.5,IF((C719+D719)/2&gt;=50,3,IF((C719+D719)/2&gt;=40,2,IF((C719+D719)/2&gt;=33,1,0)))))))</f>
        <v/>
      </c>
      <c r="AD719">
        <f>IF(E719+F719&lt;66,0,IF((E719+F719)/2&gt;=80,5,IF((E719+F719)/2&gt;=70,4,IF((E719+F719)/2&gt;=60,3.5,IF((E719+F719)/2&gt;=50,3,IF((E719+F719)/2&gt;=40,2,IF((E719+F719)/2&gt;=33,1,0)))))))</f>
        <v/>
      </c>
      <c r="AE719">
        <f>IF(G719&lt;33,0,IF(G719&gt;=80,5,IF(G719&gt;=70,4,IF(G719&gt;=60,3.5,IF(G719&gt;=50,3,IF(G719&gt;=40,2,IF(G719&gt;=33,1,0)))))))</f>
        <v/>
      </c>
      <c r="AF719">
        <f>IF(H719+I719&lt;66,0,IF((H719+I719)/2&gt;=80,5,IF((H719+I719)/2&gt;=70,4,IF((H719+I719)/2&gt;=60,3.5,IF((H719+I719)/2&gt;=50,3,IF((H719+I719)/2&gt;=40,2,IF((H719+I719)/2&gt;=33,1,0)))))))</f>
        <v/>
      </c>
      <c r="AG719">
        <f>IF(Y719,0,IF((J719+K719+L719+M719)/2&gt;=80,5,IF((J719+K719+L719+M719)/2&gt;=70,4,IF((J719+K719+L719+M719)/2&gt;=60,3.5,IF((J719+K719+L719+M719)/2&gt;=50,3,IF((J719+K719+L719+M719)/2&gt;=40,2,IF((J719+K719+L719+M719)/2&gt;=33,1,0)))))))</f>
        <v/>
      </c>
      <c r="AH719">
        <f>IF(Z719,0,IF(N719+O719&gt;=80,5,IF(N719+O719&gt;=70,4,IF(N719+O719&gt;=60,3.5,IF(N719+O719&gt;=50,3,IF(N719+O719&gt;=40,2,IF(N719+O719&gt;=33,1,0)))))))</f>
        <v/>
      </c>
      <c r="AI719">
        <f>IF(AA719,0,IF(P719+Q719&gt;=80,5,IF(P719+Q719&gt;=70,4,IF(P719+Q719&gt;=60,3.5,IF(P719+Q719&gt;=50,3,IF(P719+Q719&gt;=40,2,IF(P719+Q719&gt;=33,1,0)))))))</f>
        <v/>
      </c>
      <c r="AJ719">
        <f>IF(R719&lt;8.25,0,IF(R719*2&gt;=80,5,IF(R719*2&gt;=70,4,IF(R719*2&gt;=60,3.5,IF(R719*2&gt;=50,3,IF(R719*2&gt;=40,2,IF(R719*2&gt;=33,1,0)))))))</f>
        <v/>
      </c>
      <c r="AK719">
        <f>IF(S719&lt;33,0,IF(S719&gt;=80,5,IF(S719&gt;=70,4,IF(S719&gt;=60,3.5,IF(S719&gt;=50,3,IF(S719&gt;=40,2,IF(S719&gt;=33,1,0)))))))</f>
        <v/>
      </c>
      <c r="AL719">
        <f>(AC719+AD719+AE719+AF719+AG719+AH719+AI719+AJ719)/8</f>
        <v/>
      </c>
      <c r="AM719">
        <f>IF(AK719&gt;=2,(AK719-2)/8,0)</f>
        <v/>
      </c>
    </row>
    <row r="720">
      <c r="T720">
        <f>SUM(C720:R720)</f>
        <v/>
      </c>
      <c r="U720" s="6">
        <f>ROUND(T720/11.5,2)</f>
        <v/>
      </c>
      <c r="V720" s="7">
        <f>IF(B720="","",IF(AB720,0,ROUND(AL720,2)))</f>
        <v/>
      </c>
      <c r="W720" s="7">
        <f>IF(B720="","",IF(AB720,0,MIN(5,ROUND(AL720+AM720,2))))</f>
        <v/>
      </c>
      <c r="X720" s="8">
        <f>IF(B720="","",IF(W720&gt;=5,"A+",IF(W720&gt;=4,"A",IF(W720&gt;=3.5,"A-",IF(W720&gt;=3,"B",IF(W720&gt;=2,"C",IF(W720&gt;=1,"D","F")))))))</f>
        <v/>
      </c>
      <c r="Y720">
        <f>NOT(OR(AND(J720&gt;=10,K720&gt;=23,L720&gt;=10,M720&gt;=23),AND(J720+L720&gt;=20,K720+M720&gt;=46)))</f>
        <v/>
      </c>
      <c r="Z720">
        <f>OR(N720&lt;10,O720&lt;23)</f>
        <v/>
      </c>
      <c r="AA720">
        <f>OR(P720&lt;10,Q720&lt;23)</f>
        <v/>
      </c>
      <c r="AB720">
        <f>OR((C720+D720)&lt;66,(E720+F720)&lt;66,G720&lt;33,(H720+I720)&lt;66,Y720,Z720,AA720,R720&lt;8.25)</f>
        <v/>
      </c>
      <c r="AC720">
        <f>IF(C720+D720&lt;66,0,IF((C720+D720)/2&gt;=80,5,IF((C720+D720)/2&gt;=70,4,IF((C720+D720)/2&gt;=60,3.5,IF((C720+D720)/2&gt;=50,3,IF((C720+D720)/2&gt;=40,2,IF((C720+D720)/2&gt;=33,1,0)))))))</f>
        <v/>
      </c>
      <c r="AD720">
        <f>IF(E720+F720&lt;66,0,IF((E720+F720)/2&gt;=80,5,IF((E720+F720)/2&gt;=70,4,IF((E720+F720)/2&gt;=60,3.5,IF((E720+F720)/2&gt;=50,3,IF((E720+F720)/2&gt;=40,2,IF((E720+F720)/2&gt;=33,1,0)))))))</f>
        <v/>
      </c>
      <c r="AE720">
        <f>IF(G720&lt;33,0,IF(G720&gt;=80,5,IF(G720&gt;=70,4,IF(G720&gt;=60,3.5,IF(G720&gt;=50,3,IF(G720&gt;=40,2,IF(G720&gt;=33,1,0)))))))</f>
        <v/>
      </c>
      <c r="AF720">
        <f>IF(H720+I720&lt;66,0,IF((H720+I720)/2&gt;=80,5,IF((H720+I720)/2&gt;=70,4,IF((H720+I720)/2&gt;=60,3.5,IF((H720+I720)/2&gt;=50,3,IF((H720+I720)/2&gt;=40,2,IF((H720+I720)/2&gt;=33,1,0)))))))</f>
        <v/>
      </c>
      <c r="AG720">
        <f>IF(Y720,0,IF((J720+K720+L720+M720)/2&gt;=80,5,IF((J720+K720+L720+M720)/2&gt;=70,4,IF((J720+K720+L720+M720)/2&gt;=60,3.5,IF((J720+K720+L720+M720)/2&gt;=50,3,IF((J720+K720+L720+M720)/2&gt;=40,2,IF((J720+K720+L720+M720)/2&gt;=33,1,0)))))))</f>
        <v/>
      </c>
      <c r="AH720">
        <f>IF(Z720,0,IF(N720+O720&gt;=80,5,IF(N720+O720&gt;=70,4,IF(N720+O720&gt;=60,3.5,IF(N720+O720&gt;=50,3,IF(N720+O720&gt;=40,2,IF(N720+O720&gt;=33,1,0)))))))</f>
        <v/>
      </c>
      <c r="AI720">
        <f>IF(AA720,0,IF(P720+Q720&gt;=80,5,IF(P720+Q720&gt;=70,4,IF(P720+Q720&gt;=60,3.5,IF(P720+Q720&gt;=50,3,IF(P720+Q720&gt;=40,2,IF(P720+Q720&gt;=33,1,0)))))))</f>
        <v/>
      </c>
      <c r="AJ720">
        <f>IF(R720&lt;8.25,0,IF(R720*2&gt;=80,5,IF(R720*2&gt;=70,4,IF(R720*2&gt;=60,3.5,IF(R720*2&gt;=50,3,IF(R720*2&gt;=40,2,IF(R720*2&gt;=33,1,0)))))))</f>
        <v/>
      </c>
      <c r="AK720">
        <f>IF(S720&lt;33,0,IF(S720&gt;=80,5,IF(S720&gt;=70,4,IF(S720&gt;=60,3.5,IF(S720&gt;=50,3,IF(S720&gt;=40,2,IF(S720&gt;=33,1,0)))))))</f>
        <v/>
      </c>
      <c r="AL720">
        <f>(AC720+AD720+AE720+AF720+AG720+AH720+AI720+AJ720)/8</f>
        <v/>
      </c>
      <c r="AM720">
        <f>IF(AK720&gt;=2,(AK720-2)/8,0)</f>
        <v/>
      </c>
    </row>
    <row r="721">
      <c r="T721">
        <f>SUM(C721:R721)</f>
        <v/>
      </c>
      <c r="U721" s="6">
        <f>ROUND(T721/11.5,2)</f>
        <v/>
      </c>
      <c r="V721" s="7">
        <f>IF(B721="","",IF(AB721,0,ROUND(AL721,2)))</f>
        <v/>
      </c>
      <c r="W721" s="7">
        <f>IF(B721="","",IF(AB721,0,MIN(5,ROUND(AL721+AM721,2))))</f>
        <v/>
      </c>
      <c r="X721" s="8">
        <f>IF(B721="","",IF(W721&gt;=5,"A+",IF(W721&gt;=4,"A",IF(W721&gt;=3.5,"A-",IF(W721&gt;=3,"B",IF(W721&gt;=2,"C",IF(W721&gt;=1,"D","F")))))))</f>
        <v/>
      </c>
      <c r="Y721">
        <f>NOT(OR(AND(J721&gt;=10,K721&gt;=23,L721&gt;=10,M721&gt;=23),AND(J721+L721&gt;=20,K721+M721&gt;=46)))</f>
        <v/>
      </c>
      <c r="Z721">
        <f>OR(N721&lt;10,O721&lt;23)</f>
        <v/>
      </c>
      <c r="AA721">
        <f>OR(P721&lt;10,Q721&lt;23)</f>
        <v/>
      </c>
      <c r="AB721">
        <f>OR((C721+D721)&lt;66,(E721+F721)&lt;66,G721&lt;33,(H721+I721)&lt;66,Y721,Z721,AA721,R721&lt;8.25)</f>
        <v/>
      </c>
      <c r="AC721">
        <f>IF(C721+D721&lt;66,0,IF((C721+D721)/2&gt;=80,5,IF((C721+D721)/2&gt;=70,4,IF((C721+D721)/2&gt;=60,3.5,IF((C721+D721)/2&gt;=50,3,IF((C721+D721)/2&gt;=40,2,IF((C721+D721)/2&gt;=33,1,0)))))))</f>
        <v/>
      </c>
      <c r="AD721">
        <f>IF(E721+F721&lt;66,0,IF((E721+F721)/2&gt;=80,5,IF((E721+F721)/2&gt;=70,4,IF((E721+F721)/2&gt;=60,3.5,IF((E721+F721)/2&gt;=50,3,IF((E721+F721)/2&gt;=40,2,IF((E721+F721)/2&gt;=33,1,0)))))))</f>
        <v/>
      </c>
      <c r="AE721">
        <f>IF(G721&lt;33,0,IF(G721&gt;=80,5,IF(G721&gt;=70,4,IF(G721&gt;=60,3.5,IF(G721&gt;=50,3,IF(G721&gt;=40,2,IF(G721&gt;=33,1,0)))))))</f>
        <v/>
      </c>
      <c r="AF721">
        <f>IF(H721+I721&lt;66,0,IF((H721+I721)/2&gt;=80,5,IF((H721+I721)/2&gt;=70,4,IF((H721+I721)/2&gt;=60,3.5,IF((H721+I721)/2&gt;=50,3,IF((H721+I721)/2&gt;=40,2,IF((H721+I721)/2&gt;=33,1,0)))))))</f>
        <v/>
      </c>
      <c r="AG721">
        <f>IF(Y721,0,IF((J721+K721+L721+M721)/2&gt;=80,5,IF((J721+K721+L721+M721)/2&gt;=70,4,IF((J721+K721+L721+M721)/2&gt;=60,3.5,IF((J721+K721+L721+M721)/2&gt;=50,3,IF((J721+K721+L721+M721)/2&gt;=40,2,IF((J721+K721+L721+M721)/2&gt;=33,1,0)))))))</f>
        <v/>
      </c>
      <c r="AH721">
        <f>IF(Z721,0,IF(N721+O721&gt;=80,5,IF(N721+O721&gt;=70,4,IF(N721+O721&gt;=60,3.5,IF(N721+O721&gt;=50,3,IF(N721+O721&gt;=40,2,IF(N721+O721&gt;=33,1,0)))))))</f>
        <v/>
      </c>
      <c r="AI721">
        <f>IF(AA721,0,IF(P721+Q721&gt;=80,5,IF(P721+Q721&gt;=70,4,IF(P721+Q721&gt;=60,3.5,IF(P721+Q721&gt;=50,3,IF(P721+Q721&gt;=40,2,IF(P721+Q721&gt;=33,1,0)))))))</f>
        <v/>
      </c>
      <c r="AJ721">
        <f>IF(R721&lt;8.25,0,IF(R721*2&gt;=80,5,IF(R721*2&gt;=70,4,IF(R721*2&gt;=60,3.5,IF(R721*2&gt;=50,3,IF(R721*2&gt;=40,2,IF(R721*2&gt;=33,1,0)))))))</f>
        <v/>
      </c>
      <c r="AK721">
        <f>IF(S721&lt;33,0,IF(S721&gt;=80,5,IF(S721&gt;=70,4,IF(S721&gt;=60,3.5,IF(S721&gt;=50,3,IF(S721&gt;=40,2,IF(S721&gt;=33,1,0)))))))</f>
        <v/>
      </c>
      <c r="AL721">
        <f>(AC721+AD721+AE721+AF721+AG721+AH721+AI721+AJ721)/8</f>
        <v/>
      </c>
      <c r="AM721">
        <f>IF(AK721&gt;=2,(AK721-2)/8,0)</f>
        <v/>
      </c>
    </row>
    <row r="722">
      <c r="T722">
        <f>SUM(C722:R722)</f>
        <v/>
      </c>
      <c r="U722" s="6">
        <f>ROUND(T722/11.5,2)</f>
        <v/>
      </c>
      <c r="V722" s="7">
        <f>IF(B722="","",IF(AB722,0,ROUND(AL722,2)))</f>
        <v/>
      </c>
      <c r="W722" s="7">
        <f>IF(B722="","",IF(AB722,0,MIN(5,ROUND(AL722+AM722,2))))</f>
        <v/>
      </c>
      <c r="X722" s="8">
        <f>IF(B722="","",IF(W722&gt;=5,"A+",IF(W722&gt;=4,"A",IF(W722&gt;=3.5,"A-",IF(W722&gt;=3,"B",IF(W722&gt;=2,"C",IF(W722&gt;=1,"D","F")))))))</f>
        <v/>
      </c>
      <c r="Y722">
        <f>NOT(OR(AND(J722&gt;=10,K722&gt;=23,L722&gt;=10,M722&gt;=23),AND(J722+L722&gt;=20,K722+M722&gt;=46)))</f>
        <v/>
      </c>
      <c r="Z722">
        <f>OR(N722&lt;10,O722&lt;23)</f>
        <v/>
      </c>
      <c r="AA722">
        <f>OR(P722&lt;10,Q722&lt;23)</f>
        <v/>
      </c>
      <c r="AB722">
        <f>OR((C722+D722)&lt;66,(E722+F722)&lt;66,G722&lt;33,(H722+I722)&lt;66,Y722,Z722,AA722,R722&lt;8.25)</f>
        <v/>
      </c>
      <c r="AC722">
        <f>IF(C722+D722&lt;66,0,IF((C722+D722)/2&gt;=80,5,IF((C722+D722)/2&gt;=70,4,IF((C722+D722)/2&gt;=60,3.5,IF((C722+D722)/2&gt;=50,3,IF((C722+D722)/2&gt;=40,2,IF((C722+D722)/2&gt;=33,1,0)))))))</f>
        <v/>
      </c>
      <c r="AD722">
        <f>IF(E722+F722&lt;66,0,IF((E722+F722)/2&gt;=80,5,IF((E722+F722)/2&gt;=70,4,IF((E722+F722)/2&gt;=60,3.5,IF((E722+F722)/2&gt;=50,3,IF((E722+F722)/2&gt;=40,2,IF((E722+F722)/2&gt;=33,1,0)))))))</f>
        <v/>
      </c>
      <c r="AE722">
        <f>IF(G722&lt;33,0,IF(G722&gt;=80,5,IF(G722&gt;=70,4,IF(G722&gt;=60,3.5,IF(G722&gt;=50,3,IF(G722&gt;=40,2,IF(G722&gt;=33,1,0)))))))</f>
        <v/>
      </c>
      <c r="AF722">
        <f>IF(H722+I722&lt;66,0,IF((H722+I722)/2&gt;=80,5,IF((H722+I722)/2&gt;=70,4,IF((H722+I722)/2&gt;=60,3.5,IF((H722+I722)/2&gt;=50,3,IF((H722+I722)/2&gt;=40,2,IF((H722+I722)/2&gt;=33,1,0)))))))</f>
        <v/>
      </c>
      <c r="AG722">
        <f>IF(Y722,0,IF((J722+K722+L722+M722)/2&gt;=80,5,IF((J722+K722+L722+M722)/2&gt;=70,4,IF((J722+K722+L722+M722)/2&gt;=60,3.5,IF((J722+K722+L722+M722)/2&gt;=50,3,IF((J722+K722+L722+M722)/2&gt;=40,2,IF((J722+K722+L722+M722)/2&gt;=33,1,0)))))))</f>
        <v/>
      </c>
      <c r="AH722">
        <f>IF(Z722,0,IF(N722+O722&gt;=80,5,IF(N722+O722&gt;=70,4,IF(N722+O722&gt;=60,3.5,IF(N722+O722&gt;=50,3,IF(N722+O722&gt;=40,2,IF(N722+O722&gt;=33,1,0)))))))</f>
        <v/>
      </c>
      <c r="AI722">
        <f>IF(AA722,0,IF(P722+Q722&gt;=80,5,IF(P722+Q722&gt;=70,4,IF(P722+Q722&gt;=60,3.5,IF(P722+Q722&gt;=50,3,IF(P722+Q722&gt;=40,2,IF(P722+Q722&gt;=33,1,0)))))))</f>
        <v/>
      </c>
      <c r="AJ722">
        <f>IF(R722&lt;8.25,0,IF(R722*2&gt;=80,5,IF(R722*2&gt;=70,4,IF(R722*2&gt;=60,3.5,IF(R722*2&gt;=50,3,IF(R722*2&gt;=40,2,IF(R722*2&gt;=33,1,0)))))))</f>
        <v/>
      </c>
      <c r="AK722">
        <f>IF(S722&lt;33,0,IF(S722&gt;=80,5,IF(S722&gt;=70,4,IF(S722&gt;=60,3.5,IF(S722&gt;=50,3,IF(S722&gt;=40,2,IF(S722&gt;=33,1,0)))))))</f>
        <v/>
      </c>
      <c r="AL722">
        <f>(AC722+AD722+AE722+AF722+AG722+AH722+AI722+AJ722)/8</f>
        <v/>
      </c>
      <c r="AM722">
        <f>IF(AK722&gt;=2,(AK722-2)/8,0)</f>
        <v/>
      </c>
    </row>
    <row r="723">
      <c r="T723">
        <f>SUM(C723:R723)</f>
        <v/>
      </c>
      <c r="U723" s="6">
        <f>ROUND(T723/11.5,2)</f>
        <v/>
      </c>
      <c r="V723" s="7">
        <f>IF(B723="","",IF(AB723,0,ROUND(AL723,2)))</f>
        <v/>
      </c>
      <c r="W723" s="7">
        <f>IF(B723="","",IF(AB723,0,MIN(5,ROUND(AL723+AM723,2))))</f>
        <v/>
      </c>
      <c r="X723" s="8">
        <f>IF(B723="","",IF(W723&gt;=5,"A+",IF(W723&gt;=4,"A",IF(W723&gt;=3.5,"A-",IF(W723&gt;=3,"B",IF(W723&gt;=2,"C",IF(W723&gt;=1,"D","F")))))))</f>
        <v/>
      </c>
      <c r="Y723">
        <f>NOT(OR(AND(J723&gt;=10,K723&gt;=23,L723&gt;=10,M723&gt;=23),AND(J723+L723&gt;=20,K723+M723&gt;=46)))</f>
        <v/>
      </c>
      <c r="Z723">
        <f>OR(N723&lt;10,O723&lt;23)</f>
        <v/>
      </c>
      <c r="AA723">
        <f>OR(P723&lt;10,Q723&lt;23)</f>
        <v/>
      </c>
      <c r="AB723">
        <f>OR((C723+D723)&lt;66,(E723+F723)&lt;66,G723&lt;33,(H723+I723)&lt;66,Y723,Z723,AA723,R723&lt;8.25)</f>
        <v/>
      </c>
      <c r="AC723">
        <f>IF(C723+D723&lt;66,0,IF((C723+D723)/2&gt;=80,5,IF((C723+D723)/2&gt;=70,4,IF((C723+D723)/2&gt;=60,3.5,IF((C723+D723)/2&gt;=50,3,IF((C723+D723)/2&gt;=40,2,IF((C723+D723)/2&gt;=33,1,0)))))))</f>
        <v/>
      </c>
      <c r="AD723">
        <f>IF(E723+F723&lt;66,0,IF((E723+F723)/2&gt;=80,5,IF((E723+F723)/2&gt;=70,4,IF((E723+F723)/2&gt;=60,3.5,IF((E723+F723)/2&gt;=50,3,IF((E723+F723)/2&gt;=40,2,IF((E723+F723)/2&gt;=33,1,0)))))))</f>
        <v/>
      </c>
      <c r="AE723">
        <f>IF(G723&lt;33,0,IF(G723&gt;=80,5,IF(G723&gt;=70,4,IF(G723&gt;=60,3.5,IF(G723&gt;=50,3,IF(G723&gt;=40,2,IF(G723&gt;=33,1,0)))))))</f>
        <v/>
      </c>
      <c r="AF723">
        <f>IF(H723+I723&lt;66,0,IF((H723+I723)/2&gt;=80,5,IF((H723+I723)/2&gt;=70,4,IF((H723+I723)/2&gt;=60,3.5,IF((H723+I723)/2&gt;=50,3,IF((H723+I723)/2&gt;=40,2,IF((H723+I723)/2&gt;=33,1,0)))))))</f>
        <v/>
      </c>
      <c r="AG723">
        <f>IF(Y723,0,IF((J723+K723+L723+M723)/2&gt;=80,5,IF((J723+K723+L723+M723)/2&gt;=70,4,IF((J723+K723+L723+M723)/2&gt;=60,3.5,IF((J723+K723+L723+M723)/2&gt;=50,3,IF((J723+K723+L723+M723)/2&gt;=40,2,IF((J723+K723+L723+M723)/2&gt;=33,1,0)))))))</f>
        <v/>
      </c>
      <c r="AH723">
        <f>IF(Z723,0,IF(N723+O723&gt;=80,5,IF(N723+O723&gt;=70,4,IF(N723+O723&gt;=60,3.5,IF(N723+O723&gt;=50,3,IF(N723+O723&gt;=40,2,IF(N723+O723&gt;=33,1,0)))))))</f>
        <v/>
      </c>
      <c r="AI723">
        <f>IF(AA723,0,IF(P723+Q723&gt;=80,5,IF(P723+Q723&gt;=70,4,IF(P723+Q723&gt;=60,3.5,IF(P723+Q723&gt;=50,3,IF(P723+Q723&gt;=40,2,IF(P723+Q723&gt;=33,1,0)))))))</f>
        <v/>
      </c>
      <c r="AJ723">
        <f>IF(R723&lt;8.25,0,IF(R723*2&gt;=80,5,IF(R723*2&gt;=70,4,IF(R723*2&gt;=60,3.5,IF(R723*2&gt;=50,3,IF(R723*2&gt;=40,2,IF(R723*2&gt;=33,1,0)))))))</f>
        <v/>
      </c>
      <c r="AK723">
        <f>IF(S723&lt;33,0,IF(S723&gt;=80,5,IF(S723&gt;=70,4,IF(S723&gt;=60,3.5,IF(S723&gt;=50,3,IF(S723&gt;=40,2,IF(S723&gt;=33,1,0)))))))</f>
        <v/>
      </c>
      <c r="AL723">
        <f>(AC723+AD723+AE723+AF723+AG723+AH723+AI723+AJ723)/8</f>
        <v/>
      </c>
      <c r="AM723">
        <f>IF(AK723&gt;=2,(AK723-2)/8,0)</f>
        <v/>
      </c>
    </row>
    <row r="724">
      <c r="T724">
        <f>SUM(C724:R724)</f>
        <v/>
      </c>
      <c r="U724" s="6">
        <f>ROUND(T724/11.5,2)</f>
        <v/>
      </c>
      <c r="V724" s="7">
        <f>IF(B724="","",IF(AB724,0,ROUND(AL724,2)))</f>
        <v/>
      </c>
      <c r="W724" s="7">
        <f>IF(B724="","",IF(AB724,0,MIN(5,ROUND(AL724+AM724,2))))</f>
        <v/>
      </c>
      <c r="X724" s="8">
        <f>IF(B724="","",IF(W724&gt;=5,"A+",IF(W724&gt;=4,"A",IF(W724&gt;=3.5,"A-",IF(W724&gt;=3,"B",IF(W724&gt;=2,"C",IF(W724&gt;=1,"D","F")))))))</f>
        <v/>
      </c>
      <c r="Y724">
        <f>NOT(OR(AND(J724&gt;=10,K724&gt;=23,L724&gt;=10,M724&gt;=23),AND(J724+L724&gt;=20,K724+M724&gt;=46)))</f>
        <v/>
      </c>
      <c r="Z724">
        <f>OR(N724&lt;10,O724&lt;23)</f>
        <v/>
      </c>
      <c r="AA724">
        <f>OR(P724&lt;10,Q724&lt;23)</f>
        <v/>
      </c>
      <c r="AB724">
        <f>OR((C724+D724)&lt;66,(E724+F724)&lt;66,G724&lt;33,(H724+I724)&lt;66,Y724,Z724,AA724,R724&lt;8.25)</f>
        <v/>
      </c>
      <c r="AC724">
        <f>IF(C724+D724&lt;66,0,IF((C724+D724)/2&gt;=80,5,IF((C724+D724)/2&gt;=70,4,IF((C724+D724)/2&gt;=60,3.5,IF((C724+D724)/2&gt;=50,3,IF((C724+D724)/2&gt;=40,2,IF((C724+D724)/2&gt;=33,1,0)))))))</f>
        <v/>
      </c>
      <c r="AD724">
        <f>IF(E724+F724&lt;66,0,IF((E724+F724)/2&gt;=80,5,IF((E724+F724)/2&gt;=70,4,IF((E724+F724)/2&gt;=60,3.5,IF((E724+F724)/2&gt;=50,3,IF((E724+F724)/2&gt;=40,2,IF((E724+F724)/2&gt;=33,1,0)))))))</f>
        <v/>
      </c>
      <c r="AE724">
        <f>IF(G724&lt;33,0,IF(G724&gt;=80,5,IF(G724&gt;=70,4,IF(G724&gt;=60,3.5,IF(G724&gt;=50,3,IF(G724&gt;=40,2,IF(G724&gt;=33,1,0)))))))</f>
        <v/>
      </c>
      <c r="AF724">
        <f>IF(H724+I724&lt;66,0,IF((H724+I724)/2&gt;=80,5,IF((H724+I724)/2&gt;=70,4,IF((H724+I724)/2&gt;=60,3.5,IF((H724+I724)/2&gt;=50,3,IF((H724+I724)/2&gt;=40,2,IF((H724+I724)/2&gt;=33,1,0)))))))</f>
        <v/>
      </c>
      <c r="AG724">
        <f>IF(Y724,0,IF((J724+K724+L724+M724)/2&gt;=80,5,IF((J724+K724+L724+M724)/2&gt;=70,4,IF((J724+K724+L724+M724)/2&gt;=60,3.5,IF((J724+K724+L724+M724)/2&gt;=50,3,IF((J724+K724+L724+M724)/2&gt;=40,2,IF((J724+K724+L724+M724)/2&gt;=33,1,0)))))))</f>
        <v/>
      </c>
      <c r="AH724">
        <f>IF(Z724,0,IF(N724+O724&gt;=80,5,IF(N724+O724&gt;=70,4,IF(N724+O724&gt;=60,3.5,IF(N724+O724&gt;=50,3,IF(N724+O724&gt;=40,2,IF(N724+O724&gt;=33,1,0)))))))</f>
        <v/>
      </c>
      <c r="AI724">
        <f>IF(AA724,0,IF(P724+Q724&gt;=80,5,IF(P724+Q724&gt;=70,4,IF(P724+Q724&gt;=60,3.5,IF(P724+Q724&gt;=50,3,IF(P724+Q724&gt;=40,2,IF(P724+Q724&gt;=33,1,0)))))))</f>
        <v/>
      </c>
      <c r="AJ724">
        <f>IF(R724&lt;8.25,0,IF(R724*2&gt;=80,5,IF(R724*2&gt;=70,4,IF(R724*2&gt;=60,3.5,IF(R724*2&gt;=50,3,IF(R724*2&gt;=40,2,IF(R724*2&gt;=33,1,0)))))))</f>
        <v/>
      </c>
      <c r="AK724">
        <f>IF(S724&lt;33,0,IF(S724&gt;=80,5,IF(S724&gt;=70,4,IF(S724&gt;=60,3.5,IF(S724&gt;=50,3,IF(S724&gt;=40,2,IF(S724&gt;=33,1,0)))))))</f>
        <v/>
      </c>
      <c r="AL724">
        <f>(AC724+AD724+AE724+AF724+AG724+AH724+AI724+AJ724)/8</f>
        <v/>
      </c>
      <c r="AM724">
        <f>IF(AK724&gt;=2,(AK724-2)/8,0)</f>
        <v/>
      </c>
    </row>
    <row r="725">
      <c r="T725">
        <f>SUM(C725:R725)</f>
        <v/>
      </c>
      <c r="U725" s="6">
        <f>ROUND(T725/11.5,2)</f>
        <v/>
      </c>
      <c r="V725" s="7">
        <f>IF(B725="","",IF(AB725,0,ROUND(AL725,2)))</f>
        <v/>
      </c>
      <c r="W725" s="7">
        <f>IF(B725="","",IF(AB725,0,MIN(5,ROUND(AL725+AM725,2))))</f>
        <v/>
      </c>
      <c r="X725" s="8">
        <f>IF(B725="","",IF(W725&gt;=5,"A+",IF(W725&gt;=4,"A",IF(W725&gt;=3.5,"A-",IF(W725&gt;=3,"B",IF(W725&gt;=2,"C",IF(W725&gt;=1,"D","F")))))))</f>
        <v/>
      </c>
      <c r="Y725">
        <f>NOT(OR(AND(J725&gt;=10,K725&gt;=23,L725&gt;=10,M725&gt;=23),AND(J725+L725&gt;=20,K725+M725&gt;=46)))</f>
        <v/>
      </c>
      <c r="Z725">
        <f>OR(N725&lt;10,O725&lt;23)</f>
        <v/>
      </c>
      <c r="AA725">
        <f>OR(P725&lt;10,Q725&lt;23)</f>
        <v/>
      </c>
      <c r="AB725">
        <f>OR((C725+D725)&lt;66,(E725+F725)&lt;66,G725&lt;33,(H725+I725)&lt;66,Y725,Z725,AA725,R725&lt;8.25)</f>
        <v/>
      </c>
      <c r="AC725">
        <f>IF(C725+D725&lt;66,0,IF((C725+D725)/2&gt;=80,5,IF((C725+D725)/2&gt;=70,4,IF((C725+D725)/2&gt;=60,3.5,IF((C725+D725)/2&gt;=50,3,IF((C725+D725)/2&gt;=40,2,IF((C725+D725)/2&gt;=33,1,0)))))))</f>
        <v/>
      </c>
      <c r="AD725">
        <f>IF(E725+F725&lt;66,0,IF((E725+F725)/2&gt;=80,5,IF((E725+F725)/2&gt;=70,4,IF((E725+F725)/2&gt;=60,3.5,IF((E725+F725)/2&gt;=50,3,IF((E725+F725)/2&gt;=40,2,IF((E725+F725)/2&gt;=33,1,0)))))))</f>
        <v/>
      </c>
      <c r="AE725">
        <f>IF(G725&lt;33,0,IF(G725&gt;=80,5,IF(G725&gt;=70,4,IF(G725&gt;=60,3.5,IF(G725&gt;=50,3,IF(G725&gt;=40,2,IF(G725&gt;=33,1,0)))))))</f>
        <v/>
      </c>
      <c r="AF725">
        <f>IF(H725+I725&lt;66,0,IF((H725+I725)/2&gt;=80,5,IF((H725+I725)/2&gt;=70,4,IF((H725+I725)/2&gt;=60,3.5,IF((H725+I725)/2&gt;=50,3,IF((H725+I725)/2&gt;=40,2,IF((H725+I725)/2&gt;=33,1,0)))))))</f>
        <v/>
      </c>
      <c r="AG725">
        <f>IF(Y725,0,IF((J725+K725+L725+M725)/2&gt;=80,5,IF((J725+K725+L725+M725)/2&gt;=70,4,IF((J725+K725+L725+M725)/2&gt;=60,3.5,IF((J725+K725+L725+M725)/2&gt;=50,3,IF((J725+K725+L725+M725)/2&gt;=40,2,IF((J725+K725+L725+M725)/2&gt;=33,1,0)))))))</f>
        <v/>
      </c>
      <c r="AH725">
        <f>IF(Z725,0,IF(N725+O725&gt;=80,5,IF(N725+O725&gt;=70,4,IF(N725+O725&gt;=60,3.5,IF(N725+O725&gt;=50,3,IF(N725+O725&gt;=40,2,IF(N725+O725&gt;=33,1,0)))))))</f>
        <v/>
      </c>
      <c r="AI725">
        <f>IF(AA725,0,IF(P725+Q725&gt;=80,5,IF(P725+Q725&gt;=70,4,IF(P725+Q725&gt;=60,3.5,IF(P725+Q725&gt;=50,3,IF(P725+Q725&gt;=40,2,IF(P725+Q725&gt;=33,1,0)))))))</f>
        <v/>
      </c>
      <c r="AJ725">
        <f>IF(R725&lt;8.25,0,IF(R725*2&gt;=80,5,IF(R725*2&gt;=70,4,IF(R725*2&gt;=60,3.5,IF(R725*2&gt;=50,3,IF(R725*2&gt;=40,2,IF(R725*2&gt;=33,1,0)))))))</f>
        <v/>
      </c>
      <c r="AK725">
        <f>IF(S725&lt;33,0,IF(S725&gt;=80,5,IF(S725&gt;=70,4,IF(S725&gt;=60,3.5,IF(S725&gt;=50,3,IF(S725&gt;=40,2,IF(S725&gt;=33,1,0)))))))</f>
        <v/>
      </c>
      <c r="AL725">
        <f>(AC725+AD725+AE725+AF725+AG725+AH725+AI725+AJ725)/8</f>
        <v/>
      </c>
      <c r="AM725">
        <f>IF(AK725&gt;=2,(AK725-2)/8,0)</f>
        <v/>
      </c>
    </row>
    <row r="726">
      <c r="T726">
        <f>SUM(C726:R726)</f>
        <v/>
      </c>
      <c r="U726" s="6">
        <f>ROUND(T726/11.5,2)</f>
        <v/>
      </c>
      <c r="V726" s="7">
        <f>IF(B726="","",IF(AB726,0,ROUND(AL726,2)))</f>
        <v/>
      </c>
      <c r="W726" s="7">
        <f>IF(B726="","",IF(AB726,0,MIN(5,ROUND(AL726+AM726,2))))</f>
        <v/>
      </c>
      <c r="X726" s="8">
        <f>IF(B726="","",IF(W726&gt;=5,"A+",IF(W726&gt;=4,"A",IF(W726&gt;=3.5,"A-",IF(W726&gt;=3,"B",IF(W726&gt;=2,"C",IF(W726&gt;=1,"D","F")))))))</f>
        <v/>
      </c>
      <c r="Y726">
        <f>NOT(OR(AND(J726&gt;=10,K726&gt;=23,L726&gt;=10,M726&gt;=23),AND(J726+L726&gt;=20,K726+M726&gt;=46)))</f>
        <v/>
      </c>
      <c r="Z726">
        <f>OR(N726&lt;10,O726&lt;23)</f>
        <v/>
      </c>
      <c r="AA726">
        <f>OR(P726&lt;10,Q726&lt;23)</f>
        <v/>
      </c>
      <c r="AB726">
        <f>OR((C726+D726)&lt;66,(E726+F726)&lt;66,G726&lt;33,(H726+I726)&lt;66,Y726,Z726,AA726,R726&lt;8.25)</f>
        <v/>
      </c>
      <c r="AC726">
        <f>IF(C726+D726&lt;66,0,IF((C726+D726)/2&gt;=80,5,IF((C726+D726)/2&gt;=70,4,IF((C726+D726)/2&gt;=60,3.5,IF((C726+D726)/2&gt;=50,3,IF((C726+D726)/2&gt;=40,2,IF((C726+D726)/2&gt;=33,1,0)))))))</f>
        <v/>
      </c>
      <c r="AD726">
        <f>IF(E726+F726&lt;66,0,IF((E726+F726)/2&gt;=80,5,IF((E726+F726)/2&gt;=70,4,IF((E726+F726)/2&gt;=60,3.5,IF((E726+F726)/2&gt;=50,3,IF((E726+F726)/2&gt;=40,2,IF((E726+F726)/2&gt;=33,1,0)))))))</f>
        <v/>
      </c>
      <c r="AE726">
        <f>IF(G726&lt;33,0,IF(G726&gt;=80,5,IF(G726&gt;=70,4,IF(G726&gt;=60,3.5,IF(G726&gt;=50,3,IF(G726&gt;=40,2,IF(G726&gt;=33,1,0)))))))</f>
        <v/>
      </c>
      <c r="AF726">
        <f>IF(H726+I726&lt;66,0,IF((H726+I726)/2&gt;=80,5,IF((H726+I726)/2&gt;=70,4,IF((H726+I726)/2&gt;=60,3.5,IF((H726+I726)/2&gt;=50,3,IF((H726+I726)/2&gt;=40,2,IF((H726+I726)/2&gt;=33,1,0)))))))</f>
        <v/>
      </c>
      <c r="AG726">
        <f>IF(Y726,0,IF((J726+K726+L726+M726)/2&gt;=80,5,IF((J726+K726+L726+M726)/2&gt;=70,4,IF((J726+K726+L726+M726)/2&gt;=60,3.5,IF((J726+K726+L726+M726)/2&gt;=50,3,IF((J726+K726+L726+M726)/2&gt;=40,2,IF((J726+K726+L726+M726)/2&gt;=33,1,0)))))))</f>
        <v/>
      </c>
      <c r="AH726">
        <f>IF(Z726,0,IF(N726+O726&gt;=80,5,IF(N726+O726&gt;=70,4,IF(N726+O726&gt;=60,3.5,IF(N726+O726&gt;=50,3,IF(N726+O726&gt;=40,2,IF(N726+O726&gt;=33,1,0)))))))</f>
        <v/>
      </c>
      <c r="AI726">
        <f>IF(AA726,0,IF(P726+Q726&gt;=80,5,IF(P726+Q726&gt;=70,4,IF(P726+Q726&gt;=60,3.5,IF(P726+Q726&gt;=50,3,IF(P726+Q726&gt;=40,2,IF(P726+Q726&gt;=33,1,0)))))))</f>
        <v/>
      </c>
      <c r="AJ726">
        <f>IF(R726&lt;8.25,0,IF(R726*2&gt;=80,5,IF(R726*2&gt;=70,4,IF(R726*2&gt;=60,3.5,IF(R726*2&gt;=50,3,IF(R726*2&gt;=40,2,IF(R726*2&gt;=33,1,0)))))))</f>
        <v/>
      </c>
      <c r="AK726">
        <f>IF(S726&lt;33,0,IF(S726&gt;=80,5,IF(S726&gt;=70,4,IF(S726&gt;=60,3.5,IF(S726&gt;=50,3,IF(S726&gt;=40,2,IF(S726&gt;=33,1,0)))))))</f>
        <v/>
      </c>
      <c r="AL726">
        <f>(AC726+AD726+AE726+AF726+AG726+AH726+AI726+AJ726)/8</f>
        <v/>
      </c>
      <c r="AM726">
        <f>IF(AK726&gt;=2,(AK726-2)/8,0)</f>
        <v/>
      </c>
    </row>
    <row r="727">
      <c r="T727">
        <f>SUM(C727:R727)</f>
        <v/>
      </c>
      <c r="U727" s="6">
        <f>ROUND(T727/11.5,2)</f>
        <v/>
      </c>
      <c r="V727" s="7">
        <f>IF(B727="","",IF(AB727,0,ROUND(AL727,2)))</f>
        <v/>
      </c>
      <c r="W727" s="7">
        <f>IF(B727="","",IF(AB727,0,MIN(5,ROUND(AL727+AM727,2))))</f>
        <v/>
      </c>
      <c r="X727" s="8">
        <f>IF(B727="","",IF(W727&gt;=5,"A+",IF(W727&gt;=4,"A",IF(W727&gt;=3.5,"A-",IF(W727&gt;=3,"B",IF(W727&gt;=2,"C",IF(W727&gt;=1,"D","F")))))))</f>
        <v/>
      </c>
      <c r="Y727">
        <f>NOT(OR(AND(J727&gt;=10,K727&gt;=23,L727&gt;=10,M727&gt;=23),AND(J727+L727&gt;=20,K727+M727&gt;=46)))</f>
        <v/>
      </c>
      <c r="Z727">
        <f>OR(N727&lt;10,O727&lt;23)</f>
        <v/>
      </c>
      <c r="AA727">
        <f>OR(P727&lt;10,Q727&lt;23)</f>
        <v/>
      </c>
      <c r="AB727">
        <f>OR((C727+D727)&lt;66,(E727+F727)&lt;66,G727&lt;33,(H727+I727)&lt;66,Y727,Z727,AA727,R727&lt;8.25)</f>
        <v/>
      </c>
      <c r="AC727">
        <f>IF(C727+D727&lt;66,0,IF((C727+D727)/2&gt;=80,5,IF((C727+D727)/2&gt;=70,4,IF((C727+D727)/2&gt;=60,3.5,IF((C727+D727)/2&gt;=50,3,IF((C727+D727)/2&gt;=40,2,IF((C727+D727)/2&gt;=33,1,0)))))))</f>
        <v/>
      </c>
      <c r="AD727">
        <f>IF(E727+F727&lt;66,0,IF((E727+F727)/2&gt;=80,5,IF((E727+F727)/2&gt;=70,4,IF((E727+F727)/2&gt;=60,3.5,IF((E727+F727)/2&gt;=50,3,IF((E727+F727)/2&gt;=40,2,IF((E727+F727)/2&gt;=33,1,0)))))))</f>
        <v/>
      </c>
      <c r="AE727">
        <f>IF(G727&lt;33,0,IF(G727&gt;=80,5,IF(G727&gt;=70,4,IF(G727&gt;=60,3.5,IF(G727&gt;=50,3,IF(G727&gt;=40,2,IF(G727&gt;=33,1,0)))))))</f>
        <v/>
      </c>
      <c r="AF727">
        <f>IF(H727+I727&lt;66,0,IF((H727+I727)/2&gt;=80,5,IF((H727+I727)/2&gt;=70,4,IF((H727+I727)/2&gt;=60,3.5,IF((H727+I727)/2&gt;=50,3,IF((H727+I727)/2&gt;=40,2,IF((H727+I727)/2&gt;=33,1,0)))))))</f>
        <v/>
      </c>
      <c r="AG727">
        <f>IF(Y727,0,IF((J727+K727+L727+M727)/2&gt;=80,5,IF((J727+K727+L727+M727)/2&gt;=70,4,IF((J727+K727+L727+M727)/2&gt;=60,3.5,IF((J727+K727+L727+M727)/2&gt;=50,3,IF((J727+K727+L727+M727)/2&gt;=40,2,IF((J727+K727+L727+M727)/2&gt;=33,1,0)))))))</f>
        <v/>
      </c>
      <c r="AH727">
        <f>IF(Z727,0,IF(N727+O727&gt;=80,5,IF(N727+O727&gt;=70,4,IF(N727+O727&gt;=60,3.5,IF(N727+O727&gt;=50,3,IF(N727+O727&gt;=40,2,IF(N727+O727&gt;=33,1,0)))))))</f>
        <v/>
      </c>
      <c r="AI727">
        <f>IF(AA727,0,IF(P727+Q727&gt;=80,5,IF(P727+Q727&gt;=70,4,IF(P727+Q727&gt;=60,3.5,IF(P727+Q727&gt;=50,3,IF(P727+Q727&gt;=40,2,IF(P727+Q727&gt;=33,1,0)))))))</f>
        <v/>
      </c>
      <c r="AJ727">
        <f>IF(R727&lt;8.25,0,IF(R727*2&gt;=80,5,IF(R727*2&gt;=70,4,IF(R727*2&gt;=60,3.5,IF(R727*2&gt;=50,3,IF(R727*2&gt;=40,2,IF(R727*2&gt;=33,1,0)))))))</f>
        <v/>
      </c>
      <c r="AK727">
        <f>IF(S727&lt;33,0,IF(S727&gt;=80,5,IF(S727&gt;=70,4,IF(S727&gt;=60,3.5,IF(S727&gt;=50,3,IF(S727&gt;=40,2,IF(S727&gt;=33,1,0)))))))</f>
        <v/>
      </c>
      <c r="AL727">
        <f>(AC727+AD727+AE727+AF727+AG727+AH727+AI727+AJ727)/8</f>
        <v/>
      </c>
      <c r="AM727">
        <f>IF(AK727&gt;=2,(AK727-2)/8,0)</f>
        <v/>
      </c>
    </row>
    <row r="728">
      <c r="T728">
        <f>SUM(C728:R728)</f>
        <v/>
      </c>
      <c r="U728" s="6">
        <f>ROUND(T728/11.5,2)</f>
        <v/>
      </c>
      <c r="V728" s="7">
        <f>IF(B728="","",IF(AB728,0,ROUND(AL728,2)))</f>
        <v/>
      </c>
      <c r="W728" s="7">
        <f>IF(B728="","",IF(AB728,0,MIN(5,ROUND(AL728+AM728,2))))</f>
        <v/>
      </c>
      <c r="X728" s="8">
        <f>IF(B728="","",IF(W728&gt;=5,"A+",IF(W728&gt;=4,"A",IF(W728&gt;=3.5,"A-",IF(W728&gt;=3,"B",IF(W728&gt;=2,"C",IF(W728&gt;=1,"D","F")))))))</f>
        <v/>
      </c>
      <c r="Y728">
        <f>NOT(OR(AND(J728&gt;=10,K728&gt;=23,L728&gt;=10,M728&gt;=23),AND(J728+L728&gt;=20,K728+M728&gt;=46)))</f>
        <v/>
      </c>
      <c r="Z728">
        <f>OR(N728&lt;10,O728&lt;23)</f>
        <v/>
      </c>
      <c r="AA728">
        <f>OR(P728&lt;10,Q728&lt;23)</f>
        <v/>
      </c>
      <c r="AB728">
        <f>OR((C728+D728)&lt;66,(E728+F728)&lt;66,G728&lt;33,(H728+I728)&lt;66,Y728,Z728,AA728,R728&lt;8.25)</f>
        <v/>
      </c>
      <c r="AC728">
        <f>IF(C728+D728&lt;66,0,IF((C728+D728)/2&gt;=80,5,IF((C728+D728)/2&gt;=70,4,IF((C728+D728)/2&gt;=60,3.5,IF((C728+D728)/2&gt;=50,3,IF((C728+D728)/2&gt;=40,2,IF((C728+D728)/2&gt;=33,1,0)))))))</f>
        <v/>
      </c>
      <c r="AD728">
        <f>IF(E728+F728&lt;66,0,IF((E728+F728)/2&gt;=80,5,IF((E728+F728)/2&gt;=70,4,IF((E728+F728)/2&gt;=60,3.5,IF((E728+F728)/2&gt;=50,3,IF((E728+F728)/2&gt;=40,2,IF((E728+F728)/2&gt;=33,1,0)))))))</f>
        <v/>
      </c>
      <c r="AE728">
        <f>IF(G728&lt;33,0,IF(G728&gt;=80,5,IF(G728&gt;=70,4,IF(G728&gt;=60,3.5,IF(G728&gt;=50,3,IF(G728&gt;=40,2,IF(G728&gt;=33,1,0)))))))</f>
        <v/>
      </c>
      <c r="AF728">
        <f>IF(H728+I728&lt;66,0,IF((H728+I728)/2&gt;=80,5,IF((H728+I728)/2&gt;=70,4,IF((H728+I728)/2&gt;=60,3.5,IF((H728+I728)/2&gt;=50,3,IF((H728+I728)/2&gt;=40,2,IF((H728+I728)/2&gt;=33,1,0)))))))</f>
        <v/>
      </c>
      <c r="AG728">
        <f>IF(Y728,0,IF((J728+K728+L728+M728)/2&gt;=80,5,IF((J728+K728+L728+M728)/2&gt;=70,4,IF((J728+K728+L728+M728)/2&gt;=60,3.5,IF((J728+K728+L728+M728)/2&gt;=50,3,IF((J728+K728+L728+M728)/2&gt;=40,2,IF((J728+K728+L728+M728)/2&gt;=33,1,0)))))))</f>
        <v/>
      </c>
      <c r="AH728">
        <f>IF(Z728,0,IF(N728+O728&gt;=80,5,IF(N728+O728&gt;=70,4,IF(N728+O728&gt;=60,3.5,IF(N728+O728&gt;=50,3,IF(N728+O728&gt;=40,2,IF(N728+O728&gt;=33,1,0)))))))</f>
        <v/>
      </c>
      <c r="AI728">
        <f>IF(AA728,0,IF(P728+Q728&gt;=80,5,IF(P728+Q728&gt;=70,4,IF(P728+Q728&gt;=60,3.5,IF(P728+Q728&gt;=50,3,IF(P728+Q728&gt;=40,2,IF(P728+Q728&gt;=33,1,0)))))))</f>
        <v/>
      </c>
      <c r="AJ728">
        <f>IF(R728&lt;8.25,0,IF(R728*2&gt;=80,5,IF(R728*2&gt;=70,4,IF(R728*2&gt;=60,3.5,IF(R728*2&gt;=50,3,IF(R728*2&gt;=40,2,IF(R728*2&gt;=33,1,0)))))))</f>
        <v/>
      </c>
      <c r="AK728">
        <f>IF(S728&lt;33,0,IF(S728&gt;=80,5,IF(S728&gt;=70,4,IF(S728&gt;=60,3.5,IF(S728&gt;=50,3,IF(S728&gt;=40,2,IF(S728&gt;=33,1,0)))))))</f>
        <v/>
      </c>
      <c r="AL728">
        <f>(AC728+AD728+AE728+AF728+AG728+AH728+AI728+AJ728)/8</f>
        <v/>
      </c>
      <c r="AM728">
        <f>IF(AK728&gt;=2,(AK728-2)/8,0)</f>
        <v/>
      </c>
    </row>
    <row r="729">
      <c r="T729">
        <f>SUM(C729:R729)</f>
        <v/>
      </c>
      <c r="U729" s="6">
        <f>ROUND(T729/11.5,2)</f>
        <v/>
      </c>
      <c r="V729" s="7">
        <f>IF(B729="","",IF(AB729,0,ROUND(AL729,2)))</f>
        <v/>
      </c>
      <c r="W729" s="7">
        <f>IF(B729="","",IF(AB729,0,MIN(5,ROUND(AL729+AM729,2))))</f>
        <v/>
      </c>
      <c r="X729" s="8">
        <f>IF(B729="","",IF(W729&gt;=5,"A+",IF(W729&gt;=4,"A",IF(W729&gt;=3.5,"A-",IF(W729&gt;=3,"B",IF(W729&gt;=2,"C",IF(W729&gt;=1,"D","F")))))))</f>
        <v/>
      </c>
      <c r="Y729">
        <f>NOT(OR(AND(J729&gt;=10,K729&gt;=23,L729&gt;=10,M729&gt;=23),AND(J729+L729&gt;=20,K729+M729&gt;=46)))</f>
        <v/>
      </c>
      <c r="Z729">
        <f>OR(N729&lt;10,O729&lt;23)</f>
        <v/>
      </c>
      <c r="AA729">
        <f>OR(P729&lt;10,Q729&lt;23)</f>
        <v/>
      </c>
      <c r="AB729">
        <f>OR((C729+D729)&lt;66,(E729+F729)&lt;66,G729&lt;33,(H729+I729)&lt;66,Y729,Z729,AA729,R729&lt;8.25)</f>
        <v/>
      </c>
      <c r="AC729">
        <f>IF(C729+D729&lt;66,0,IF((C729+D729)/2&gt;=80,5,IF((C729+D729)/2&gt;=70,4,IF((C729+D729)/2&gt;=60,3.5,IF((C729+D729)/2&gt;=50,3,IF((C729+D729)/2&gt;=40,2,IF((C729+D729)/2&gt;=33,1,0)))))))</f>
        <v/>
      </c>
      <c r="AD729">
        <f>IF(E729+F729&lt;66,0,IF((E729+F729)/2&gt;=80,5,IF((E729+F729)/2&gt;=70,4,IF((E729+F729)/2&gt;=60,3.5,IF((E729+F729)/2&gt;=50,3,IF((E729+F729)/2&gt;=40,2,IF((E729+F729)/2&gt;=33,1,0)))))))</f>
        <v/>
      </c>
      <c r="AE729">
        <f>IF(G729&lt;33,0,IF(G729&gt;=80,5,IF(G729&gt;=70,4,IF(G729&gt;=60,3.5,IF(G729&gt;=50,3,IF(G729&gt;=40,2,IF(G729&gt;=33,1,0)))))))</f>
        <v/>
      </c>
      <c r="AF729">
        <f>IF(H729+I729&lt;66,0,IF((H729+I729)/2&gt;=80,5,IF((H729+I729)/2&gt;=70,4,IF((H729+I729)/2&gt;=60,3.5,IF((H729+I729)/2&gt;=50,3,IF((H729+I729)/2&gt;=40,2,IF((H729+I729)/2&gt;=33,1,0)))))))</f>
        <v/>
      </c>
      <c r="AG729">
        <f>IF(Y729,0,IF((J729+K729+L729+M729)/2&gt;=80,5,IF((J729+K729+L729+M729)/2&gt;=70,4,IF((J729+K729+L729+M729)/2&gt;=60,3.5,IF((J729+K729+L729+M729)/2&gt;=50,3,IF((J729+K729+L729+M729)/2&gt;=40,2,IF((J729+K729+L729+M729)/2&gt;=33,1,0)))))))</f>
        <v/>
      </c>
      <c r="AH729">
        <f>IF(Z729,0,IF(N729+O729&gt;=80,5,IF(N729+O729&gt;=70,4,IF(N729+O729&gt;=60,3.5,IF(N729+O729&gt;=50,3,IF(N729+O729&gt;=40,2,IF(N729+O729&gt;=33,1,0)))))))</f>
        <v/>
      </c>
      <c r="AI729">
        <f>IF(AA729,0,IF(P729+Q729&gt;=80,5,IF(P729+Q729&gt;=70,4,IF(P729+Q729&gt;=60,3.5,IF(P729+Q729&gt;=50,3,IF(P729+Q729&gt;=40,2,IF(P729+Q729&gt;=33,1,0)))))))</f>
        <v/>
      </c>
      <c r="AJ729">
        <f>IF(R729&lt;8.25,0,IF(R729*2&gt;=80,5,IF(R729*2&gt;=70,4,IF(R729*2&gt;=60,3.5,IF(R729*2&gt;=50,3,IF(R729*2&gt;=40,2,IF(R729*2&gt;=33,1,0)))))))</f>
        <v/>
      </c>
      <c r="AK729">
        <f>IF(S729&lt;33,0,IF(S729&gt;=80,5,IF(S729&gt;=70,4,IF(S729&gt;=60,3.5,IF(S729&gt;=50,3,IF(S729&gt;=40,2,IF(S729&gt;=33,1,0)))))))</f>
        <v/>
      </c>
      <c r="AL729">
        <f>(AC729+AD729+AE729+AF729+AG729+AH729+AI729+AJ729)/8</f>
        <v/>
      </c>
      <c r="AM729">
        <f>IF(AK729&gt;=2,(AK729-2)/8,0)</f>
        <v/>
      </c>
    </row>
    <row r="730">
      <c r="T730">
        <f>SUM(C730:R730)</f>
        <v/>
      </c>
      <c r="U730" s="6">
        <f>ROUND(T730/11.5,2)</f>
        <v/>
      </c>
      <c r="V730" s="7">
        <f>IF(B730="","",IF(AB730,0,ROUND(AL730,2)))</f>
        <v/>
      </c>
      <c r="W730" s="7">
        <f>IF(B730="","",IF(AB730,0,MIN(5,ROUND(AL730+AM730,2))))</f>
        <v/>
      </c>
      <c r="X730" s="8">
        <f>IF(B730="","",IF(W730&gt;=5,"A+",IF(W730&gt;=4,"A",IF(W730&gt;=3.5,"A-",IF(W730&gt;=3,"B",IF(W730&gt;=2,"C",IF(W730&gt;=1,"D","F")))))))</f>
        <v/>
      </c>
      <c r="Y730">
        <f>NOT(OR(AND(J730&gt;=10,K730&gt;=23,L730&gt;=10,M730&gt;=23),AND(J730+L730&gt;=20,K730+M730&gt;=46)))</f>
        <v/>
      </c>
      <c r="Z730">
        <f>OR(N730&lt;10,O730&lt;23)</f>
        <v/>
      </c>
      <c r="AA730">
        <f>OR(P730&lt;10,Q730&lt;23)</f>
        <v/>
      </c>
      <c r="AB730">
        <f>OR((C730+D730)&lt;66,(E730+F730)&lt;66,G730&lt;33,(H730+I730)&lt;66,Y730,Z730,AA730,R730&lt;8.25)</f>
        <v/>
      </c>
      <c r="AC730">
        <f>IF(C730+D730&lt;66,0,IF((C730+D730)/2&gt;=80,5,IF((C730+D730)/2&gt;=70,4,IF((C730+D730)/2&gt;=60,3.5,IF((C730+D730)/2&gt;=50,3,IF((C730+D730)/2&gt;=40,2,IF((C730+D730)/2&gt;=33,1,0)))))))</f>
        <v/>
      </c>
      <c r="AD730">
        <f>IF(E730+F730&lt;66,0,IF((E730+F730)/2&gt;=80,5,IF((E730+F730)/2&gt;=70,4,IF((E730+F730)/2&gt;=60,3.5,IF((E730+F730)/2&gt;=50,3,IF((E730+F730)/2&gt;=40,2,IF((E730+F730)/2&gt;=33,1,0)))))))</f>
        <v/>
      </c>
      <c r="AE730">
        <f>IF(G730&lt;33,0,IF(G730&gt;=80,5,IF(G730&gt;=70,4,IF(G730&gt;=60,3.5,IF(G730&gt;=50,3,IF(G730&gt;=40,2,IF(G730&gt;=33,1,0)))))))</f>
        <v/>
      </c>
      <c r="AF730">
        <f>IF(H730+I730&lt;66,0,IF((H730+I730)/2&gt;=80,5,IF((H730+I730)/2&gt;=70,4,IF((H730+I730)/2&gt;=60,3.5,IF((H730+I730)/2&gt;=50,3,IF((H730+I730)/2&gt;=40,2,IF((H730+I730)/2&gt;=33,1,0)))))))</f>
        <v/>
      </c>
      <c r="AG730">
        <f>IF(Y730,0,IF((J730+K730+L730+M730)/2&gt;=80,5,IF((J730+K730+L730+M730)/2&gt;=70,4,IF((J730+K730+L730+M730)/2&gt;=60,3.5,IF((J730+K730+L730+M730)/2&gt;=50,3,IF((J730+K730+L730+M730)/2&gt;=40,2,IF((J730+K730+L730+M730)/2&gt;=33,1,0)))))))</f>
        <v/>
      </c>
      <c r="AH730">
        <f>IF(Z730,0,IF(N730+O730&gt;=80,5,IF(N730+O730&gt;=70,4,IF(N730+O730&gt;=60,3.5,IF(N730+O730&gt;=50,3,IF(N730+O730&gt;=40,2,IF(N730+O730&gt;=33,1,0)))))))</f>
        <v/>
      </c>
      <c r="AI730">
        <f>IF(AA730,0,IF(P730+Q730&gt;=80,5,IF(P730+Q730&gt;=70,4,IF(P730+Q730&gt;=60,3.5,IF(P730+Q730&gt;=50,3,IF(P730+Q730&gt;=40,2,IF(P730+Q730&gt;=33,1,0)))))))</f>
        <v/>
      </c>
      <c r="AJ730">
        <f>IF(R730&lt;8.25,0,IF(R730*2&gt;=80,5,IF(R730*2&gt;=70,4,IF(R730*2&gt;=60,3.5,IF(R730*2&gt;=50,3,IF(R730*2&gt;=40,2,IF(R730*2&gt;=33,1,0)))))))</f>
        <v/>
      </c>
      <c r="AK730">
        <f>IF(S730&lt;33,0,IF(S730&gt;=80,5,IF(S730&gt;=70,4,IF(S730&gt;=60,3.5,IF(S730&gt;=50,3,IF(S730&gt;=40,2,IF(S730&gt;=33,1,0)))))))</f>
        <v/>
      </c>
      <c r="AL730">
        <f>(AC730+AD730+AE730+AF730+AG730+AH730+AI730+AJ730)/8</f>
        <v/>
      </c>
      <c r="AM730">
        <f>IF(AK730&gt;=2,(AK730-2)/8,0)</f>
        <v/>
      </c>
    </row>
    <row r="731">
      <c r="T731">
        <f>SUM(C731:R731)</f>
        <v/>
      </c>
      <c r="U731" s="6">
        <f>ROUND(T731/11.5,2)</f>
        <v/>
      </c>
      <c r="V731" s="7">
        <f>IF(B731="","",IF(AB731,0,ROUND(AL731,2)))</f>
        <v/>
      </c>
      <c r="W731" s="7">
        <f>IF(B731="","",IF(AB731,0,MIN(5,ROUND(AL731+AM731,2))))</f>
        <v/>
      </c>
      <c r="X731" s="8">
        <f>IF(B731="","",IF(W731&gt;=5,"A+",IF(W731&gt;=4,"A",IF(W731&gt;=3.5,"A-",IF(W731&gt;=3,"B",IF(W731&gt;=2,"C",IF(W731&gt;=1,"D","F")))))))</f>
        <v/>
      </c>
      <c r="Y731">
        <f>NOT(OR(AND(J731&gt;=10,K731&gt;=23,L731&gt;=10,M731&gt;=23),AND(J731+L731&gt;=20,K731+M731&gt;=46)))</f>
        <v/>
      </c>
      <c r="Z731">
        <f>OR(N731&lt;10,O731&lt;23)</f>
        <v/>
      </c>
      <c r="AA731">
        <f>OR(P731&lt;10,Q731&lt;23)</f>
        <v/>
      </c>
      <c r="AB731">
        <f>OR((C731+D731)&lt;66,(E731+F731)&lt;66,G731&lt;33,(H731+I731)&lt;66,Y731,Z731,AA731,R731&lt;8.25)</f>
        <v/>
      </c>
      <c r="AC731">
        <f>IF(C731+D731&lt;66,0,IF((C731+D731)/2&gt;=80,5,IF((C731+D731)/2&gt;=70,4,IF((C731+D731)/2&gt;=60,3.5,IF((C731+D731)/2&gt;=50,3,IF((C731+D731)/2&gt;=40,2,IF((C731+D731)/2&gt;=33,1,0)))))))</f>
        <v/>
      </c>
      <c r="AD731">
        <f>IF(E731+F731&lt;66,0,IF((E731+F731)/2&gt;=80,5,IF((E731+F731)/2&gt;=70,4,IF((E731+F731)/2&gt;=60,3.5,IF((E731+F731)/2&gt;=50,3,IF((E731+F731)/2&gt;=40,2,IF((E731+F731)/2&gt;=33,1,0)))))))</f>
        <v/>
      </c>
      <c r="AE731">
        <f>IF(G731&lt;33,0,IF(G731&gt;=80,5,IF(G731&gt;=70,4,IF(G731&gt;=60,3.5,IF(G731&gt;=50,3,IF(G731&gt;=40,2,IF(G731&gt;=33,1,0)))))))</f>
        <v/>
      </c>
      <c r="AF731">
        <f>IF(H731+I731&lt;66,0,IF((H731+I731)/2&gt;=80,5,IF((H731+I731)/2&gt;=70,4,IF((H731+I731)/2&gt;=60,3.5,IF((H731+I731)/2&gt;=50,3,IF((H731+I731)/2&gt;=40,2,IF((H731+I731)/2&gt;=33,1,0)))))))</f>
        <v/>
      </c>
      <c r="AG731">
        <f>IF(Y731,0,IF((J731+K731+L731+M731)/2&gt;=80,5,IF((J731+K731+L731+M731)/2&gt;=70,4,IF((J731+K731+L731+M731)/2&gt;=60,3.5,IF((J731+K731+L731+M731)/2&gt;=50,3,IF((J731+K731+L731+M731)/2&gt;=40,2,IF((J731+K731+L731+M731)/2&gt;=33,1,0)))))))</f>
        <v/>
      </c>
      <c r="AH731">
        <f>IF(Z731,0,IF(N731+O731&gt;=80,5,IF(N731+O731&gt;=70,4,IF(N731+O731&gt;=60,3.5,IF(N731+O731&gt;=50,3,IF(N731+O731&gt;=40,2,IF(N731+O731&gt;=33,1,0)))))))</f>
        <v/>
      </c>
      <c r="AI731">
        <f>IF(AA731,0,IF(P731+Q731&gt;=80,5,IF(P731+Q731&gt;=70,4,IF(P731+Q731&gt;=60,3.5,IF(P731+Q731&gt;=50,3,IF(P731+Q731&gt;=40,2,IF(P731+Q731&gt;=33,1,0)))))))</f>
        <v/>
      </c>
      <c r="AJ731">
        <f>IF(R731&lt;8.25,0,IF(R731*2&gt;=80,5,IF(R731*2&gt;=70,4,IF(R731*2&gt;=60,3.5,IF(R731*2&gt;=50,3,IF(R731*2&gt;=40,2,IF(R731*2&gt;=33,1,0)))))))</f>
        <v/>
      </c>
      <c r="AK731">
        <f>IF(S731&lt;33,0,IF(S731&gt;=80,5,IF(S731&gt;=70,4,IF(S731&gt;=60,3.5,IF(S731&gt;=50,3,IF(S731&gt;=40,2,IF(S731&gt;=33,1,0)))))))</f>
        <v/>
      </c>
      <c r="AL731">
        <f>(AC731+AD731+AE731+AF731+AG731+AH731+AI731+AJ731)/8</f>
        <v/>
      </c>
      <c r="AM731">
        <f>IF(AK731&gt;=2,(AK731-2)/8,0)</f>
        <v/>
      </c>
    </row>
    <row r="732">
      <c r="T732">
        <f>SUM(C732:R732)</f>
        <v/>
      </c>
      <c r="U732" s="6">
        <f>ROUND(T732/11.5,2)</f>
        <v/>
      </c>
      <c r="V732" s="7">
        <f>IF(B732="","",IF(AB732,0,ROUND(AL732,2)))</f>
        <v/>
      </c>
      <c r="W732" s="7">
        <f>IF(B732="","",IF(AB732,0,MIN(5,ROUND(AL732+AM732,2))))</f>
        <v/>
      </c>
      <c r="X732" s="8">
        <f>IF(B732="","",IF(W732&gt;=5,"A+",IF(W732&gt;=4,"A",IF(W732&gt;=3.5,"A-",IF(W732&gt;=3,"B",IF(W732&gt;=2,"C",IF(W732&gt;=1,"D","F")))))))</f>
        <v/>
      </c>
      <c r="Y732">
        <f>NOT(OR(AND(J732&gt;=10,K732&gt;=23,L732&gt;=10,M732&gt;=23),AND(J732+L732&gt;=20,K732+M732&gt;=46)))</f>
        <v/>
      </c>
      <c r="Z732">
        <f>OR(N732&lt;10,O732&lt;23)</f>
        <v/>
      </c>
      <c r="AA732">
        <f>OR(P732&lt;10,Q732&lt;23)</f>
        <v/>
      </c>
      <c r="AB732">
        <f>OR((C732+D732)&lt;66,(E732+F732)&lt;66,G732&lt;33,(H732+I732)&lt;66,Y732,Z732,AA732,R732&lt;8.25)</f>
        <v/>
      </c>
      <c r="AC732">
        <f>IF(C732+D732&lt;66,0,IF((C732+D732)/2&gt;=80,5,IF((C732+D732)/2&gt;=70,4,IF((C732+D732)/2&gt;=60,3.5,IF((C732+D732)/2&gt;=50,3,IF((C732+D732)/2&gt;=40,2,IF((C732+D732)/2&gt;=33,1,0)))))))</f>
        <v/>
      </c>
      <c r="AD732">
        <f>IF(E732+F732&lt;66,0,IF((E732+F732)/2&gt;=80,5,IF((E732+F732)/2&gt;=70,4,IF((E732+F732)/2&gt;=60,3.5,IF((E732+F732)/2&gt;=50,3,IF((E732+F732)/2&gt;=40,2,IF((E732+F732)/2&gt;=33,1,0)))))))</f>
        <v/>
      </c>
      <c r="AE732">
        <f>IF(G732&lt;33,0,IF(G732&gt;=80,5,IF(G732&gt;=70,4,IF(G732&gt;=60,3.5,IF(G732&gt;=50,3,IF(G732&gt;=40,2,IF(G732&gt;=33,1,0)))))))</f>
        <v/>
      </c>
      <c r="AF732">
        <f>IF(H732+I732&lt;66,0,IF((H732+I732)/2&gt;=80,5,IF((H732+I732)/2&gt;=70,4,IF((H732+I732)/2&gt;=60,3.5,IF((H732+I732)/2&gt;=50,3,IF((H732+I732)/2&gt;=40,2,IF((H732+I732)/2&gt;=33,1,0)))))))</f>
        <v/>
      </c>
      <c r="AG732">
        <f>IF(Y732,0,IF((J732+K732+L732+M732)/2&gt;=80,5,IF((J732+K732+L732+M732)/2&gt;=70,4,IF((J732+K732+L732+M732)/2&gt;=60,3.5,IF((J732+K732+L732+M732)/2&gt;=50,3,IF((J732+K732+L732+M732)/2&gt;=40,2,IF((J732+K732+L732+M732)/2&gt;=33,1,0)))))))</f>
        <v/>
      </c>
      <c r="AH732">
        <f>IF(Z732,0,IF(N732+O732&gt;=80,5,IF(N732+O732&gt;=70,4,IF(N732+O732&gt;=60,3.5,IF(N732+O732&gt;=50,3,IF(N732+O732&gt;=40,2,IF(N732+O732&gt;=33,1,0)))))))</f>
        <v/>
      </c>
      <c r="AI732">
        <f>IF(AA732,0,IF(P732+Q732&gt;=80,5,IF(P732+Q732&gt;=70,4,IF(P732+Q732&gt;=60,3.5,IF(P732+Q732&gt;=50,3,IF(P732+Q732&gt;=40,2,IF(P732+Q732&gt;=33,1,0)))))))</f>
        <v/>
      </c>
      <c r="AJ732">
        <f>IF(R732&lt;8.25,0,IF(R732*2&gt;=80,5,IF(R732*2&gt;=70,4,IF(R732*2&gt;=60,3.5,IF(R732*2&gt;=50,3,IF(R732*2&gt;=40,2,IF(R732*2&gt;=33,1,0)))))))</f>
        <v/>
      </c>
      <c r="AK732">
        <f>IF(S732&lt;33,0,IF(S732&gt;=80,5,IF(S732&gt;=70,4,IF(S732&gt;=60,3.5,IF(S732&gt;=50,3,IF(S732&gt;=40,2,IF(S732&gt;=33,1,0)))))))</f>
        <v/>
      </c>
      <c r="AL732">
        <f>(AC732+AD732+AE732+AF732+AG732+AH732+AI732+AJ732)/8</f>
        <v/>
      </c>
      <c r="AM732">
        <f>IF(AK732&gt;=2,(AK732-2)/8,0)</f>
        <v/>
      </c>
    </row>
    <row r="733">
      <c r="T733">
        <f>SUM(C733:R733)</f>
        <v/>
      </c>
      <c r="U733" s="6">
        <f>ROUND(T733/11.5,2)</f>
        <v/>
      </c>
      <c r="V733" s="7">
        <f>IF(B733="","",IF(AB733,0,ROUND(AL733,2)))</f>
        <v/>
      </c>
      <c r="W733" s="7">
        <f>IF(B733="","",IF(AB733,0,MIN(5,ROUND(AL733+AM733,2))))</f>
        <v/>
      </c>
      <c r="X733" s="8">
        <f>IF(B733="","",IF(W733&gt;=5,"A+",IF(W733&gt;=4,"A",IF(W733&gt;=3.5,"A-",IF(W733&gt;=3,"B",IF(W733&gt;=2,"C",IF(W733&gt;=1,"D","F")))))))</f>
        <v/>
      </c>
      <c r="Y733">
        <f>NOT(OR(AND(J733&gt;=10,K733&gt;=23,L733&gt;=10,M733&gt;=23),AND(J733+L733&gt;=20,K733+M733&gt;=46)))</f>
        <v/>
      </c>
      <c r="Z733">
        <f>OR(N733&lt;10,O733&lt;23)</f>
        <v/>
      </c>
      <c r="AA733">
        <f>OR(P733&lt;10,Q733&lt;23)</f>
        <v/>
      </c>
      <c r="AB733">
        <f>OR((C733+D733)&lt;66,(E733+F733)&lt;66,G733&lt;33,(H733+I733)&lt;66,Y733,Z733,AA733,R733&lt;8.25)</f>
        <v/>
      </c>
      <c r="AC733">
        <f>IF(C733+D733&lt;66,0,IF((C733+D733)/2&gt;=80,5,IF((C733+D733)/2&gt;=70,4,IF((C733+D733)/2&gt;=60,3.5,IF((C733+D733)/2&gt;=50,3,IF((C733+D733)/2&gt;=40,2,IF((C733+D733)/2&gt;=33,1,0)))))))</f>
        <v/>
      </c>
      <c r="AD733">
        <f>IF(E733+F733&lt;66,0,IF((E733+F733)/2&gt;=80,5,IF((E733+F733)/2&gt;=70,4,IF((E733+F733)/2&gt;=60,3.5,IF((E733+F733)/2&gt;=50,3,IF((E733+F733)/2&gt;=40,2,IF((E733+F733)/2&gt;=33,1,0)))))))</f>
        <v/>
      </c>
      <c r="AE733">
        <f>IF(G733&lt;33,0,IF(G733&gt;=80,5,IF(G733&gt;=70,4,IF(G733&gt;=60,3.5,IF(G733&gt;=50,3,IF(G733&gt;=40,2,IF(G733&gt;=33,1,0)))))))</f>
        <v/>
      </c>
      <c r="AF733">
        <f>IF(H733+I733&lt;66,0,IF((H733+I733)/2&gt;=80,5,IF((H733+I733)/2&gt;=70,4,IF((H733+I733)/2&gt;=60,3.5,IF((H733+I733)/2&gt;=50,3,IF((H733+I733)/2&gt;=40,2,IF((H733+I733)/2&gt;=33,1,0)))))))</f>
        <v/>
      </c>
      <c r="AG733">
        <f>IF(Y733,0,IF((J733+K733+L733+M733)/2&gt;=80,5,IF((J733+K733+L733+M733)/2&gt;=70,4,IF((J733+K733+L733+M733)/2&gt;=60,3.5,IF((J733+K733+L733+M733)/2&gt;=50,3,IF((J733+K733+L733+M733)/2&gt;=40,2,IF((J733+K733+L733+M733)/2&gt;=33,1,0)))))))</f>
        <v/>
      </c>
      <c r="AH733">
        <f>IF(Z733,0,IF(N733+O733&gt;=80,5,IF(N733+O733&gt;=70,4,IF(N733+O733&gt;=60,3.5,IF(N733+O733&gt;=50,3,IF(N733+O733&gt;=40,2,IF(N733+O733&gt;=33,1,0)))))))</f>
        <v/>
      </c>
      <c r="AI733">
        <f>IF(AA733,0,IF(P733+Q733&gt;=80,5,IF(P733+Q733&gt;=70,4,IF(P733+Q733&gt;=60,3.5,IF(P733+Q733&gt;=50,3,IF(P733+Q733&gt;=40,2,IF(P733+Q733&gt;=33,1,0)))))))</f>
        <v/>
      </c>
      <c r="AJ733">
        <f>IF(R733&lt;8.25,0,IF(R733*2&gt;=80,5,IF(R733*2&gt;=70,4,IF(R733*2&gt;=60,3.5,IF(R733*2&gt;=50,3,IF(R733*2&gt;=40,2,IF(R733*2&gt;=33,1,0)))))))</f>
        <v/>
      </c>
      <c r="AK733">
        <f>IF(S733&lt;33,0,IF(S733&gt;=80,5,IF(S733&gt;=70,4,IF(S733&gt;=60,3.5,IF(S733&gt;=50,3,IF(S733&gt;=40,2,IF(S733&gt;=33,1,0)))))))</f>
        <v/>
      </c>
      <c r="AL733">
        <f>(AC733+AD733+AE733+AF733+AG733+AH733+AI733+AJ733)/8</f>
        <v/>
      </c>
      <c r="AM733">
        <f>IF(AK733&gt;=2,(AK733-2)/8,0)</f>
        <v/>
      </c>
    </row>
    <row r="734">
      <c r="T734">
        <f>SUM(C734:R734)</f>
        <v/>
      </c>
      <c r="U734" s="6">
        <f>ROUND(T734/11.5,2)</f>
        <v/>
      </c>
      <c r="V734" s="7">
        <f>IF(B734="","",IF(AB734,0,ROUND(AL734,2)))</f>
        <v/>
      </c>
      <c r="W734" s="7">
        <f>IF(B734="","",IF(AB734,0,MIN(5,ROUND(AL734+AM734,2))))</f>
        <v/>
      </c>
      <c r="X734" s="8">
        <f>IF(B734="","",IF(W734&gt;=5,"A+",IF(W734&gt;=4,"A",IF(W734&gt;=3.5,"A-",IF(W734&gt;=3,"B",IF(W734&gt;=2,"C",IF(W734&gt;=1,"D","F")))))))</f>
        <v/>
      </c>
      <c r="Y734">
        <f>NOT(OR(AND(J734&gt;=10,K734&gt;=23,L734&gt;=10,M734&gt;=23),AND(J734+L734&gt;=20,K734+M734&gt;=46)))</f>
        <v/>
      </c>
      <c r="Z734">
        <f>OR(N734&lt;10,O734&lt;23)</f>
        <v/>
      </c>
      <c r="AA734">
        <f>OR(P734&lt;10,Q734&lt;23)</f>
        <v/>
      </c>
      <c r="AB734">
        <f>OR((C734+D734)&lt;66,(E734+F734)&lt;66,G734&lt;33,(H734+I734)&lt;66,Y734,Z734,AA734,R734&lt;8.25)</f>
        <v/>
      </c>
      <c r="AC734">
        <f>IF(C734+D734&lt;66,0,IF((C734+D734)/2&gt;=80,5,IF((C734+D734)/2&gt;=70,4,IF((C734+D734)/2&gt;=60,3.5,IF((C734+D734)/2&gt;=50,3,IF((C734+D734)/2&gt;=40,2,IF((C734+D734)/2&gt;=33,1,0)))))))</f>
        <v/>
      </c>
      <c r="AD734">
        <f>IF(E734+F734&lt;66,0,IF((E734+F734)/2&gt;=80,5,IF((E734+F734)/2&gt;=70,4,IF((E734+F734)/2&gt;=60,3.5,IF((E734+F734)/2&gt;=50,3,IF((E734+F734)/2&gt;=40,2,IF((E734+F734)/2&gt;=33,1,0)))))))</f>
        <v/>
      </c>
      <c r="AE734">
        <f>IF(G734&lt;33,0,IF(G734&gt;=80,5,IF(G734&gt;=70,4,IF(G734&gt;=60,3.5,IF(G734&gt;=50,3,IF(G734&gt;=40,2,IF(G734&gt;=33,1,0)))))))</f>
        <v/>
      </c>
      <c r="AF734">
        <f>IF(H734+I734&lt;66,0,IF((H734+I734)/2&gt;=80,5,IF((H734+I734)/2&gt;=70,4,IF((H734+I734)/2&gt;=60,3.5,IF((H734+I734)/2&gt;=50,3,IF((H734+I734)/2&gt;=40,2,IF((H734+I734)/2&gt;=33,1,0)))))))</f>
        <v/>
      </c>
      <c r="AG734">
        <f>IF(Y734,0,IF((J734+K734+L734+M734)/2&gt;=80,5,IF((J734+K734+L734+M734)/2&gt;=70,4,IF((J734+K734+L734+M734)/2&gt;=60,3.5,IF((J734+K734+L734+M734)/2&gt;=50,3,IF((J734+K734+L734+M734)/2&gt;=40,2,IF((J734+K734+L734+M734)/2&gt;=33,1,0)))))))</f>
        <v/>
      </c>
      <c r="AH734">
        <f>IF(Z734,0,IF(N734+O734&gt;=80,5,IF(N734+O734&gt;=70,4,IF(N734+O734&gt;=60,3.5,IF(N734+O734&gt;=50,3,IF(N734+O734&gt;=40,2,IF(N734+O734&gt;=33,1,0)))))))</f>
        <v/>
      </c>
      <c r="AI734">
        <f>IF(AA734,0,IF(P734+Q734&gt;=80,5,IF(P734+Q734&gt;=70,4,IF(P734+Q734&gt;=60,3.5,IF(P734+Q734&gt;=50,3,IF(P734+Q734&gt;=40,2,IF(P734+Q734&gt;=33,1,0)))))))</f>
        <v/>
      </c>
      <c r="AJ734">
        <f>IF(R734&lt;8.25,0,IF(R734*2&gt;=80,5,IF(R734*2&gt;=70,4,IF(R734*2&gt;=60,3.5,IF(R734*2&gt;=50,3,IF(R734*2&gt;=40,2,IF(R734*2&gt;=33,1,0)))))))</f>
        <v/>
      </c>
      <c r="AK734">
        <f>IF(S734&lt;33,0,IF(S734&gt;=80,5,IF(S734&gt;=70,4,IF(S734&gt;=60,3.5,IF(S734&gt;=50,3,IF(S734&gt;=40,2,IF(S734&gt;=33,1,0)))))))</f>
        <v/>
      </c>
      <c r="AL734">
        <f>(AC734+AD734+AE734+AF734+AG734+AH734+AI734+AJ734)/8</f>
        <v/>
      </c>
      <c r="AM734">
        <f>IF(AK734&gt;=2,(AK734-2)/8,0)</f>
        <v/>
      </c>
    </row>
    <row r="735">
      <c r="T735">
        <f>SUM(C735:R735)</f>
        <v/>
      </c>
      <c r="U735" s="6">
        <f>ROUND(T735/11.5,2)</f>
        <v/>
      </c>
      <c r="V735" s="7">
        <f>IF(B735="","",IF(AB735,0,ROUND(AL735,2)))</f>
        <v/>
      </c>
      <c r="W735" s="7">
        <f>IF(B735="","",IF(AB735,0,MIN(5,ROUND(AL735+AM735,2))))</f>
        <v/>
      </c>
      <c r="X735" s="8">
        <f>IF(B735="","",IF(W735&gt;=5,"A+",IF(W735&gt;=4,"A",IF(W735&gt;=3.5,"A-",IF(W735&gt;=3,"B",IF(W735&gt;=2,"C",IF(W735&gt;=1,"D","F")))))))</f>
        <v/>
      </c>
      <c r="Y735">
        <f>NOT(OR(AND(J735&gt;=10,K735&gt;=23,L735&gt;=10,M735&gt;=23),AND(J735+L735&gt;=20,K735+M735&gt;=46)))</f>
        <v/>
      </c>
      <c r="Z735">
        <f>OR(N735&lt;10,O735&lt;23)</f>
        <v/>
      </c>
      <c r="AA735">
        <f>OR(P735&lt;10,Q735&lt;23)</f>
        <v/>
      </c>
      <c r="AB735">
        <f>OR((C735+D735)&lt;66,(E735+F735)&lt;66,G735&lt;33,(H735+I735)&lt;66,Y735,Z735,AA735,R735&lt;8.25)</f>
        <v/>
      </c>
      <c r="AC735">
        <f>IF(C735+D735&lt;66,0,IF((C735+D735)/2&gt;=80,5,IF((C735+D735)/2&gt;=70,4,IF((C735+D735)/2&gt;=60,3.5,IF((C735+D735)/2&gt;=50,3,IF((C735+D735)/2&gt;=40,2,IF((C735+D735)/2&gt;=33,1,0)))))))</f>
        <v/>
      </c>
      <c r="AD735">
        <f>IF(E735+F735&lt;66,0,IF((E735+F735)/2&gt;=80,5,IF((E735+F735)/2&gt;=70,4,IF((E735+F735)/2&gt;=60,3.5,IF((E735+F735)/2&gt;=50,3,IF((E735+F735)/2&gt;=40,2,IF((E735+F735)/2&gt;=33,1,0)))))))</f>
        <v/>
      </c>
      <c r="AE735">
        <f>IF(G735&lt;33,0,IF(G735&gt;=80,5,IF(G735&gt;=70,4,IF(G735&gt;=60,3.5,IF(G735&gt;=50,3,IF(G735&gt;=40,2,IF(G735&gt;=33,1,0)))))))</f>
        <v/>
      </c>
      <c r="AF735">
        <f>IF(H735+I735&lt;66,0,IF((H735+I735)/2&gt;=80,5,IF((H735+I735)/2&gt;=70,4,IF((H735+I735)/2&gt;=60,3.5,IF((H735+I735)/2&gt;=50,3,IF((H735+I735)/2&gt;=40,2,IF((H735+I735)/2&gt;=33,1,0)))))))</f>
        <v/>
      </c>
      <c r="AG735">
        <f>IF(Y735,0,IF((J735+K735+L735+M735)/2&gt;=80,5,IF((J735+K735+L735+M735)/2&gt;=70,4,IF((J735+K735+L735+M735)/2&gt;=60,3.5,IF((J735+K735+L735+M735)/2&gt;=50,3,IF((J735+K735+L735+M735)/2&gt;=40,2,IF((J735+K735+L735+M735)/2&gt;=33,1,0)))))))</f>
        <v/>
      </c>
      <c r="AH735">
        <f>IF(Z735,0,IF(N735+O735&gt;=80,5,IF(N735+O735&gt;=70,4,IF(N735+O735&gt;=60,3.5,IF(N735+O735&gt;=50,3,IF(N735+O735&gt;=40,2,IF(N735+O735&gt;=33,1,0)))))))</f>
        <v/>
      </c>
      <c r="AI735">
        <f>IF(AA735,0,IF(P735+Q735&gt;=80,5,IF(P735+Q735&gt;=70,4,IF(P735+Q735&gt;=60,3.5,IF(P735+Q735&gt;=50,3,IF(P735+Q735&gt;=40,2,IF(P735+Q735&gt;=33,1,0)))))))</f>
        <v/>
      </c>
      <c r="AJ735">
        <f>IF(R735&lt;8.25,0,IF(R735*2&gt;=80,5,IF(R735*2&gt;=70,4,IF(R735*2&gt;=60,3.5,IF(R735*2&gt;=50,3,IF(R735*2&gt;=40,2,IF(R735*2&gt;=33,1,0)))))))</f>
        <v/>
      </c>
      <c r="AK735">
        <f>IF(S735&lt;33,0,IF(S735&gt;=80,5,IF(S735&gt;=70,4,IF(S735&gt;=60,3.5,IF(S735&gt;=50,3,IF(S735&gt;=40,2,IF(S735&gt;=33,1,0)))))))</f>
        <v/>
      </c>
      <c r="AL735">
        <f>(AC735+AD735+AE735+AF735+AG735+AH735+AI735+AJ735)/8</f>
        <v/>
      </c>
      <c r="AM735">
        <f>IF(AK735&gt;=2,(AK735-2)/8,0)</f>
        <v/>
      </c>
    </row>
    <row r="736">
      <c r="T736">
        <f>SUM(C736:R736)</f>
        <v/>
      </c>
      <c r="U736" s="6">
        <f>ROUND(T736/11.5,2)</f>
        <v/>
      </c>
      <c r="V736" s="7">
        <f>IF(B736="","",IF(AB736,0,ROUND(AL736,2)))</f>
        <v/>
      </c>
      <c r="W736" s="7">
        <f>IF(B736="","",IF(AB736,0,MIN(5,ROUND(AL736+AM736,2))))</f>
        <v/>
      </c>
      <c r="X736" s="8">
        <f>IF(B736="","",IF(W736&gt;=5,"A+",IF(W736&gt;=4,"A",IF(W736&gt;=3.5,"A-",IF(W736&gt;=3,"B",IF(W736&gt;=2,"C",IF(W736&gt;=1,"D","F")))))))</f>
        <v/>
      </c>
      <c r="Y736">
        <f>NOT(OR(AND(J736&gt;=10,K736&gt;=23,L736&gt;=10,M736&gt;=23),AND(J736+L736&gt;=20,K736+M736&gt;=46)))</f>
        <v/>
      </c>
      <c r="Z736">
        <f>OR(N736&lt;10,O736&lt;23)</f>
        <v/>
      </c>
      <c r="AA736">
        <f>OR(P736&lt;10,Q736&lt;23)</f>
        <v/>
      </c>
      <c r="AB736">
        <f>OR((C736+D736)&lt;66,(E736+F736)&lt;66,G736&lt;33,(H736+I736)&lt;66,Y736,Z736,AA736,R736&lt;8.25)</f>
        <v/>
      </c>
      <c r="AC736">
        <f>IF(C736+D736&lt;66,0,IF((C736+D736)/2&gt;=80,5,IF((C736+D736)/2&gt;=70,4,IF((C736+D736)/2&gt;=60,3.5,IF((C736+D736)/2&gt;=50,3,IF((C736+D736)/2&gt;=40,2,IF((C736+D736)/2&gt;=33,1,0)))))))</f>
        <v/>
      </c>
      <c r="AD736">
        <f>IF(E736+F736&lt;66,0,IF((E736+F736)/2&gt;=80,5,IF((E736+F736)/2&gt;=70,4,IF((E736+F736)/2&gt;=60,3.5,IF((E736+F736)/2&gt;=50,3,IF((E736+F736)/2&gt;=40,2,IF((E736+F736)/2&gt;=33,1,0)))))))</f>
        <v/>
      </c>
      <c r="AE736">
        <f>IF(G736&lt;33,0,IF(G736&gt;=80,5,IF(G736&gt;=70,4,IF(G736&gt;=60,3.5,IF(G736&gt;=50,3,IF(G736&gt;=40,2,IF(G736&gt;=33,1,0)))))))</f>
        <v/>
      </c>
      <c r="AF736">
        <f>IF(H736+I736&lt;66,0,IF((H736+I736)/2&gt;=80,5,IF((H736+I736)/2&gt;=70,4,IF((H736+I736)/2&gt;=60,3.5,IF((H736+I736)/2&gt;=50,3,IF((H736+I736)/2&gt;=40,2,IF((H736+I736)/2&gt;=33,1,0)))))))</f>
        <v/>
      </c>
      <c r="AG736">
        <f>IF(Y736,0,IF((J736+K736+L736+M736)/2&gt;=80,5,IF((J736+K736+L736+M736)/2&gt;=70,4,IF((J736+K736+L736+M736)/2&gt;=60,3.5,IF((J736+K736+L736+M736)/2&gt;=50,3,IF((J736+K736+L736+M736)/2&gt;=40,2,IF((J736+K736+L736+M736)/2&gt;=33,1,0)))))))</f>
        <v/>
      </c>
      <c r="AH736">
        <f>IF(Z736,0,IF(N736+O736&gt;=80,5,IF(N736+O736&gt;=70,4,IF(N736+O736&gt;=60,3.5,IF(N736+O736&gt;=50,3,IF(N736+O736&gt;=40,2,IF(N736+O736&gt;=33,1,0)))))))</f>
        <v/>
      </c>
      <c r="AI736">
        <f>IF(AA736,0,IF(P736+Q736&gt;=80,5,IF(P736+Q736&gt;=70,4,IF(P736+Q736&gt;=60,3.5,IF(P736+Q736&gt;=50,3,IF(P736+Q736&gt;=40,2,IF(P736+Q736&gt;=33,1,0)))))))</f>
        <v/>
      </c>
      <c r="AJ736">
        <f>IF(R736&lt;8.25,0,IF(R736*2&gt;=80,5,IF(R736*2&gt;=70,4,IF(R736*2&gt;=60,3.5,IF(R736*2&gt;=50,3,IF(R736*2&gt;=40,2,IF(R736*2&gt;=33,1,0)))))))</f>
        <v/>
      </c>
      <c r="AK736">
        <f>IF(S736&lt;33,0,IF(S736&gt;=80,5,IF(S736&gt;=70,4,IF(S736&gt;=60,3.5,IF(S736&gt;=50,3,IF(S736&gt;=40,2,IF(S736&gt;=33,1,0)))))))</f>
        <v/>
      </c>
      <c r="AL736">
        <f>(AC736+AD736+AE736+AF736+AG736+AH736+AI736+AJ736)/8</f>
        <v/>
      </c>
      <c r="AM736">
        <f>IF(AK736&gt;=2,(AK736-2)/8,0)</f>
        <v/>
      </c>
    </row>
    <row r="737">
      <c r="T737">
        <f>SUM(C737:R737)</f>
        <v/>
      </c>
      <c r="U737" s="6">
        <f>ROUND(T737/11.5,2)</f>
        <v/>
      </c>
      <c r="V737" s="7">
        <f>IF(B737="","",IF(AB737,0,ROUND(AL737,2)))</f>
        <v/>
      </c>
      <c r="W737" s="7">
        <f>IF(B737="","",IF(AB737,0,MIN(5,ROUND(AL737+AM737,2))))</f>
        <v/>
      </c>
      <c r="X737" s="8">
        <f>IF(B737="","",IF(W737&gt;=5,"A+",IF(W737&gt;=4,"A",IF(W737&gt;=3.5,"A-",IF(W737&gt;=3,"B",IF(W737&gt;=2,"C",IF(W737&gt;=1,"D","F")))))))</f>
        <v/>
      </c>
      <c r="Y737">
        <f>NOT(OR(AND(J737&gt;=10,K737&gt;=23,L737&gt;=10,M737&gt;=23),AND(J737+L737&gt;=20,K737+M737&gt;=46)))</f>
        <v/>
      </c>
      <c r="Z737">
        <f>OR(N737&lt;10,O737&lt;23)</f>
        <v/>
      </c>
      <c r="AA737">
        <f>OR(P737&lt;10,Q737&lt;23)</f>
        <v/>
      </c>
      <c r="AB737">
        <f>OR((C737+D737)&lt;66,(E737+F737)&lt;66,G737&lt;33,(H737+I737)&lt;66,Y737,Z737,AA737,R737&lt;8.25)</f>
        <v/>
      </c>
      <c r="AC737">
        <f>IF(C737+D737&lt;66,0,IF((C737+D737)/2&gt;=80,5,IF((C737+D737)/2&gt;=70,4,IF((C737+D737)/2&gt;=60,3.5,IF((C737+D737)/2&gt;=50,3,IF((C737+D737)/2&gt;=40,2,IF((C737+D737)/2&gt;=33,1,0)))))))</f>
        <v/>
      </c>
      <c r="AD737">
        <f>IF(E737+F737&lt;66,0,IF((E737+F737)/2&gt;=80,5,IF((E737+F737)/2&gt;=70,4,IF((E737+F737)/2&gt;=60,3.5,IF((E737+F737)/2&gt;=50,3,IF((E737+F737)/2&gt;=40,2,IF((E737+F737)/2&gt;=33,1,0)))))))</f>
        <v/>
      </c>
      <c r="AE737">
        <f>IF(G737&lt;33,0,IF(G737&gt;=80,5,IF(G737&gt;=70,4,IF(G737&gt;=60,3.5,IF(G737&gt;=50,3,IF(G737&gt;=40,2,IF(G737&gt;=33,1,0)))))))</f>
        <v/>
      </c>
      <c r="AF737">
        <f>IF(H737+I737&lt;66,0,IF((H737+I737)/2&gt;=80,5,IF((H737+I737)/2&gt;=70,4,IF((H737+I737)/2&gt;=60,3.5,IF((H737+I737)/2&gt;=50,3,IF((H737+I737)/2&gt;=40,2,IF((H737+I737)/2&gt;=33,1,0)))))))</f>
        <v/>
      </c>
      <c r="AG737">
        <f>IF(Y737,0,IF((J737+K737+L737+M737)/2&gt;=80,5,IF((J737+K737+L737+M737)/2&gt;=70,4,IF((J737+K737+L737+M737)/2&gt;=60,3.5,IF((J737+K737+L737+M737)/2&gt;=50,3,IF((J737+K737+L737+M737)/2&gt;=40,2,IF((J737+K737+L737+M737)/2&gt;=33,1,0)))))))</f>
        <v/>
      </c>
      <c r="AH737">
        <f>IF(Z737,0,IF(N737+O737&gt;=80,5,IF(N737+O737&gt;=70,4,IF(N737+O737&gt;=60,3.5,IF(N737+O737&gt;=50,3,IF(N737+O737&gt;=40,2,IF(N737+O737&gt;=33,1,0)))))))</f>
        <v/>
      </c>
      <c r="AI737">
        <f>IF(AA737,0,IF(P737+Q737&gt;=80,5,IF(P737+Q737&gt;=70,4,IF(P737+Q737&gt;=60,3.5,IF(P737+Q737&gt;=50,3,IF(P737+Q737&gt;=40,2,IF(P737+Q737&gt;=33,1,0)))))))</f>
        <v/>
      </c>
      <c r="AJ737">
        <f>IF(R737&lt;8.25,0,IF(R737*2&gt;=80,5,IF(R737*2&gt;=70,4,IF(R737*2&gt;=60,3.5,IF(R737*2&gt;=50,3,IF(R737*2&gt;=40,2,IF(R737*2&gt;=33,1,0)))))))</f>
        <v/>
      </c>
      <c r="AK737">
        <f>IF(S737&lt;33,0,IF(S737&gt;=80,5,IF(S737&gt;=70,4,IF(S737&gt;=60,3.5,IF(S737&gt;=50,3,IF(S737&gt;=40,2,IF(S737&gt;=33,1,0)))))))</f>
        <v/>
      </c>
      <c r="AL737">
        <f>(AC737+AD737+AE737+AF737+AG737+AH737+AI737+AJ737)/8</f>
        <v/>
      </c>
      <c r="AM737">
        <f>IF(AK737&gt;=2,(AK737-2)/8,0)</f>
        <v/>
      </c>
    </row>
    <row r="738">
      <c r="T738">
        <f>SUM(C738:R738)</f>
        <v/>
      </c>
      <c r="U738" s="6">
        <f>ROUND(T738/11.5,2)</f>
        <v/>
      </c>
      <c r="V738" s="7">
        <f>IF(B738="","",IF(AB738,0,ROUND(AL738,2)))</f>
        <v/>
      </c>
      <c r="W738" s="7">
        <f>IF(B738="","",IF(AB738,0,MIN(5,ROUND(AL738+AM738,2))))</f>
        <v/>
      </c>
      <c r="X738" s="8">
        <f>IF(B738="","",IF(W738&gt;=5,"A+",IF(W738&gt;=4,"A",IF(W738&gt;=3.5,"A-",IF(W738&gt;=3,"B",IF(W738&gt;=2,"C",IF(W738&gt;=1,"D","F")))))))</f>
        <v/>
      </c>
      <c r="Y738">
        <f>NOT(OR(AND(J738&gt;=10,K738&gt;=23,L738&gt;=10,M738&gt;=23),AND(J738+L738&gt;=20,K738+M738&gt;=46)))</f>
        <v/>
      </c>
      <c r="Z738">
        <f>OR(N738&lt;10,O738&lt;23)</f>
        <v/>
      </c>
      <c r="AA738">
        <f>OR(P738&lt;10,Q738&lt;23)</f>
        <v/>
      </c>
      <c r="AB738">
        <f>OR((C738+D738)&lt;66,(E738+F738)&lt;66,G738&lt;33,(H738+I738)&lt;66,Y738,Z738,AA738,R738&lt;8.25)</f>
        <v/>
      </c>
      <c r="AC738">
        <f>IF(C738+D738&lt;66,0,IF((C738+D738)/2&gt;=80,5,IF((C738+D738)/2&gt;=70,4,IF((C738+D738)/2&gt;=60,3.5,IF((C738+D738)/2&gt;=50,3,IF((C738+D738)/2&gt;=40,2,IF((C738+D738)/2&gt;=33,1,0)))))))</f>
        <v/>
      </c>
      <c r="AD738">
        <f>IF(E738+F738&lt;66,0,IF((E738+F738)/2&gt;=80,5,IF((E738+F738)/2&gt;=70,4,IF((E738+F738)/2&gt;=60,3.5,IF((E738+F738)/2&gt;=50,3,IF((E738+F738)/2&gt;=40,2,IF((E738+F738)/2&gt;=33,1,0)))))))</f>
        <v/>
      </c>
      <c r="AE738">
        <f>IF(G738&lt;33,0,IF(G738&gt;=80,5,IF(G738&gt;=70,4,IF(G738&gt;=60,3.5,IF(G738&gt;=50,3,IF(G738&gt;=40,2,IF(G738&gt;=33,1,0)))))))</f>
        <v/>
      </c>
      <c r="AF738">
        <f>IF(H738+I738&lt;66,0,IF((H738+I738)/2&gt;=80,5,IF((H738+I738)/2&gt;=70,4,IF((H738+I738)/2&gt;=60,3.5,IF((H738+I738)/2&gt;=50,3,IF((H738+I738)/2&gt;=40,2,IF((H738+I738)/2&gt;=33,1,0)))))))</f>
        <v/>
      </c>
      <c r="AG738">
        <f>IF(Y738,0,IF((J738+K738+L738+M738)/2&gt;=80,5,IF((J738+K738+L738+M738)/2&gt;=70,4,IF((J738+K738+L738+M738)/2&gt;=60,3.5,IF((J738+K738+L738+M738)/2&gt;=50,3,IF((J738+K738+L738+M738)/2&gt;=40,2,IF((J738+K738+L738+M738)/2&gt;=33,1,0)))))))</f>
        <v/>
      </c>
      <c r="AH738">
        <f>IF(Z738,0,IF(N738+O738&gt;=80,5,IF(N738+O738&gt;=70,4,IF(N738+O738&gt;=60,3.5,IF(N738+O738&gt;=50,3,IF(N738+O738&gt;=40,2,IF(N738+O738&gt;=33,1,0)))))))</f>
        <v/>
      </c>
      <c r="AI738">
        <f>IF(AA738,0,IF(P738+Q738&gt;=80,5,IF(P738+Q738&gt;=70,4,IF(P738+Q738&gt;=60,3.5,IF(P738+Q738&gt;=50,3,IF(P738+Q738&gt;=40,2,IF(P738+Q738&gt;=33,1,0)))))))</f>
        <v/>
      </c>
      <c r="AJ738">
        <f>IF(R738&lt;8.25,0,IF(R738*2&gt;=80,5,IF(R738*2&gt;=70,4,IF(R738*2&gt;=60,3.5,IF(R738*2&gt;=50,3,IF(R738*2&gt;=40,2,IF(R738*2&gt;=33,1,0)))))))</f>
        <v/>
      </c>
      <c r="AK738">
        <f>IF(S738&lt;33,0,IF(S738&gt;=80,5,IF(S738&gt;=70,4,IF(S738&gt;=60,3.5,IF(S738&gt;=50,3,IF(S738&gt;=40,2,IF(S738&gt;=33,1,0)))))))</f>
        <v/>
      </c>
      <c r="AL738">
        <f>(AC738+AD738+AE738+AF738+AG738+AH738+AI738+AJ738)/8</f>
        <v/>
      </c>
      <c r="AM738">
        <f>IF(AK738&gt;=2,(AK738-2)/8,0)</f>
        <v/>
      </c>
    </row>
    <row r="739">
      <c r="T739">
        <f>SUM(C739:R739)</f>
        <v/>
      </c>
      <c r="U739" s="6">
        <f>ROUND(T739/11.5,2)</f>
        <v/>
      </c>
      <c r="V739" s="7">
        <f>IF(B739="","",IF(AB739,0,ROUND(AL739,2)))</f>
        <v/>
      </c>
      <c r="W739" s="7">
        <f>IF(B739="","",IF(AB739,0,MIN(5,ROUND(AL739+AM739,2))))</f>
        <v/>
      </c>
      <c r="X739" s="8">
        <f>IF(B739="","",IF(W739&gt;=5,"A+",IF(W739&gt;=4,"A",IF(W739&gt;=3.5,"A-",IF(W739&gt;=3,"B",IF(W739&gt;=2,"C",IF(W739&gt;=1,"D","F")))))))</f>
        <v/>
      </c>
      <c r="Y739">
        <f>NOT(OR(AND(J739&gt;=10,K739&gt;=23,L739&gt;=10,M739&gt;=23),AND(J739+L739&gt;=20,K739+M739&gt;=46)))</f>
        <v/>
      </c>
      <c r="Z739">
        <f>OR(N739&lt;10,O739&lt;23)</f>
        <v/>
      </c>
      <c r="AA739">
        <f>OR(P739&lt;10,Q739&lt;23)</f>
        <v/>
      </c>
      <c r="AB739">
        <f>OR((C739+D739)&lt;66,(E739+F739)&lt;66,G739&lt;33,(H739+I739)&lt;66,Y739,Z739,AA739,R739&lt;8.25)</f>
        <v/>
      </c>
      <c r="AC739">
        <f>IF(C739+D739&lt;66,0,IF((C739+D739)/2&gt;=80,5,IF((C739+D739)/2&gt;=70,4,IF((C739+D739)/2&gt;=60,3.5,IF((C739+D739)/2&gt;=50,3,IF((C739+D739)/2&gt;=40,2,IF((C739+D739)/2&gt;=33,1,0)))))))</f>
        <v/>
      </c>
      <c r="AD739">
        <f>IF(E739+F739&lt;66,0,IF((E739+F739)/2&gt;=80,5,IF((E739+F739)/2&gt;=70,4,IF((E739+F739)/2&gt;=60,3.5,IF((E739+F739)/2&gt;=50,3,IF((E739+F739)/2&gt;=40,2,IF((E739+F739)/2&gt;=33,1,0)))))))</f>
        <v/>
      </c>
      <c r="AE739">
        <f>IF(G739&lt;33,0,IF(G739&gt;=80,5,IF(G739&gt;=70,4,IF(G739&gt;=60,3.5,IF(G739&gt;=50,3,IF(G739&gt;=40,2,IF(G739&gt;=33,1,0)))))))</f>
        <v/>
      </c>
      <c r="AF739">
        <f>IF(H739+I739&lt;66,0,IF((H739+I739)/2&gt;=80,5,IF((H739+I739)/2&gt;=70,4,IF((H739+I739)/2&gt;=60,3.5,IF((H739+I739)/2&gt;=50,3,IF((H739+I739)/2&gt;=40,2,IF((H739+I739)/2&gt;=33,1,0)))))))</f>
        <v/>
      </c>
      <c r="AG739">
        <f>IF(Y739,0,IF((J739+K739+L739+M739)/2&gt;=80,5,IF((J739+K739+L739+M739)/2&gt;=70,4,IF((J739+K739+L739+M739)/2&gt;=60,3.5,IF((J739+K739+L739+M739)/2&gt;=50,3,IF((J739+K739+L739+M739)/2&gt;=40,2,IF((J739+K739+L739+M739)/2&gt;=33,1,0)))))))</f>
        <v/>
      </c>
      <c r="AH739">
        <f>IF(Z739,0,IF(N739+O739&gt;=80,5,IF(N739+O739&gt;=70,4,IF(N739+O739&gt;=60,3.5,IF(N739+O739&gt;=50,3,IF(N739+O739&gt;=40,2,IF(N739+O739&gt;=33,1,0)))))))</f>
        <v/>
      </c>
      <c r="AI739">
        <f>IF(AA739,0,IF(P739+Q739&gt;=80,5,IF(P739+Q739&gt;=70,4,IF(P739+Q739&gt;=60,3.5,IF(P739+Q739&gt;=50,3,IF(P739+Q739&gt;=40,2,IF(P739+Q739&gt;=33,1,0)))))))</f>
        <v/>
      </c>
      <c r="AJ739">
        <f>IF(R739&lt;8.25,0,IF(R739*2&gt;=80,5,IF(R739*2&gt;=70,4,IF(R739*2&gt;=60,3.5,IF(R739*2&gt;=50,3,IF(R739*2&gt;=40,2,IF(R739*2&gt;=33,1,0)))))))</f>
        <v/>
      </c>
      <c r="AK739">
        <f>IF(S739&lt;33,0,IF(S739&gt;=80,5,IF(S739&gt;=70,4,IF(S739&gt;=60,3.5,IF(S739&gt;=50,3,IF(S739&gt;=40,2,IF(S739&gt;=33,1,0)))))))</f>
        <v/>
      </c>
      <c r="AL739">
        <f>(AC739+AD739+AE739+AF739+AG739+AH739+AI739+AJ739)/8</f>
        <v/>
      </c>
      <c r="AM739">
        <f>IF(AK739&gt;=2,(AK739-2)/8,0)</f>
        <v/>
      </c>
    </row>
    <row r="740">
      <c r="T740">
        <f>SUM(C740:R740)</f>
        <v/>
      </c>
      <c r="U740" s="6">
        <f>ROUND(T740/11.5,2)</f>
        <v/>
      </c>
      <c r="V740" s="7">
        <f>IF(B740="","",IF(AB740,0,ROUND(AL740,2)))</f>
        <v/>
      </c>
      <c r="W740" s="7">
        <f>IF(B740="","",IF(AB740,0,MIN(5,ROUND(AL740+AM740,2))))</f>
        <v/>
      </c>
      <c r="X740" s="8">
        <f>IF(B740="","",IF(W740&gt;=5,"A+",IF(W740&gt;=4,"A",IF(W740&gt;=3.5,"A-",IF(W740&gt;=3,"B",IF(W740&gt;=2,"C",IF(W740&gt;=1,"D","F")))))))</f>
        <v/>
      </c>
      <c r="Y740">
        <f>NOT(OR(AND(J740&gt;=10,K740&gt;=23,L740&gt;=10,M740&gt;=23),AND(J740+L740&gt;=20,K740+M740&gt;=46)))</f>
        <v/>
      </c>
      <c r="Z740">
        <f>OR(N740&lt;10,O740&lt;23)</f>
        <v/>
      </c>
      <c r="AA740">
        <f>OR(P740&lt;10,Q740&lt;23)</f>
        <v/>
      </c>
      <c r="AB740">
        <f>OR((C740+D740)&lt;66,(E740+F740)&lt;66,G740&lt;33,(H740+I740)&lt;66,Y740,Z740,AA740,R740&lt;8.25)</f>
        <v/>
      </c>
      <c r="AC740">
        <f>IF(C740+D740&lt;66,0,IF((C740+D740)/2&gt;=80,5,IF((C740+D740)/2&gt;=70,4,IF((C740+D740)/2&gt;=60,3.5,IF((C740+D740)/2&gt;=50,3,IF((C740+D740)/2&gt;=40,2,IF((C740+D740)/2&gt;=33,1,0)))))))</f>
        <v/>
      </c>
      <c r="AD740">
        <f>IF(E740+F740&lt;66,0,IF((E740+F740)/2&gt;=80,5,IF((E740+F740)/2&gt;=70,4,IF((E740+F740)/2&gt;=60,3.5,IF((E740+F740)/2&gt;=50,3,IF((E740+F740)/2&gt;=40,2,IF((E740+F740)/2&gt;=33,1,0)))))))</f>
        <v/>
      </c>
      <c r="AE740">
        <f>IF(G740&lt;33,0,IF(G740&gt;=80,5,IF(G740&gt;=70,4,IF(G740&gt;=60,3.5,IF(G740&gt;=50,3,IF(G740&gt;=40,2,IF(G740&gt;=33,1,0)))))))</f>
        <v/>
      </c>
      <c r="AF740">
        <f>IF(H740+I740&lt;66,0,IF((H740+I740)/2&gt;=80,5,IF((H740+I740)/2&gt;=70,4,IF((H740+I740)/2&gt;=60,3.5,IF((H740+I740)/2&gt;=50,3,IF((H740+I740)/2&gt;=40,2,IF((H740+I740)/2&gt;=33,1,0)))))))</f>
        <v/>
      </c>
      <c r="AG740">
        <f>IF(Y740,0,IF((J740+K740+L740+M740)/2&gt;=80,5,IF((J740+K740+L740+M740)/2&gt;=70,4,IF((J740+K740+L740+M740)/2&gt;=60,3.5,IF((J740+K740+L740+M740)/2&gt;=50,3,IF((J740+K740+L740+M740)/2&gt;=40,2,IF((J740+K740+L740+M740)/2&gt;=33,1,0)))))))</f>
        <v/>
      </c>
      <c r="AH740">
        <f>IF(Z740,0,IF(N740+O740&gt;=80,5,IF(N740+O740&gt;=70,4,IF(N740+O740&gt;=60,3.5,IF(N740+O740&gt;=50,3,IF(N740+O740&gt;=40,2,IF(N740+O740&gt;=33,1,0)))))))</f>
        <v/>
      </c>
      <c r="AI740">
        <f>IF(AA740,0,IF(P740+Q740&gt;=80,5,IF(P740+Q740&gt;=70,4,IF(P740+Q740&gt;=60,3.5,IF(P740+Q740&gt;=50,3,IF(P740+Q740&gt;=40,2,IF(P740+Q740&gt;=33,1,0)))))))</f>
        <v/>
      </c>
      <c r="AJ740">
        <f>IF(R740&lt;8.25,0,IF(R740*2&gt;=80,5,IF(R740*2&gt;=70,4,IF(R740*2&gt;=60,3.5,IF(R740*2&gt;=50,3,IF(R740*2&gt;=40,2,IF(R740*2&gt;=33,1,0)))))))</f>
        <v/>
      </c>
      <c r="AK740">
        <f>IF(S740&lt;33,0,IF(S740&gt;=80,5,IF(S740&gt;=70,4,IF(S740&gt;=60,3.5,IF(S740&gt;=50,3,IF(S740&gt;=40,2,IF(S740&gt;=33,1,0)))))))</f>
        <v/>
      </c>
      <c r="AL740">
        <f>(AC740+AD740+AE740+AF740+AG740+AH740+AI740+AJ740)/8</f>
        <v/>
      </c>
      <c r="AM740">
        <f>IF(AK740&gt;=2,(AK740-2)/8,0)</f>
        <v/>
      </c>
    </row>
    <row r="741">
      <c r="T741">
        <f>SUM(C741:R741)</f>
        <v/>
      </c>
      <c r="U741" s="6">
        <f>ROUND(T741/11.5,2)</f>
        <v/>
      </c>
      <c r="V741" s="7">
        <f>IF(B741="","",IF(AB741,0,ROUND(AL741,2)))</f>
        <v/>
      </c>
      <c r="W741" s="7">
        <f>IF(B741="","",IF(AB741,0,MIN(5,ROUND(AL741+AM741,2))))</f>
        <v/>
      </c>
      <c r="X741" s="8">
        <f>IF(B741="","",IF(W741&gt;=5,"A+",IF(W741&gt;=4,"A",IF(W741&gt;=3.5,"A-",IF(W741&gt;=3,"B",IF(W741&gt;=2,"C",IF(W741&gt;=1,"D","F")))))))</f>
        <v/>
      </c>
      <c r="Y741">
        <f>NOT(OR(AND(J741&gt;=10,K741&gt;=23,L741&gt;=10,M741&gt;=23),AND(J741+L741&gt;=20,K741+M741&gt;=46)))</f>
        <v/>
      </c>
      <c r="Z741">
        <f>OR(N741&lt;10,O741&lt;23)</f>
        <v/>
      </c>
      <c r="AA741">
        <f>OR(P741&lt;10,Q741&lt;23)</f>
        <v/>
      </c>
      <c r="AB741">
        <f>OR((C741+D741)&lt;66,(E741+F741)&lt;66,G741&lt;33,(H741+I741)&lt;66,Y741,Z741,AA741,R741&lt;8.25)</f>
        <v/>
      </c>
      <c r="AC741">
        <f>IF(C741+D741&lt;66,0,IF((C741+D741)/2&gt;=80,5,IF((C741+D741)/2&gt;=70,4,IF((C741+D741)/2&gt;=60,3.5,IF((C741+D741)/2&gt;=50,3,IF((C741+D741)/2&gt;=40,2,IF((C741+D741)/2&gt;=33,1,0)))))))</f>
        <v/>
      </c>
      <c r="AD741">
        <f>IF(E741+F741&lt;66,0,IF((E741+F741)/2&gt;=80,5,IF((E741+F741)/2&gt;=70,4,IF((E741+F741)/2&gt;=60,3.5,IF((E741+F741)/2&gt;=50,3,IF((E741+F741)/2&gt;=40,2,IF((E741+F741)/2&gt;=33,1,0)))))))</f>
        <v/>
      </c>
      <c r="AE741">
        <f>IF(G741&lt;33,0,IF(G741&gt;=80,5,IF(G741&gt;=70,4,IF(G741&gt;=60,3.5,IF(G741&gt;=50,3,IF(G741&gt;=40,2,IF(G741&gt;=33,1,0)))))))</f>
        <v/>
      </c>
      <c r="AF741">
        <f>IF(H741+I741&lt;66,0,IF((H741+I741)/2&gt;=80,5,IF((H741+I741)/2&gt;=70,4,IF((H741+I741)/2&gt;=60,3.5,IF((H741+I741)/2&gt;=50,3,IF((H741+I741)/2&gt;=40,2,IF((H741+I741)/2&gt;=33,1,0)))))))</f>
        <v/>
      </c>
      <c r="AG741">
        <f>IF(Y741,0,IF((J741+K741+L741+M741)/2&gt;=80,5,IF((J741+K741+L741+M741)/2&gt;=70,4,IF((J741+K741+L741+M741)/2&gt;=60,3.5,IF((J741+K741+L741+M741)/2&gt;=50,3,IF((J741+K741+L741+M741)/2&gt;=40,2,IF((J741+K741+L741+M741)/2&gt;=33,1,0)))))))</f>
        <v/>
      </c>
      <c r="AH741">
        <f>IF(Z741,0,IF(N741+O741&gt;=80,5,IF(N741+O741&gt;=70,4,IF(N741+O741&gt;=60,3.5,IF(N741+O741&gt;=50,3,IF(N741+O741&gt;=40,2,IF(N741+O741&gt;=33,1,0)))))))</f>
        <v/>
      </c>
      <c r="AI741">
        <f>IF(AA741,0,IF(P741+Q741&gt;=80,5,IF(P741+Q741&gt;=70,4,IF(P741+Q741&gt;=60,3.5,IF(P741+Q741&gt;=50,3,IF(P741+Q741&gt;=40,2,IF(P741+Q741&gt;=33,1,0)))))))</f>
        <v/>
      </c>
      <c r="AJ741">
        <f>IF(R741&lt;8.25,0,IF(R741*2&gt;=80,5,IF(R741*2&gt;=70,4,IF(R741*2&gt;=60,3.5,IF(R741*2&gt;=50,3,IF(R741*2&gt;=40,2,IF(R741*2&gt;=33,1,0)))))))</f>
        <v/>
      </c>
      <c r="AK741">
        <f>IF(S741&lt;33,0,IF(S741&gt;=80,5,IF(S741&gt;=70,4,IF(S741&gt;=60,3.5,IF(S741&gt;=50,3,IF(S741&gt;=40,2,IF(S741&gt;=33,1,0)))))))</f>
        <v/>
      </c>
      <c r="AL741">
        <f>(AC741+AD741+AE741+AF741+AG741+AH741+AI741+AJ741)/8</f>
        <v/>
      </c>
      <c r="AM741">
        <f>IF(AK741&gt;=2,(AK741-2)/8,0)</f>
        <v/>
      </c>
    </row>
    <row r="742">
      <c r="T742">
        <f>SUM(C742:R742)</f>
        <v/>
      </c>
      <c r="U742" s="6">
        <f>ROUND(T742/11.5,2)</f>
        <v/>
      </c>
      <c r="V742" s="7">
        <f>IF(B742="","",IF(AB742,0,ROUND(AL742,2)))</f>
        <v/>
      </c>
      <c r="W742" s="7">
        <f>IF(B742="","",IF(AB742,0,MIN(5,ROUND(AL742+AM742,2))))</f>
        <v/>
      </c>
      <c r="X742" s="8">
        <f>IF(B742="","",IF(W742&gt;=5,"A+",IF(W742&gt;=4,"A",IF(W742&gt;=3.5,"A-",IF(W742&gt;=3,"B",IF(W742&gt;=2,"C",IF(W742&gt;=1,"D","F")))))))</f>
        <v/>
      </c>
      <c r="Y742">
        <f>NOT(OR(AND(J742&gt;=10,K742&gt;=23,L742&gt;=10,M742&gt;=23),AND(J742+L742&gt;=20,K742+M742&gt;=46)))</f>
        <v/>
      </c>
      <c r="Z742">
        <f>OR(N742&lt;10,O742&lt;23)</f>
        <v/>
      </c>
      <c r="AA742">
        <f>OR(P742&lt;10,Q742&lt;23)</f>
        <v/>
      </c>
      <c r="AB742">
        <f>OR((C742+D742)&lt;66,(E742+F742)&lt;66,G742&lt;33,(H742+I742)&lt;66,Y742,Z742,AA742,R742&lt;8.25)</f>
        <v/>
      </c>
      <c r="AC742">
        <f>IF(C742+D742&lt;66,0,IF((C742+D742)/2&gt;=80,5,IF((C742+D742)/2&gt;=70,4,IF((C742+D742)/2&gt;=60,3.5,IF((C742+D742)/2&gt;=50,3,IF((C742+D742)/2&gt;=40,2,IF((C742+D742)/2&gt;=33,1,0)))))))</f>
        <v/>
      </c>
      <c r="AD742">
        <f>IF(E742+F742&lt;66,0,IF((E742+F742)/2&gt;=80,5,IF((E742+F742)/2&gt;=70,4,IF((E742+F742)/2&gt;=60,3.5,IF((E742+F742)/2&gt;=50,3,IF((E742+F742)/2&gt;=40,2,IF((E742+F742)/2&gt;=33,1,0)))))))</f>
        <v/>
      </c>
      <c r="AE742">
        <f>IF(G742&lt;33,0,IF(G742&gt;=80,5,IF(G742&gt;=70,4,IF(G742&gt;=60,3.5,IF(G742&gt;=50,3,IF(G742&gt;=40,2,IF(G742&gt;=33,1,0)))))))</f>
        <v/>
      </c>
      <c r="AF742">
        <f>IF(H742+I742&lt;66,0,IF((H742+I742)/2&gt;=80,5,IF((H742+I742)/2&gt;=70,4,IF((H742+I742)/2&gt;=60,3.5,IF((H742+I742)/2&gt;=50,3,IF((H742+I742)/2&gt;=40,2,IF((H742+I742)/2&gt;=33,1,0)))))))</f>
        <v/>
      </c>
      <c r="AG742">
        <f>IF(Y742,0,IF((J742+K742+L742+M742)/2&gt;=80,5,IF((J742+K742+L742+M742)/2&gt;=70,4,IF((J742+K742+L742+M742)/2&gt;=60,3.5,IF((J742+K742+L742+M742)/2&gt;=50,3,IF((J742+K742+L742+M742)/2&gt;=40,2,IF((J742+K742+L742+M742)/2&gt;=33,1,0)))))))</f>
        <v/>
      </c>
      <c r="AH742">
        <f>IF(Z742,0,IF(N742+O742&gt;=80,5,IF(N742+O742&gt;=70,4,IF(N742+O742&gt;=60,3.5,IF(N742+O742&gt;=50,3,IF(N742+O742&gt;=40,2,IF(N742+O742&gt;=33,1,0)))))))</f>
        <v/>
      </c>
      <c r="AI742">
        <f>IF(AA742,0,IF(P742+Q742&gt;=80,5,IF(P742+Q742&gt;=70,4,IF(P742+Q742&gt;=60,3.5,IF(P742+Q742&gt;=50,3,IF(P742+Q742&gt;=40,2,IF(P742+Q742&gt;=33,1,0)))))))</f>
        <v/>
      </c>
      <c r="AJ742">
        <f>IF(R742&lt;8.25,0,IF(R742*2&gt;=80,5,IF(R742*2&gt;=70,4,IF(R742*2&gt;=60,3.5,IF(R742*2&gt;=50,3,IF(R742*2&gt;=40,2,IF(R742*2&gt;=33,1,0)))))))</f>
        <v/>
      </c>
      <c r="AK742">
        <f>IF(S742&lt;33,0,IF(S742&gt;=80,5,IF(S742&gt;=70,4,IF(S742&gt;=60,3.5,IF(S742&gt;=50,3,IF(S742&gt;=40,2,IF(S742&gt;=33,1,0)))))))</f>
        <v/>
      </c>
      <c r="AL742">
        <f>(AC742+AD742+AE742+AF742+AG742+AH742+AI742+AJ742)/8</f>
        <v/>
      </c>
      <c r="AM742">
        <f>IF(AK742&gt;=2,(AK742-2)/8,0)</f>
        <v/>
      </c>
    </row>
    <row r="743">
      <c r="T743">
        <f>SUM(C743:R743)</f>
        <v/>
      </c>
      <c r="U743" s="6">
        <f>ROUND(T743/11.5,2)</f>
        <v/>
      </c>
      <c r="V743" s="7">
        <f>IF(B743="","",IF(AB743,0,ROUND(AL743,2)))</f>
        <v/>
      </c>
      <c r="W743" s="7">
        <f>IF(B743="","",IF(AB743,0,MIN(5,ROUND(AL743+AM743,2))))</f>
        <v/>
      </c>
      <c r="X743" s="8">
        <f>IF(B743="","",IF(W743&gt;=5,"A+",IF(W743&gt;=4,"A",IF(W743&gt;=3.5,"A-",IF(W743&gt;=3,"B",IF(W743&gt;=2,"C",IF(W743&gt;=1,"D","F")))))))</f>
        <v/>
      </c>
      <c r="Y743">
        <f>NOT(OR(AND(J743&gt;=10,K743&gt;=23,L743&gt;=10,M743&gt;=23),AND(J743+L743&gt;=20,K743+M743&gt;=46)))</f>
        <v/>
      </c>
      <c r="Z743">
        <f>OR(N743&lt;10,O743&lt;23)</f>
        <v/>
      </c>
      <c r="AA743">
        <f>OR(P743&lt;10,Q743&lt;23)</f>
        <v/>
      </c>
      <c r="AB743">
        <f>OR((C743+D743)&lt;66,(E743+F743)&lt;66,G743&lt;33,(H743+I743)&lt;66,Y743,Z743,AA743,R743&lt;8.25)</f>
        <v/>
      </c>
      <c r="AC743">
        <f>IF(C743+D743&lt;66,0,IF((C743+D743)/2&gt;=80,5,IF((C743+D743)/2&gt;=70,4,IF((C743+D743)/2&gt;=60,3.5,IF((C743+D743)/2&gt;=50,3,IF((C743+D743)/2&gt;=40,2,IF((C743+D743)/2&gt;=33,1,0)))))))</f>
        <v/>
      </c>
      <c r="AD743">
        <f>IF(E743+F743&lt;66,0,IF((E743+F743)/2&gt;=80,5,IF((E743+F743)/2&gt;=70,4,IF((E743+F743)/2&gt;=60,3.5,IF((E743+F743)/2&gt;=50,3,IF((E743+F743)/2&gt;=40,2,IF((E743+F743)/2&gt;=33,1,0)))))))</f>
        <v/>
      </c>
      <c r="AE743">
        <f>IF(G743&lt;33,0,IF(G743&gt;=80,5,IF(G743&gt;=70,4,IF(G743&gt;=60,3.5,IF(G743&gt;=50,3,IF(G743&gt;=40,2,IF(G743&gt;=33,1,0)))))))</f>
        <v/>
      </c>
      <c r="AF743">
        <f>IF(H743+I743&lt;66,0,IF((H743+I743)/2&gt;=80,5,IF((H743+I743)/2&gt;=70,4,IF((H743+I743)/2&gt;=60,3.5,IF((H743+I743)/2&gt;=50,3,IF((H743+I743)/2&gt;=40,2,IF((H743+I743)/2&gt;=33,1,0)))))))</f>
        <v/>
      </c>
      <c r="AG743">
        <f>IF(Y743,0,IF((J743+K743+L743+M743)/2&gt;=80,5,IF((J743+K743+L743+M743)/2&gt;=70,4,IF((J743+K743+L743+M743)/2&gt;=60,3.5,IF((J743+K743+L743+M743)/2&gt;=50,3,IF((J743+K743+L743+M743)/2&gt;=40,2,IF((J743+K743+L743+M743)/2&gt;=33,1,0)))))))</f>
        <v/>
      </c>
      <c r="AH743">
        <f>IF(Z743,0,IF(N743+O743&gt;=80,5,IF(N743+O743&gt;=70,4,IF(N743+O743&gt;=60,3.5,IF(N743+O743&gt;=50,3,IF(N743+O743&gt;=40,2,IF(N743+O743&gt;=33,1,0)))))))</f>
        <v/>
      </c>
      <c r="AI743">
        <f>IF(AA743,0,IF(P743+Q743&gt;=80,5,IF(P743+Q743&gt;=70,4,IF(P743+Q743&gt;=60,3.5,IF(P743+Q743&gt;=50,3,IF(P743+Q743&gt;=40,2,IF(P743+Q743&gt;=33,1,0)))))))</f>
        <v/>
      </c>
      <c r="AJ743">
        <f>IF(R743&lt;8.25,0,IF(R743*2&gt;=80,5,IF(R743*2&gt;=70,4,IF(R743*2&gt;=60,3.5,IF(R743*2&gt;=50,3,IF(R743*2&gt;=40,2,IF(R743*2&gt;=33,1,0)))))))</f>
        <v/>
      </c>
      <c r="AK743">
        <f>IF(S743&lt;33,0,IF(S743&gt;=80,5,IF(S743&gt;=70,4,IF(S743&gt;=60,3.5,IF(S743&gt;=50,3,IF(S743&gt;=40,2,IF(S743&gt;=33,1,0)))))))</f>
        <v/>
      </c>
      <c r="AL743">
        <f>(AC743+AD743+AE743+AF743+AG743+AH743+AI743+AJ743)/8</f>
        <v/>
      </c>
      <c r="AM743">
        <f>IF(AK743&gt;=2,(AK743-2)/8,0)</f>
        <v/>
      </c>
    </row>
    <row r="744">
      <c r="T744">
        <f>SUM(C744:R744)</f>
        <v/>
      </c>
      <c r="U744" s="6">
        <f>ROUND(T744/11.5,2)</f>
        <v/>
      </c>
      <c r="V744" s="7">
        <f>IF(B744="","",IF(AB744,0,ROUND(AL744,2)))</f>
        <v/>
      </c>
      <c r="W744" s="7">
        <f>IF(B744="","",IF(AB744,0,MIN(5,ROUND(AL744+AM744,2))))</f>
        <v/>
      </c>
      <c r="X744" s="8">
        <f>IF(B744="","",IF(W744&gt;=5,"A+",IF(W744&gt;=4,"A",IF(W744&gt;=3.5,"A-",IF(W744&gt;=3,"B",IF(W744&gt;=2,"C",IF(W744&gt;=1,"D","F")))))))</f>
        <v/>
      </c>
      <c r="Y744">
        <f>NOT(OR(AND(J744&gt;=10,K744&gt;=23,L744&gt;=10,M744&gt;=23),AND(J744+L744&gt;=20,K744+M744&gt;=46)))</f>
        <v/>
      </c>
      <c r="Z744">
        <f>OR(N744&lt;10,O744&lt;23)</f>
        <v/>
      </c>
      <c r="AA744">
        <f>OR(P744&lt;10,Q744&lt;23)</f>
        <v/>
      </c>
      <c r="AB744">
        <f>OR((C744+D744)&lt;66,(E744+F744)&lt;66,G744&lt;33,(H744+I744)&lt;66,Y744,Z744,AA744,R744&lt;8.25)</f>
        <v/>
      </c>
      <c r="AC744">
        <f>IF(C744+D744&lt;66,0,IF((C744+D744)/2&gt;=80,5,IF((C744+D744)/2&gt;=70,4,IF((C744+D744)/2&gt;=60,3.5,IF((C744+D744)/2&gt;=50,3,IF((C744+D744)/2&gt;=40,2,IF((C744+D744)/2&gt;=33,1,0)))))))</f>
        <v/>
      </c>
      <c r="AD744">
        <f>IF(E744+F744&lt;66,0,IF((E744+F744)/2&gt;=80,5,IF((E744+F744)/2&gt;=70,4,IF((E744+F744)/2&gt;=60,3.5,IF((E744+F744)/2&gt;=50,3,IF((E744+F744)/2&gt;=40,2,IF((E744+F744)/2&gt;=33,1,0)))))))</f>
        <v/>
      </c>
      <c r="AE744">
        <f>IF(G744&lt;33,0,IF(G744&gt;=80,5,IF(G744&gt;=70,4,IF(G744&gt;=60,3.5,IF(G744&gt;=50,3,IF(G744&gt;=40,2,IF(G744&gt;=33,1,0)))))))</f>
        <v/>
      </c>
      <c r="AF744">
        <f>IF(H744+I744&lt;66,0,IF((H744+I744)/2&gt;=80,5,IF((H744+I744)/2&gt;=70,4,IF((H744+I744)/2&gt;=60,3.5,IF((H744+I744)/2&gt;=50,3,IF((H744+I744)/2&gt;=40,2,IF((H744+I744)/2&gt;=33,1,0)))))))</f>
        <v/>
      </c>
      <c r="AG744">
        <f>IF(Y744,0,IF((J744+K744+L744+M744)/2&gt;=80,5,IF((J744+K744+L744+M744)/2&gt;=70,4,IF((J744+K744+L744+M744)/2&gt;=60,3.5,IF((J744+K744+L744+M744)/2&gt;=50,3,IF((J744+K744+L744+M744)/2&gt;=40,2,IF((J744+K744+L744+M744)/2&gt;=33,1,0)))))))</f>
        <v/>
      </c>
      <c r="AH744">
        <f>IF(Z744,0,IF(N744+O744&gt;=80,5,IF(N744+O744&gt;=70,4,IF(N744+O744&gt;=60,3.5,IF(N744+O744&gt;=50,3,IF(N744+O744&gt;=40,2,IF(N744+O744&gt;=33,1,0)))))))</f>
        <v/>
      </c>
      <c r="AI744">
        <f>IF(AA744,0,IF(P744+Q744&gt;=80,5,IF(P744+Q744&gt;=70,4,IF(P744+Q744&gt;=60,3.5,IF(P744+Q744&gt;=50,3,IF(P744+Q744&gt;=40,2,IF(P744+Q744&gt;=33,1,0)))))))</f>
        <v/>
      </c>
      <c r="AJ744">
        <f>IF(R744&lt;8.25,0,IF(R744*2&gt;=80,5,IF(R744*2&gt;=70,4,IF(R744*2&gt;=60,3.5,IF(R744*2&gt;=50,3,IF(R744*2&gt;=40,2,IF(R744*2&gt;=33,1,0)))))))</f>
        <v/>
      </c>
      <c r="AK744">
        <f>IF(S744&lt;33,0,IF(S744&gt;=80,5,IF(S744&gt;=70,4,IF(S744&gt;=60,3.5,IF(S744&gt;=50,3,IF(S744&gt;=40,2,IF(S744&gt;=33,1,0)))))))</f>
        <v/>
      </c>
      <c r="AL744">
        <f>(AC744+AD744+AE744+AF744+AG744+AH744+AI744+AJ744)/8</f>
        <v/>
      </c>
      <c r="AM744">
        <f>IF(AK744&gt;=2,(AK744-2)/8,0)</f>
        <v/>
      </c>
    </row>
    <row r="745">
      <c r="T745">
        <f>SUM(C745:R745)</f>
        <v/>
      </c>
      <c r="U745" s="6">
        <f>ROUND(T745/11.5,2)</f>
        <v/>
      </c>
      <c r="V745" s="7">
        <f>IF(B745="","",IF(AB745,0,ROUND(AL745,2)))</f>
        <v/>
      </c>
      <c r="W745" s="7">
        <f>IF(B745="","",IF(AB745,0,MIN(5,ROUND(AL745+AM745,2))))</f>
        <v/>
      </c>
      <c r="X745" s="8">
        <f>IF(B745="","",IF(W745&gt;=5,"A+",IF(W745&gt;=4,"A",IF(W745&gt;=3.5,"A-",IF(W745&gt;=3,"B",IF(W745&gt;=2,"C",IF(W745&gt;=1,"D","F")))))))</f>
        <v/>
      </c>
      <c r="Y745">
        <f>NOT(OR(AND(J745&gt;=10,K745&gt;=23,L745&gt;=10,M745&gt;=23),AND(J745+L745&gt;=20,K745+M745&gt;=46)))</f>
        <v/>
      </c>
      <c r="Z745">
        <f>OR(N745&lt;10,O745&lt;23)</f>
        <v/>
      </c>
      <c r="AA745">
        <f>OR(P745&lt;10,Q745&lt;23)</f>
        <v/>
      </c>
      <c r="AB745">
        <f>OR((C745+D745)&lt;66,(E745+F745)&lt;66,G745&lt;33,(H745+I745)&lt;66,Y745,Z745,AA745,R745&lt;8.25)</f>
        <v/>
      </c>
      <c r="AC745">
        <f>IF(C745+D745&lt;66,0,IF((C745+D745)/2&gt;=80,5,IF((C745+D745)/2&gt;=70,4,IF((C745+D745)/2&gt;=60,3.5,IF((C745+D745)/2&gt;=50,3,IF((C745+D745)/2&gt;=40,2,IF((C745+D745)/2&gt;=33,1,0)))))))</f>
        <v/>
      </c>
      <c r="AD745">
        <f>IF(E745+F745&lt;66,0,IF((E745+F745)/2&gt;=80,5,IF((E745+F745)/2&gt;=70,4,IF((E745+F745)/2&gt;=60,3.5,IF((E745+F745)/2&gt;=50,3,IF((E745+F745)/2&gt;=40,2,IF((E745+F745)/2&gt;=33,1,0)))))))</f>
        <v/>
      </c>
      <c r="AE745">
        <f>IF(G745&lt;33,0,IF(G745&gt;=80,5,IF(G745&gt;=70,4,IF(G745&gt;=60,3.5,IF(G745&gt;=50,3,IF(G745&gt;=40,2,IF(G745&gt;=33,1,0)))))))</f>
        <v/>
      </c>
      <c r="AF745">
        <f>IF(H745+I745&lt;66,0,IF((H745+I745)/2&gt;=80,5,IF((H745+I745)/2&gt;=70,4,IF((H745+I745)/2&gt;=60,3.5,IF((H745+I745)/2&gt;=50,3,IF((H745+I745)/2&gt;=40,2,IF((H745+I745)/2&gt;=33,1,0)))))))</f>
        <v/>
      </c>
      <c r="AG745">
        <f>IF(Y745,0,IF((J745+K745+L745+M745)/2&gt;=80,5,IF((J745+K745+L745+M745)/2&gt;=70,4,IF((J745+K745+L745+M745)/2&gt;=60,3.5,IF((J745+K745+L745+M745)/2&gt;=50,3,IF((J745+K745+L745+M745)/2&gt;=40,2,IF((J745+K745+L745+M745)/2&gt;=33,1,0)))))))</f>
        <v/>
      </c>
      <c r="AH745">
        <f>IF(Z745,0,IF(N745+O745&gt;=80,5,IF(N745+O745&gt;=70,4,IF(N745+O745&gt;=60,3.5,IF(N745+O745&gt;=50,3,IF(N745+O745&gt;=40,2,IF(N745+O745&gt;=33,1,0)))))))</f>
        <v/>
      </c>
      <c r="AI745">
        <f>IF(AA745,0,IF(P745+Q745&gt;=80,5,IF(P745+Q745&gt;=70,4,IF(P745+Q745&gt;=60,3.5,IF(P745+Q745&gt;=50,3,IF(P745+Q745&gt;=40,2,IF(P745+Q745&gt;=33,1,0)))))))</f>
        <v/>
      </c>
      <c r="AJ745">
        <f>IF(R745&lt;8.25,0,IF(R745*2&gt;=80,5,IF(R745*2&gt;=70,4,IF(R745*2&gt;=60,3.5,IF(R745*2&gt;=50,3,IF(R745*2&gt;=40,2,IF(R745*2&gt;=33,1,0)))))))</f>
        <v/>
      </c>
      <c r="AK745">
        <f>IF(S745&lt;33,0,IF(S745&gt;=80,5,IF(S745&gt;=70,4,IF(S745&gt;=60,3.5,IF(S745&gt;=50,3,IF(S745&gt;=40,2,IF(S745&gt;=33,1,0)))))))</f>
        <v/>
      </c>
      <c r="AL745">
        <f>(AC745+AD745+AE745+AF745+AG745+AH745+AI745+AJ745)/8</f>
        <v/>
      </c>
      <c r="AM745">
        <f>IF(AK745&gt;=2,(AK745-2)/8,0)</f>
        <v/>
      </c>
    </row>
    <row r="746">
      <c r="T746">
        <f>SUM(C746:R746)</f>
        <v/>
      </c>
      <c r="U746" s="6">
        <f>ROUND(T746/11.5,2)</f>
        <v/>
      </c>
      <c r="V746" s="7">
        <f>IF(B746="","",IF(AB746,0,ROUND(AL746,2)))</f>
        <v/>
      </c>
      <c r="W746" s="7">
        <f>IF(B746="","",IF(AB746,0,MIN(5,ROUND(AL746+AM746,2))))</f>
        <v/>
      </c>
      <c r="X746" s="8">
        <f>IF(B746="","",IF(W746&gt;=5,"A+",IF(W746&gt;=4,"A",IF(W746&gt;=3.5,"A-",IF(W746&gt;=3,"B",IF(W746&gt;=2,"C",IF(W746&gt;=1,"D","F")))))))</f>
        <v/>
      </c>
      <c r="Y746">
        <f>NOT(OR(AND(J746&gt;=10,K746&gt;=23,L746&gt;=10,M746&gt;=23),AND(J746+L746&gt;=20,K746+M746&gt;=46)))</f>
        <v/>
      </c>
      <c r="Z746">
        <f>OR(N746&lt;10,O746&lt;23)</f>
        <v/>
      </c>
      <c r="AA746">
        <f>OR(P746&lt;10,Q746&lt;23)</f>
        <v/>
      </c>
      <c r="AB746">
        <f>OR((C746+D746)&lt;66,(E746+F746)&lt;66,G746&lt;33,(H746+I746)&lt;66,Y746,Z746,AA746,R746&lt;8.25)</f>
        <v/>
      </c>
      <c r="AC746">
        <f>IF(C746+D746&lt;66,0,IF((C746+D746)/2&gt;=80,5,IF((C746+D746)/2&gt;=70,4,IF((C746+D746)/2&gt;=60,3.5,IF((C746+D746)/2&gt;=50,3,IF((C746+D746)/2&gt;=40,2,IF((C746+D746)/2&gt;=33,1,0)))))))</f>
        <v/>
      </c>
      <c r="AD746">
        <f>IF(E746+F746&lt;66,0,IF((E746+F746)/2&gt;=80,5,IF((E746+F746)/2&gt;=70,4,IF((E746+F746)/2&gt;=60,3.5,IF((E746+F746)/2&gt;=50,3,IF((E746+F746)/2&gt;=40,2,IF((E746+F746)/2&gt;=33,1,0)))))))</f>
        <v/>
      </c>
      <c r="AE746">
        <f>IF(G746&lt;33,0,IF(G746&gt;=80,5,IF(G746&gt;=70,4,IF(G746&gt;=60,3.5,IF(G746&gt;=50,3,IF(G746&gt;=40,2,IF(G746&gt;=33,1,0)))))))</f>
        <v/>
      </c>
      <c r="AF746">
        <f>IF(H746+I746&lt;66,0,IF((H746+I746)/2&gt;=80,5,IF((H746+I746)/2&gt;=70,4,IF((H746+I746)/2&gt;=60,3.5,IF((H746+I746)/2&gt;=50,3,IF((H746+I746)/2&gt;=40,2,IF((H746+I746)/2&gt;=33,1,0)))))))</f>
        <v/>
      </c>
      <c r="AG746">
        <f>IF(Y746,0,IF((J746+K746+L746+M746)/2&gt;=80,5,IF((J746+K746+L746+M746)/2&gt;=70,4,IF((J746+K746+L746+M746)/2&gt;=60,3.5,IF((J746+K746+L746+M746)/2&gt;=50,3,IF((J746+K746+L746+M746)/2&gt;=40,2,IF((J746+K746+L746+M746)/2&gt;=33,1,0)))))))</f>
        <v/>
      </c>
      <c r="AH746">
        <f>IF(Z746,0,IF(N746+O746&gt;=80,5,IF(N746+O746&gt;=70,4,IF(N746+O746&gt;=60,3.5,IF(N746+O746&gt;=50,3,IF(N746+O746&gt;=40,2,IF(N746+O746&gt;=33,1,0)))))))</f>
        <v/>
      </c>
      <c r="AI746">
        <f>IF(AA746,0,IF(P746+Q746&gt;=80,5,IF(P746+Q746&gt;=70,4,IF(P746+Q746&gt;=60,3.5,IF(P746+Q746&gt;=50,3,IF(P746+Q746&gt;=40,2,IF(P746+Q746&gt;=33,1,0)))))))</f>
        <v/>
      </c>
      <c r="AJ746">
        <f>IF(R746&lt;8.25,0,IF(R746*2&gt;=80,5,IF(R746*2&gt;=70,4,IF(R746*2&gt;=60,3.5,IF(R746*2&gt;=50,3,IF(R746*2&gt;=40,2,IF(R746*2&gt;=33,1,0)))))))</f>
        <v/>
      </c>
      <c r="AK746">
        <f>IF(S746&lt;33,0,IF(S746&gt;=80,5,IF(S746&gt;=70,4,IF(S746&gt;=60,3.5,IF(S746&gt;=50,3,IF(S746&gt;=40,2,IF(S746&gt;=33,1,0)))))))</f>
        <v/>
      </c>
      <c r="AL746">
        <f>(AC746+AD746+AE746+AF746+AG746+AH746+AI746+AJ746)/8</f>
        <v/>
      </c>
      <c r="AM746">
        <f>IF(AK746&gt;=2,(AK746-2)/8,0)</f>
        <v/>
      </c>
    </row>
    <row r="747">
      <c r="T747">
        <f>SUM(C747:R747)</f>
        <v/>
      </c>
      <c r="U747" s="6">
        <f>ROUND(T747/11.5,2)</f>
        <v/>
      </c>
      <c r="V747" s="7">
        <f>IF(B747="","",IF(AB747,0,ROUND(AL747,2)))</f>
        <v/>
      </c>
      <c r="W747" s="7">
        <f>IF(B747="","",IF(AB747,0,MIN(5,ROUND(AL747+AM747,2))))</f>
        <v/>
      </c>
      <c r="X747" s="8">
        <f>IF(B747="","",IF(W747&gt;=5,"A+",IF(W747&gt;=4,"A",IF(W747&gt;=3.5,"A-",IF(W747&gt;=3,"B",IF(W747&gt;=2,"C",IF(W747&gt;=1,"D","F")))))))</f>
        <v/>
      </c>
      <c r="Y747">
        <f>NOT(OR(AND(J747&gt;=10,K747&gt;=23,L747&gt;=10,M747&gt;=23),AND(J747+L747&gt;=20,K747+M747&gt;=46)))</f>
        <v/>
      </c>
      <c r="Z747">
        <f>OR(N747&lt;10,O747&lt;23)</f>
        <v/>
      </c>
      <c r="AA747">
        <f>OR(P747&lt;10,Q747&lt;23)</f>
        <v/>
      </c>
      <c r="AB747">
        <f>OR((C747+D747)&lt;66,(E747+F747)&lt;66,G747&lt;33,(H747+I747)&lt;66,Y747,Z747,AA747,R747&lt;8.25)</f>
        <v/>
      </c>
      <c r="AC747">
        <f>IF(C747+D747&lt;66,0,IF((C747+D747)/2&gt;=80,5,IF((C747+D747)/2&gt;=70,4,IF((C747+D747)/2&gt;=60,3.5,IF((C747+D747)/2&gt;=50,3,IF((C747+D747)/2&gt;=40,2,IF((C747+D747)/2&gt;=33,1,0)))))))</f>
        <v/>
      </c>
      <c r="AD747">
        <f>IF(E747+F747&lt;66,0,IF((E747+F747)/2&gt;=80,5,IF((E747+F747)/2&gt;=70,4,IF((E747+F747)/2&gt;=60,3.5,IF((E747+F747)/2&gt;=50,3,IF((E747+F747)/2&gt;=40,2,IF((E747+F747)/2&gt;=33,1,0)))))))</f>
        <v/>
      </c>
      <c r="AE747">
        <f>IF(G747&lt;33,0,IF(G747&gt;=80,5,IF(G747&gt;=70,4,IF(G747&gt;=60,3.5,IF(G747&gt;=50,3,IF(G747&gt;=40,2,IF(G747&gt;=33,1,0)))))))</f>
        <v/>
      </c>
      <c r="AF747">
        <f>IF(H747+I747&lt;66,0,IF((H747+I747)/2&gt;=80,5,IF((H747+I747)/2&gt;=70,4,IF((H747+I747)/2&gt;=60,3.5,IF((H747+I747)/2&gt;=50,3,IF((H747+I747)/2&gt;=40,2,IF((H747+I747)/2&gt;=33,1,0)))))))</f>
        <v/>
      </c>
      <c r="AG747">
        <f>IF(Y747,0,IF((J747+K747+L747+M747)/2&gt;=80,5,IF((J747+K747+L747+M747)/2&gt;=70,4,IF((J747+K747+L747+M747)/2&gt;=60,3.5,IF((J747+K747+L747+M747)/2&gt;=50,3,IF((J747+K747+L747+M747)/2&gt;=40,2,IF((J747+K747+L747+M747)/2&gt;=33,1,0)))))))</f>
        <v/>
      </c>
      <c r="AH747">
        <f>IF(Z747,0,IF(N747+O747&gt;=80,5,IF(N747+O747&gt;=70,4,IF(N747+O747&gt;=60,3.5,IF(N747+O747&gt;=50,3,IF(N747+O747&gt;=40,2,IF(N747+O747&gt;=33,1,0)))))))</f>
        <v/>
      </c>
      <c r="AI747">
        <f>IF(AA747,0,IF(P747+Q747&gt;=80,5,IF(P747+Q747&gt;=70,4,IF(P747+Q747&gt;=60,3.5,IF(P747+Q747&gt;=50,3,IF(P747+Q747&gt;=40,2,IF(P747+Q747&gt;=33,1,0)))))))</f>
        <v/>
      </c>
      <c r="AJ747">
        <f>IF(R747&lt;8.25,0,IF(R747*2&gt;=80,5,IF(R747*2&gt;=70,4,IF(R747*2&gt;=60,3.5,IF(R747*2&gt;=50,3,IF(R747*2&gt;=40,2,IF(R747*2&gt;=33,1,0)))))))</f>
        <v/>
      </c>
      <c r="AK747">
        <f>IF(S747&lt;33,0,IF(S747&gt;=80,5,IF(S747&gt;=70,4,IF(S747&gt;=60,3.5,IF(S747&gt;=50,3,IF(S747&gt;=40,2,IF(S747&gt;=33,1,0)))))))</f>
        <v/>
      </c>
      <c r="AL747">
        <f>(AC747+AD747+AE747+AF747+AG747+AH747+AI747+AJ747)/8</f>
        <v/>
      </c>
      <c r="AM747">
        <f>IF(AK747&gt;=2,(AK747-2)/8,0)</f>
        <v/>
      </c>
    </row>
    <row r="748">
      <c r="T748">
        <f>SUM(C748:R748)</f>
        <v/>
      </c>
      <c r="U748" s="6">
        <f>ROUND(T748/11.5,2)</f>
        <v/>
      </c>
      <c r="V748" s="7">
        <f>IF(B748="","",IF(AB748,0,ROUND(AL748,2)))</f>
        <v/>
      </c>
      <c r="W748" s="7">
        <f>IF(B748="","",IF(AB748,0,MIN(5,ROUND(AL748+AM748,2))))</f>
        <v/>
      </c>
      <c r="X748" s="8">
        <f>IF(B748="","",IF(W748&gt;=5,"A+",IF(W748&gt;=4,"A",IF(W748&gt;=3.5,"A-",IF(W748&gt;=3,"B",IF(W748&gt;=2,"C",IF(W748&gt;=1,"D","F")))))))</f>
        <v/>
      </c>
      <c r="Y748">
        <f>NOT(OR(AND(J748&gt;=10,K748&gt;=23,L748&gt;=10,M748&gt;=23),AND(J748+L748&gt;=20,K748+M748&gt;=46)))</f>
        <v/>
      </c>
      <c r="Z748">
        <f>OR(N748&lt;10,O748&lt;23)</f>
        <v/>
      </c>
      <c r="AA748">
        <f>OR(P748&lt;10,Q748&lt;23)</f>
        <v/>
      </c>
      <c r="AB748">
        <f>OR((C748+D748)&lt;66,(E748+F748)&lt;66,G748&lt;33,(H748+I748)&lt;66,Y748,Z748,AA748,R748&lt;8.25)</f>
        <v/>
      </c>
      <c r="AC748">
        <f>IF(C748+D748&lt;66,0,IF((C748+D748)/2&gt;=80,5,IF((C748+D748)/2&gt;=70,4,IF((C748+D748)/2&gt;=60,3.5,IF((C748+D748)/2&gt;=50,3,IF((C748+D748)/2&gt;=40,2,IF((C748+D748)/2&gt;=33,1,0)))))))</f>
        <v/>
      </c>
      <c r="AD748">
        <f>IF(E748+F748&lt;66,0,IF((E748+F748)/2&gt;=80,5,IF((E748+F748)/2&gt;=70,4,IF((E748+F748)/2&gt;=60,3.5,IF((E748+F748)/2&gt;=50,3,IF((E748+F748)/2&gt;=40,2,IF((E748+F748)/2&gt;=33,1,0)))))))</f>
        <v/>
      </c>
      <c r="AE748">
        <f>IF(G748&lt;33,0,IF(G748&gt;=80,5,IF(G748&gt;=70,4,IF(G748&gt;=60,3.5,IF(G748&gt;=50,3,IF(G748&gt;=40,2,IF(G748&gt;=33,1,0)))))))</f>
        <v/>
      </c>
      <c r="AF748">
        <f>IF(H748+I748&lt;66,0,IF((H748+I748)/2&gt;=80,5,IF((H748+I748)/2&gt;=70,4,IF((H748+I748)/2&gt;=60,3.5,IF((H748+I748)/2&gt;=50,3,IF((H748+I748)/2&gt;=40,2,IF((H748+I748)/2&gt;=33,1,0)))))))</f>
        <v/>
      </c>
      <c r="AG748">
        <f>IF(Y748,0,IF((J748+K748+L748+M748)/2&gt;=80,5,IF((J748+K748+L748+M748)/2&gt;=70,4,IF((J748+K748+L748+M748)/2&gt;=60,3.5,IF((J748+K748+L748+M748)/2&gt;=50,3,IF((J748+K748+L748+M748)/2&gt;=40,2,IF((J748+K748+L748+M748)/2&gt;=33,1,0)))))))</f>
        <v/>
      </c>
      <c r="AH748">
        <f>IF(Z748,0,IF(N748+O748&gt;=80,5,IF(N748+O748&gt;=70,4,IF(N748+O748&gt;=60,3.5,IF(N748+O748&gt;=50,3,IF(N748+O748&gt;=40,2,IF(N748+O748&gt;=33,1,0)))))))</f>
        <v/>
      </c>
      <c r="AI748">
        <f>IF(AA748,0,IF(P748+Q748&gt;=80,5,IF(P748+Q748&gt;=70,4,IF(P748+Q748&gt;=60,3.5,IF(P748+Q748&gt;=50,3,IF(P748+Q748&gt;=40,2,IF(P748+Q748&gt;=33,1,0)))))))</f>
        <v/>
      </c>
      <c r="AJ748">
        <f>IF(R748&lt;8.25,0,IF(R748*2&gt;=80,5,IF(R748*2&gt;=70,4,IF(R748*2&gt;=60,3.5,IF(R748*2&gt;=50,3,IF(R748*2&gt;=40,2,IF(R748*2&gt;=33,1,0)))))))</f>
        <v/>
      </c>
      <c r="AK748">
        <f>IF(S748&lt;33,0,IF(S748&gt;=80,5,IF(S748&gt;=70,4,IF(S748&gt;=60,3.5,IF(S748&gt;=50,3,IF(S748&gt;=40,2,IF(S748&gt;=33,1,0)))))))</f>
        <v/>
      </c>
      <c r="AL748">
        <f>(AC748+AD748+AE748+AF748+AG748+AH748+AI748+AJ748)/8</f>
        <v/>
      </c>
      <c r="AM748">
        <f>IF(AK748&gt;=2,(AK748-2)/8,0)</f>
        <v/>
      </c>
    </row>
    <row r="749">
      <c r="T749">
        <f>SUM(C749:R749)</f>
        <v/>
      </c>
      <c r="U749" s="6">
        <f>ROUND(T749/11.5,2)</f>
        <v/>
      </c>
      <c r="V749" s="7">
        <f>IF(B749="","",IF(AB749,0,ROUND(AL749,2)))</f>
        <v/>
      </c>
      <c r="W749" s="7">
        <f>IF(B749="","",IF(AB749,0,MIN(5,ROUND(AL749+AM749,2))))</f>
        <v/>
      </c>
      <c r="X749" s="8">
        <f>IF(B749="","",IF(W749&gt;=5,"A+",IF(W749&gt;=4,"A",IF(W749&gt;=3.5,"A-",IF(W749&gt;=3,"B",IF(W749&gt;=2,"C",IF(W749&gt;=1,"D","F")))))))</f>
        <v/>
      </c>
      <c r="Y749">
        <f>NOT(OR(AND(J749&gt;=10,K749&gt;=23,L749&gt;=10,M749&gt;=23),AND(J749+L749&gt;=20,K749+M749&gt;=46)))</f>
        <v/>
      </c>
      <c r="Z749">
        <f>OR(N749&lt;10,O749&lt;23)</f>
        <v/>
      </c>
      <c r="AA749">
        <f>OR(P749&lt;10,Q749&lt;23)</f>
        <v/>
      </c>
      <c r="AB749">
        <f>OR((C749+D749)&lt;66,(E749+F749)&lt;66,G749&lt;33,(H749+I749)&lt;66,Y749,Z749,AA749,R749&lt;8.25)</f>
        <v/>
      </c>
      <c r="AC749">
        <f>IF(C749+D749&lt;66,0,IF((C749+D749)/2&gt;=80,5,IF((C749+D749)/2&gt;=70,4,IF((C749+D749)/2&gt;=60,3.5,IF((C749+D749)/2&gt;=50,3,IF((C749+D749)/2&gt;=40,2,IF((C749+D749)/2&gt;=33,1,0)))))))</f>
        <v/>
      </c>
      <c r="AD749">
        <f>IF(E749+F749&lt;66,0,IF((E749+F749)/2&gt;=80,5,IF((E749+F749)/2&gt;=70,4,IF((E749+F749)/2&gt;=60,3.5,IF((E749+F749)/2&gt;=50,3,IF((E749+F749)/2&gt;=40,2,IF((E749+F749)/2&gt;=33,1,0)))))))</f>
        <v/>
      </c>
      <c r="AE749">
        <f>IF(G749&lt;33,0,IF(G749&gt;=80,5,IF(G749&gt;=70,4,IF(G749&gt;=60,3.5,IF(G749&gt;=50,3,IF(G749&gt;=40,2,IF(G749&gt;=33,1,0)))))))</f>
        <v/>
      </c>
      <c r="AF749">
        <f>IF(H749+I749&lt;66,0,IF((H749+I749)/2&gt;=80,5,IF((H749+I749)/2&gt;=70,4,IF((H749+I749)/2&gt;=60,3.5,IF((H749+I749)/2&gt;=50,3,IF((H749+I749)/2&gt;=40,2,IF((H749+I749)/2&gt;=33,1,0)))))))</f>
        <v/>
      </c>
      <c r="AG749">
        <f>IF(Y749,0,IF((J749+K749+L749+M749)/2&gt;=80,5,IF((J749+K749+L749+M749)/2&gt;=70,4,IF((J749+K749+L749+M749)/2&gt;=60,3.5,IF((J749+K749+L749+M749)/2&gt;=50,3,IF((J749+K749+L749+M749)/2&gt;=40,2,IF((J749+K749+L749+M749)/2&gt;=33,1,0)))))))</f>
        <v/>
      </c>
      <c r="AH749">
        <f>IF(Z749,0,IF(N749+O749&gt;=80,5,IF(N749+O749&gt;=70,4,IF(N749+O749&gt;=60,3.5,IF(N749+O749&gt;=50,3,IF(N749+O749&gt;=40,2,IF(N749+O749&gt;=33,1,0)))))))</f>
        <v/>
      </c>
      <c r="AI749">
        <f>IF(AA749,0,IF(P749+Q749&gt;=80,5,IF(P749+Q749&gt;=70,4,IF(P749+Q749&gt;=60,3.5,IF(P749+Q749&gt;=50,3,IF(P749+Q749&gt;=40,2,IF(P749+Q749&gt;=33,1,0)))))))</f>
        <v/>
      </c>
      <c r="AJ749">
        <f>IF(R749&lt;8.25,0,IF(R749*2&gt;=80,5,IF(R749*2&gt;=70,4,IF(R749*2&gt;=60,3.5,IF(R749*2&gt;=50,3,IF(R749*2&gt;=40,2,IF(R749*2&gt;=33,1,0)))))))</f>
        <v/>
      </c>
      <c r="AK749">
        <f>IF(S749&lt;33,0,IF(S749&gt;=80,5,IF(S749&gt;=70,4,IF(S749&gt;=60,3.5,IF(S749&gt;=50,3,IF(S749&gt;=40,2,IF(S749&gt;=33,1,0)))))))</f>
        <v/>
      </c>
      <c r="AL749">
        <f>(AC749+AD749+AE749+AF749+AG749+AH749+AI749+AJ749)/8</f>
        <v/>
      </c>
      <c r="AM749">
        <f>IF(AK749&gt;=2,(AK749-2)/8,0)</f>
        <v/>
      </c>
    </row>
    <row r="750">
      <c r="T750">
        <f>SUM(C750:R750)</f>
        <v/>
      </c>
      <c r="U750" s="6">
        <f>ROUND(T750/11.5,2)</f>
        <v/>
      </c>
      <c r="V750" s="7">
        <f>IF(B750="","",IF(AB750,0,ROUND(AL750,2)))</f>
        <v/>
      </c>
      <c r="W750" s="7">
        <f>IF(B750="","",IF(AB750,0,MIN(5,ROUND(AL750+AM750,2))))</f>
        <v/>
      </c>
      <c r="X750" s="8">
        <f>IF(B750="","",IF(W750&gt;=5,"A+",IF(W750&gt;=4,"A",IF(W750&gt;=3.5,"A-",IF(W750&gt;=3,"B",IF(W750&gt;=2,"C",IF(W750&gt;=1,"D","F")))))))</f>
        <v/>
      </c>
      <c r="Y750">
        <f>NOT(OR(AND(J750&gt;=10,K750&gt;=23,L750&gt;=10,M750&gt;=23),AND(J750+L750&gt;=20,K750+M750&gt;=46)))</f>
        <v/>
      </c>
      <c r="Z750">
        <f>OR(N750&lt;10,O750&lt;23)</f>
        <v/>
      </c>
      <c r="AA750">
        <f>OR(P750&lt;10,Q750&lt;23)</f>
        <v/>
      </c>
      <c r="AB750">
        <f>OR((C750+D750)&lt;66,(E750+F750)&lt;66,G750&lt;33,(H750+I750)&lt;66,Y750,Z750,AA750,R750&lt;8.25)</f>
        <v/>
      </c>
      <c r="AC750">
        <f>IF(C750+D750&lt;66,0,IF((C750+D750)/2&gt;=80,5,IF((C750+D750)/2&gt;=70,4,IF((C750+D750)/2&gt;=60,3.5,IF((C750+D750)/2&gt;=50,3,IF((C750+D750)/2&gt;=40,2,IF((C750+D750)/2&gt;=33,1,0)))))))</f>
        <v/>
      </c>
      <c r="AD750">
        <f>IF(E750+F750&lt;66,0,IF((E750+F750)/2&gt;=80,5,IF((E750+F750)/2&gt;=70,4,IF((E750+F750)/2&gt;=60,3.5,IF((E750+F750)/2&gt;=50,3,IF((E750+F750)/2&gt;=40,2,IF((E750+F750)/2&gt;=33,1,0)))))))</f>
        <v/>
      </c>
      <c r="AE750">
        <f>IF(G750&lt;33,0,IF(G750&gt;=80,5,IF(G750&gt;=70,4,IF(G750&gt;=60,3.5,IF(G750&gt;=50,3,IF(G750&gt;=40,2,IF(G750&gt;=33,1,0)))))))</f>
        <v/>
      </c>
      <c r="AF750">
        <f>IF(H750+I750&lt;66,0,IF((H750+I750)/2&gt;=80,5,IF((H750+I750)/2&gt;=70,4,IF((H750+I750)/2&gt;=60,3.5,IF((H750+I750)/2&gt;=50,3,IF((H750+I750)/2&gt;=40,2,IF((H750+I750)/2&gt;=33,1,0)))))))</f>
        <v/>
      </c>
      <c r="AG750">
        <f>IF(Y750,0,IF((J750+K750+L750+M750)/2&gt;=80,5,IF((J750+K750+L750+M750)/2&gt;=70,4,IF((J750+K750+L750+M750)/2&gt;=60,3.5,IF((J750+K750+L750+M750)/2&gt;=50,3,IF((J750+K750+L750+M750)/2&gt;=40,2,IF((J750+K750+L750+M750)/2&gt;=33,1,0)))))))</f>
        <v/>
      </c>
      <c r="AH750">
        <f>IF(Z750,0,IF(N750+O750&gt;=80,5,IF(N750+O750&gt;=70,4,IF(N750+O750&gt;=60,3.5,IF(N750+O750&gt;=50,3,IF(N750+O750&gt;=40,2,IF(N750+O750&gt;=33,1,0)))))))</f>
        <v/>
      </c>
      <c r="AI750">
        <f>IF(AA750,0,IF(P750+Q750&gt;=80,5,IF(P750+Q750&gt;=70,4,IF(P750+Q750&gt;=60,3.5,IF(P750+Q750&gt;=50,3,IF(P750+Q750&gt;=40,2,IF(P750+Q750&gt;=33,1,0)))))))</f>
        <v/>
      </c>
      <c r="AJ750">
        <f>IF(R750&lt;8.25,0,IF(R750*2&gt;=80,5,IF(R750*2&gt;=70,4,IF(R750*2&gt;=60,3.5,IF(R750*2&gt;=50,3,IF(R750*2&gt;=40,2,IF(R750*2&gt;=33,1,0)))))))</f>
        <v/>
      </c>
      <c r="AK750">
        <f>IF(S750&lt;33,0,IF(S750&gt;=80,5,IF(S750&gt;=70,4,IF(S750&gt;=60,3.5,IF(S750&gt;=50,3,IF(S750&gt;=40,2,IF(S750&gt;=33,1,0)))))))</f>
        <v/>
      </c>
      <c r="AL750">
        <f>(AC750+AD750+AE750+AF750+AG750+AH750+AI750+AJ750)/8</f>
        <v/>
      </c>
      <c r="AM750">
        <f>IF(AK750&gt;=2,(AK750-2)/8,0)</f>
        <v/>
      </c>
    </row>
    <row r="751">
      <c r="T751">
        <f>SUM(C751:R751)</f>
        <v/>
      </c>
      <c r="U751" s="6">
        <f>ROUND(T751/11.5,2)</f>
        <v/>
      </c>
      <c r="V751" s="7">
        <f>IF(B751="","",IF(AB751,0,ROUND(AL751,2)))</f>
        <v/>
      </c>
      <c r="W751" s="7">
        <f>IF(B751="","",IF(AB751,0,MIN(5,ROUND(AL751+AM751,2))))</f>
        <v/>
      </c>
      <c r="X751" s="8">
        <f>IF(B751="","",IF(W751&gt;=5,"A+",IF(W751&gt;=4,"A",IF(W751&gt;=3.5,"A-",IF(W751&gt;=3,"B",IF(W751&gt;=2,"C",IF(W751&gt;=1,"D","F")))))))</f>
        <v/>
      </c>
      <c r="Y751">
        <f>NOT(OR(AND(J751&gt;=10,K751&gt;=23,L751&gt;=10,M751&gt;=23),AND(J751+L751&gt;=20,K751+M751&gt;=46)))</f>
        <v/>
      </c>
      <c r="Z751">
        <f>OR(N751&lt;10,O751&lt;23)</f>
        <v/>
      </c>
      <c r="AA751">
        <f>OR(P751&lt;10,Q751&lt;23)</f>
        <v/>
      </c>
      <c r="AB751">
        <f>OR((C751+D751)&lt;66,(E751+F751)&lt;66,G751&lt;33,(H751+I751)&lt;66,Y751,Z751,AA751,R751&lt;8.25)</f>
        <v/>
      </c>
      <c r="AC751">
        <f>IF(C751+D751&lt;66,0,IF((C751+D751)/2&gt;=80,5,IF((C751+D751)/2&gt;=70,4,IF((C751+D751)/2&gt;=60,3.5,IF((C751+D751)/2&gt;=50,3,IF((C751+D751)/2&gt;=40,2,IF((C751+D751)/2&gt;=33,1,0)))))))</f>
        <v/>
      </c>
      <c r="AD751">
        <f>IF(E751+F751&lt;66,0,IF((E751+F751)/2&gt;=80,5,IF((E751+F751)/2&gt;=70,4,IF((E751+F751)/2&gt;=60,3.5,IF((E751+F751)/2&gt;=50,3,IF((E751+F751)/2&gt;=40,2,IF((E751+F751)/2&gt;=33,1,0)))))))</f>
        <v/>
      </c>
      <c r="AE751">
        <f>IF(G751&lt;33,0,IF(G751&gt;=80,5,IF(G751&gt;=70,4,IF(G751&gt;=60,3.5,IF(G751&gt;=50,3,IF(G751&gt;=40,2,IF(G751&gt;=33,1,0)))))))</f>
        <v/>
      </c>
      <c r="AF751">
        <f>IF(H751+I751&lt;66,0,IF((H751+I751)/2&gt;=80,5,IF((H751+I751)/2&gt;=70,4,IF((H751+I751)/2&gt;=60,3.5,IF((H751+I751)/2&gt;=50,3,IF((H751+I751)/2&gt;=40,2,IF((H751+I751)/2&gt;=33,1,0)))))))</f>
        <v/>
      </c>
      <c r="AG751">
        <f>IF(Y751,0,IF((J751+K751+L751+M751)/2&gt;=80,5,IF((J751+K751+L751+M751)/2&gt;=70,4,IF((J751+K751+L751+M751)/2&gt;=60,3.5,IF((J751+K751+L751+M751)/2&gt;=50,3,IF((J751+K751+L751+M751)/2&gt;=40,2,IF((J751+K751+L751+M751)/2&gt;=33,1,0)))))))</f>
        <v/>
      </c>
      <c r="AH751">
        <f>IF(Z751,0,IF(N751+O751&gt;=80,5,IF(N751+O751&gt;=70,4,IF(N751+O751&gt;=60,3.5,IF(N751+O751&gt;=50,3,IF(N751+O751&gt;=40,2,IF(N751+O751&gt;=33,1,0)))))))</f>
        <v/>
      </c>
      <c r="AI751">
        <f>IF(AA751,0,IF(P751+Q751&gt;=80,5,IF(P751+Q751&gt;=70,4,IF(P751+Q751&gt;=60,3.5,IF(P751+Q751&gt;=50,3,IF(P751+Q751&gt;=40,2,IF(P751+Q751&gt;=33,1,0)))))))</f>
        <v/>
      </c>
      <c r="AJ751">
        <f>IF(R751&lt;8.25,0,IF(R751*2&gt;=80,5,IF(R751*2&gt;=70,4,IF(R751*2&gt;=60,3.5,IF(R751*2&gt;=50,3,IF(R751*2&gt;=40,2,IF(R751*2&gt;=33,1,0)))))))</f>
        <v/>
      </c>
      <c r="AK751">
        <f>IF(S751&lt;33,0,IF(S751&gt;=80,5,IF(S751&gt;=70,4,IF(S751&gt;=60,3.5,IF(S751&gt;=50,3,IF(S751&gt;=40,2,IF(S751&gt;=33,1,0)))))))</f>
        <v/>
      </c>
      <c r="AL751">
        <f>(AC751+AD751+AE751+AF751+AG751+AH751+AI751+AJ751)/8</f>
        <v/>
      </c>
      <c r="AM751">
        <f>IF(AK751&gt;=2,(AK751-2)/8,0)</f>
        <v/>
      </c>
    </row>
    <row r="752">
      <c r="T752">
        <f>SUM(C752:R752)</f>
        <v/>
      </c>
      <c r="U752" s="6">
        <f>ROUND(T752/11.5,2)</f>
        <v/>
      </c>
      <c r="V752" s="7">
        <f>IF(B752="","",IF(AB752,0,ROUND(AL752,2)))</f>
        <v/>
      </c>
      <c r="W752" s="7">
        <f>IF(B752="","",IF(AB752,0,MIN(5,ROUND(AL752+AM752,2))))</f>
        <v/>
      </c>
      <c r="X752" s="8">
        <f>IF(B752="","",IF(W752&gt;=5,"A+",IF(W752&gt;=4,"A",IF(W752&gt;=3.5,"A-",IF(W752&gt;=3,"B",IF(W752&gt;=2,"C",IF(W752&gt;=1,"D","F")))))))</f>
        <v/>
      </c>
      <c r="Y752">
        <f>NOT(OR(AND(J752&gt;=10,K752&gt;=23,L752&gt;=10,M752&gt;=23),AND(J752+L752&gt;=20,K752+M752&gt;=46)))</f>
        <v/>
      </c>
      <c r="Z752">
        <f>OR(N752&lt;10,O752&lt;23)</f>
        <v/>
      </c>
      <c r="AA752">
        <f>OR(P752&lt;10,Q752&lt;23)</f>
        <v/>
      </c>
      <c r="AB752">
        <f>OR((C752+D752)&lt;66,(E752+F752)&lt;66,G752&lt;33,(H752+I752)&lt;66,Y752,Z752,AA752,R752&lt;8.25)</f>
        <v/>
      </c>
      <c r="AC752">
        <f>IF(C752+D752&lt;66,0,IF((C752+D752)/2&gt;=80,5,IF((C752+D752)/2&gt;=70,4,IF((C752+D752)/2&gt;=60,3.5,IF((C752+D752)/2&gt;=50,3,IF((C752+D752)/2&gt;=40,2,IF((C752+D752)/2&gt;=33,1,0)))))))</f>
        <v/>
      </c>
      <c r="AD752">
        <f>IF(E752+F752&lt;66,0,IF((E752+F752)/2&gt;=80,5,IF((E752+F752)/2&gt;=70,4,IF((E752+F752)/2&gt;=60,3.5,IF((E752+F752)/2&gt;=50,3,IF((E752+F752)/2&gt;=40,2,IF((E752+F752)/2&gt;=33,1,0)))))))</f>
        <v/>
      </c>
      <c r="AE752">
        <f>IF(G752&lt;33,0,IF(G752&gt;=80,5,IF(G752&gt;=70,4,IF(G752&gt;=60,3.5,IF(G752&gt;=50,3,IF(G752&gt;=40,2,IF(G752&gt;=33,1,0)))))))</f>
        <v/>
      </c>
      <c r="AF752">
        <f>IF(H752+I752&lt;66,0,IF((H752+I752)/2&gt;=80,5,IF((H752+I752)/2&gt;=70,4,IF((H752+I752)/2&gt;=60,3.5,IF((H752+I752)/2&gt;=50,3,IF((H752+I752)/2&gt;=40,2,IF((H752+I752)/2&gt;=33,1,0)))))))</f>
        <v/>
      </c>
      <c r="AG752">
        <f>IF(Y752,0,IF((J752+K752+L752+M752)/2&gt;=80,5,IF((J752+K752+L752+M752)/2&gt;=70,4,IF((J752+K752+L752+M752)/2&gt;=60,3.5,IF((J752+K752+L752+M752)/2&gt;=50,3,IF((J752+K752+L752+M752)/2&gt;=40,2,IF((J752+K752+L752+M752)/2&gt;=33,1,0)))))))</f>
        <v/>
      </c>
      <c r="AH752">
        <f>IF(Z752,0,IF(N752+O752&gt;=80,5,IF(N752+O752&gt;=70,4,IF(N752+O752&gt;=60,3.5,IF(N752+O752&gt;=50,3,IF(N752+O752&gt;=40,2,IF(N752+O752&gt;=33,1,0)))))))</f>
        <v/>
      </c>
      <c r="AI752">
        <f>IF(AA752,0,IF(P752+Q752&gt;=80,5,IF(P752+Q752&gt;=70,4,IF(P752+Q752&gt;=60,3.5,IF(P752+Q752&gt;=50,3,IF(P752+Q752&gt;=40,2,IF(P752+Q752&gt;=33,1,0)))))))</f>
        <v/>
      </c>
      <c r="AJ752">
        <f>IF(R752&lt;8.25,0,IF(R752*2&gt;=80,5,IF(R752*2&gt;=70,4,IF(R752*2&gt;=60,3.5,IF(R752*2&gt;=50,3,IF(R752*2&gt;=40,2,IF(R752*2&gt;=33,1,0)))))))</f>
        <v/>
      </c>
      <c r="AK752">
        <f>IF(S752&lt;33,0,IF(S752&gt;=80,5,IF(S752&gt;=70,4,IF(S752&gt;=60,3.5,IF(S752&gt;=50,3,IF(S752&gt;=40,2,IF(S752&gt;=33,1,0)))))))</f>
        <v/>
      </c>
      <c r="AL752">
        <f>(AC752+AD752+AE752+AF752+AG752+AH752+AI752+AJ752)/8</f>
        <v/>
      </c>
      <c r="AM752">
        <f>IF(AK752&gt;=2,(AK752-2)/8,0)</f>
        <v/>
      </c>
    </row>
    <row r="753">
      <c r="T753">
        <f>SUM(C753:R753)</f>
        <v/>
      </c>
      <c r="U753" s="6">
        <f>ROUND(T753/11.5,2)</f>
        <v/>
      </c>
      <c r="V753" s="7">
        <f>IF(B753="","",IF(AB753,0,ROUND(AL753,2)))</f>
        <v/>
      </c>
      <c r="W753" s="7">
        <f>IF(B753="","",IF(AB753,0,MIN(5,ROUND(AL753+AM753,2))))</f>
        <v/>
      </c>
      <c r="X753" s="8">
        <f>IF(B753="","",IF(W753&gt;=5,"A+",IF(W753&gt;=4,"A",IF(W753&gt;=3.5,"A-",IF(W753&gt;=3,"B",IF(W753&gt;=2,"C",IF(W753&gt;=1,"D","F")))))))</f>
        <v/>
      </c>
      <c r="Y753">
        <f>NOT(OR(AND(J753&gt;=10,K753&gt;=23,L753&gt;=10,M753&gt;=23),AND(J753+L753&gt;=20,K753+M753&gt;=46)))</f>
        <v/>
      </c>
      <c r="Z753">
        <f>OR(N753&lt;10,O753&lt;23)</f>
        <v/>
      </c>
      <c r="AA753">
        <f>OR(P753&lt;10,Q753&lt;23)</f>
        <v/>
      </c>
      <c r="AB753">
        <f>OR((C753+D753)&lt;66,(E753+F753)&lt;66,G753&lt;33,(H753+I753)&lt;66,Y753,Z753,AA753,R753&lt;8.25)</f>
        <v/>
      </c>
      <c r="AC753">
        <f>IF(C753+D753&lt;66,0,IF((C753+D753)/2&gt;=80,5,IF((C753+D753)/2&gt;=70,4,IF((C753+D753)/2&gt;=60,3.5,IF((C753+D753)/2&gt;=50,3,IF((C753+D753)/2&gt;=40,2,IF((C753+D753)/2&gt;=33,1,0)))))))</f>
        <v/>
      </c>
      <c r="AD753">
        <f>IF(E753+F753&lt;66,0,IF((E753+F753)/2&gt;=80,5,IF((E753+F753)/2&gt;=70,4,IF((E753+F753)/2&gt;=60,3.5,IF((E753+F753)/2&gt;=50,3,IF((E753+F753)/2&gt;=40,2,IF((E753+F753)/2&gt;=33,1,0)))))))</f>
        <v/>
      </c>
      <c r="AE753">
        <f>IF(G753&lt;33,0,IF(G753&gt;=80,5,IF(G753&gt;=70,4,IF(G753&gt;=60,3.5,IF(G753&gt;=50,3,IF(G753&gt;=40,2,IF(G753&gt;=33,1,0)))))))</f>
        <v/>
      </c>
      <c r="AF753">
        <f>IF(H753+I753&lt;66,0,IF((H753+I753)/2&gt;=80,5,IF((H753+I753)/2&gt;=70,4,IF((H753+I753)/2&gt;=60,3.5,IF((H753+I753)/2&gt;=50,3,IF((H753+I753)/2&gt;=40,2,IF((H753+I753)/2&gt;=33,1,0)))))))</f>
        <v/>
      </c>
      <c r="AG753">
        <f>IF(Y753,0,IF((J753+K753+L753+M753)/2&gt;=80,5,IF((J753+K753+L753+M753)/2&gt;=70,4,IF((J753+K753+L753+M753)/2&gt;=60,3.5,IF((J753+K753+L753+M753)/2&gt;=50,3,IF((J753+K753+L753+M753)/2&gt;=40,2,IF((J753+K753+L753+M753)/2&gt;=33,1,0)))))))</f>
        <v/>
      </c>
      <c r="AH753">
        <f>IF(Z753,0,IF(N753+O753&gt;=80,5,IF(N753+O753&gt;=70,4,IF(N753+O753&gt;=60,3.5,IF(N753+O753&gt;=50,3,IF(N753+O753&gt;=40,2,IF(N753+O753&gt;=33,1,0)))))))</f>
        <v/>
      </c>
      <c r="AI753">
        <f>IF(AA753,0,IF(P753+Q753&gt;=80,5,IF(P753+Q753&gt;=70,4,IF(P753+Q753&gt;=60,3.5,IF(P753+Q753&gt;=50,3,IF(P753+Q753&gt;=40,2,IF(P753+Q753&gt;=33,1,0)))))))</f>
        <v/>
      </c>
      <c r="AJ753">
        <f>IF(R753&lt;8.25,0,IF(R753*2&gt;=80,5,IF(R753*2&gt;=70,4,IF(R753*2&gt;=60,3.5,IF(R753*2&gt;=50,3,IF(R753*2&gt;=40,2,IF(R753*2&gt;=33,1,0)))))))</f>
        <v/>
      </c>
      <c r="AK753">
        <f>IF(S753&lt;33,0,IF(S753&gt;=80,5,IF(S753&gt;=70,4,IF(S753&gt;=60,3.5,IF(S753&gt;=50,3,IF(S753&gt;=40,2,IF(S753&gt;=33,1,0)))))))</f>
        <v/>
      </c>
      <c r="AL753">
        <f>(AC753+AD753+AE753+AF753+AG753+AH753+AI753+AJ753)/8</f>
        <v/>
      </c>
      <c r="AM753">
        <f>IF(AK753&gt;=2,(AK753-2)/8,0)</f>
        <v/>
      </c>
    </row>
    <row r="754">
      <c r="T754">
        <f>SUM(C754:R754)</f>
        <v/>
      </c>
      <c r="U754" s="6">
        <f>ROUND(T754/11.5,2)</f>
        <v/>
      </c>
      <c r="V754" s="7">
        <f>IF(B754="","",IF(AB754,0,ROUND(AL754,2)))</f>
        <v/>
      </c>
      <c r="W754" s="7">
        <f>IF(B754="","",IF(AB754,0,MIN(5,ROUND(AL754+AM754,2))))</f>
        <v/>
      </c>
      <c r="X754" s="8">
        <f>IF(B754="","",IF(W754&gt;=5,"A+",IF(W754&gt;=4,"A",IF(W754&gt;=3.5,"A-",IF(W754&gt;=3,"B",IF(W754&gt;=2,"C",IF(W754&gt;=1,"D","F")))))))</f>
        <v/>
      </c>
      <c r="Y754">
        <f>NOT(OR(AND(J754&gt;=10,K754&gt;=23,L754&gt;=10,M754&gt;=23),AND(J754+L754&gt;=20,K754+M754&gt;=46)))</f>
        <v/>
      </c>
      <c r="Z754">
        <f>OR(N754&lt;10,O754&lt;23)</f>
        <v/>
      </c>
      <c r="AA754">
        <f>OR(P754&lt;10,Q754&lt;23)</f>
        <v/>
      </c>
      <c r="AB754">
        <f>OR((C754+D754)&lt;66,(E754+F754)&lt;66,G754&lt;33,(H754+I754)&lt;66,Y754,Z754,AA754,R754&lt;8.25)</f>
        <v/>
      </c>
      <c r="AC754">
        <f>IF(C754+D754&lt;66,0,IF((C754+D754)/2&gt;=80,5,IF((C754+D754)/2&gt;=70,4,IF((C754+D754)/2&gt;=60,3.5,IF((C754+D754)/2&gt;=50,3,IF((C754+D754)/2&gt;=40,2,IF((C754+D754)/2&gt;=33,1,0)))))))</f>
        <v/>
      </c>
      <c r="AD754">
        <f>IF(E754+F754&lt;66,0,IF((E754+F754)/2&gt;=80,5,IF((E754+F754)/2&gt;=70,4,IF((E754+F754)/2&gt;=60,3.5,IF((E754+F754)/2&gt;=50,3,IF((E754+F754)/2&gt;=40,2,IF((E754+F754)/2&gt;=33,1,0)))))))</f>
        <v/>
      </c>
      <c r="AE754">
        <f>IF(G754&lt;33,0,IF(G754&gt;=80,5,IF(G754&gt;=70,4,IF(G754&gt;=60,3.5,IF(G754&gt;=50,3,IF(G754&gt;=40,2,IF(G754&gt;=33,1,0)))))))</f>
        <v/>
      </c>
      <c r="AF754">
        <f>IF(H754+I754&lt;66,0,IF((H754+I754)/2&gt;=80,5,IF((H754+I754)/2&gt;=70,4,IF((H754+I754)/2&gt;=60,3.5,IF((H754+I754)/2&gt;=50,3,IF((H754+I754)/2&gt;=40,2,IF((H754+I754)/2&gt;=33,1,0)))))))</f>
        <v/>
      </c>
      <c r="AG754">
        <f>IF(Y754,0,IF((J754+K754+L754+M754)/2&gt;=80,5,IF((J754+K754+L754+M754)/2&gt;=70,4,IF((J754+K754+L754+M754)/2&gt;=60,3.5,IF((J754+K754+L754+M754)/2&gt;=50,3,IF((J754+K754+L754+M754)/2&gt;=40,2,IF((J754+K754+L754+M754)/2&gt;=33,1,0)))))))</f>
        <v/>
      </c>
      <c r="AH754">
        <f>IF(Z754,0,IF(N754+O754&gt;=80,5,IF(N754+O754&gt;=70,4,IF(N754+O754&gt;=60,3.5,IF(N754+O754&gt;=50,3,IF(N754+O754&gt;=40,2,IF(N754+O754&gt;=33,1,0)))))))</f>
        <v/>
      </c>
      <c r="AI754">
        <f>IF(AA754,0,IF(P754+Q754&gt;=80,5,IF(P754+Q754&gt;=70,4,IF(P754+Q754&gt;=60,3.5,IF(P754+Q754&gt;=50,3,IF(P754+Q754&gt;=40,2,IF(P754+Q754&gt;=33,1,0)))))))</f>
        <v/>
      </c>
      <c r="AJ754">
        <f>IF(R754&lt;8.25,0,IF(R754*2&gt;=80,5,IF(R754*2&gt;=70,4,IF(R754*2&gt;=60,3.5,IF(R754*2&gt;=50,3,IF(R754*2&gt;=40,2,IF(R754*2&gt;=33,1,0)))))))</f>
        <v/>
      </c>
      <c r="AK754">
        <f>IF(S754&lt;33,0,IF(S754&gt;=80,5,IF(S754&gt;=70,4,IF(S754&gt;=60,3.5,IF(S754&gt;=50,3,IF(S754&gt;=40,2,IF(S754&gt;=33,1,0)))))))</f>
        <v/>
      </c>
      <c r="AL754">
        <f>(AC754+AD754+AE754+AF754+AG754+AH754+AI754+AJ754)/8</f>
        <v/>
      </c>
      <c r="AM754">
        <f>IF(AK754&gt;=2,(AK754-2)/8,0)</f>
        <v/>
      </c>
    </row>
    <row r="755">
      <c r="T755">
        <f>SUM(C755:R755)</f>
        <v/>
      </c>
      <c r="U755" s="6">
        <f>ROUND(T755/11.5,2)</f>
        <v/>
      </c>
      <c r="V755" s="7">
        <f>IF(B755="","",IF(AB755,0,ROUND(AL755,2)))</f>
        <v/>
      </c>
      <c r="W755" s="7">
        <f>IF(B755="","",IF(AB755,0,MIN(5,ROUND(AL755+AM755,2))))</f>
        <v/>
      </c>
      <c r="X755" s="8">
        <f>IF(B755="","",IF(W755&gt;=5,"A+",IF(W755&gt;=4,"A",IF(W755&gt;=3.5,"A-",IF(W755&gt;=3,"B",IF(W755&gt;=2,"C",IF(W755&gt;=1,"D","F")))))))</f>
        <v/>
      </c>
      <c r="Y755">
        <f>NOT(OR(AND(J755&gt;=10,K755&gt;=23,L755&gt;=10,M755&gt;=23),AND(J755+L755&gt;=20,K755+M755&gt;=46)))</f>
        <v/>
      </c>
      <c r="Z755">
        <f>OR(N755&lt;10,O755&lt;23)</f>
        <v/>
      </c>
      <c r="AA755">
        <f>OR(P755&lt;10,Q755&lt;23)</f>
        <v/>
      </c>
      <c r="AB755">
        <f>OR((C755+D755)&lt;66,(E755+F755)&lt;66,G755&lt;33,(H755+I755)&lt;66,Y755,Z755,AA755,R755&lt;8.25)</f>
        <v/>
      </c>
      <c r="AC755">
        <f>IF(C755+D755&lt;66,0,IF((C755+D755)/2&gt;=80,5,IF((C755+D755)/2&gt;=70,4,IF((C755+D755)/2&gt;=60,3.5,IF((C755+D755)/2&gt;=50,3,IF((C755+D755)/2&gt;=40,2,IF((C755+D755)/2&gt;=33,1,0)))))))</f>
        <v/>
      </c>
      <c r="AD755">
        <f>IF(E755+F755&lt;66,0,IF((E755+F755)/2&gt;=80,5,IF((E755+F755)/2&gt;=70,4,IF((E755+F755)/2&gt;=60,3.5,IF((E755+F755)/2&gt;=50,3,IF((E755+F755)/2&gt;=40,2,IF((E755+F755)/2&gt;=33,1,0)))))))</f>
        <v/>
      </c>
      <c r="AE755">
        <f>IF(G755&lt;33,0,IF(G755&gt;=80,5,IF(G755&gt;=70,4,IF(G755&gt;=60,3.5,IF(G755&gt;=50,3,IF(G755&gt;=40,2,IF(G755&gt;=33,1,0)))))))</f>
        <v/>
      </c>
      <c r="AF755">
        <f>IF(H755+I755&lt;66,0,IF((H755+I755)/2&gt;=80,5,IF((H755+I755)/2&gt;=70,4,IF((H755+I755)/2&gt;=60,3.5,IF((H755+I755)/2&gt;=50,3,IF((H755+I755)/2&gt;=40,2,IF((H755+I755)/2&gt;=33,1,0)))))))</f>
        <v/>
      </c>
      <c r="AG755">
        <f>IF(Y755,0,IF((J755+K755+L755+M755)/2&gt;=80,5,IF((J755+K755+L755+M755)/2&gt;=70,4,IF((J755+K755+L755+M755)/2&gt;=60,3.5,IF((J755+K755+L755+M755)/2&gt;=50,3,IF((J755+K755+L755+M755)/2&gt;=40,2,IF((J755+K755+L755+M755)/2&gt;=33,1,0)))))))</f>
        <v/>
      </c>
      <c r="AH755">
        <f>IF(Z755,0,IF(N755+O755&gt;=80,5,IF(N755+O755&gt;=70,4,IF(N755+O755&gt;=60,3.5,IF(N755+O755&gt;=50,3,IF(N755+O755&gt;=40,2,IF(N755+O755&gt;=33,1,0)))))))</f>
        <v/>
      </c>
      <c r="AI755">
        <f>IF(AA755,0,IF(P755+Q755&gt;=80,5,IF(P755+Q755&gt;=70,4,IF(P755+Q755&gt;=60,3.5,IF(P755+Q755&gt;=50,3,IF(P755+Q755&gt;=40,2,IF(P755+Q755&gt;=33,1,0)))))))</f>
        <v/>
      </c>
      <c r="AJ755">
        <f>IF(R755&lt;8.25,0,IF(R755*2&gt;=80,5,IF(R755*2&gt;=70,4,IF(R755*2&gt;=60,3.5,IF(R755*2&gt;=50,3,IF(R755*2&gt;=40,2,IF(R755*2&gt;=33,1,0)))))))</f>
        <v/>
      </c>
      <c r="AK755">
        <f>IF(S755&lt;33,0,IF(S755&gt;=80,5,IF(S755&gt;=70,4,IF(S755&gt;=60,3.5,IF(S755&gt;=50,3,IF(S755&gt;=40,2,IF(S755&gt;=33,1,0)))))))</f>
        <v/>
      </c>
      <c r="AL755">
        <f>(AC755+AD755+AE755+AF755+AG755+AH755+AI755+AJ755)/8</f>
        <v/>
      </c>
      <c r="AM755">
        <f>IF(AK755&gt;=2,(AK755-2)/8,0)</f>
        <v/>
      </c>
    </row>
    <row r="756">
      <c r="T756">
        <f>SUM(C756:R756)</f>
        <v/>
      </c>
      <c r="U756" s="6">
        <f>ROUND(T756/11.5,2)</f>
        <v/>
      </c>
      <c r="V756" s="7">
        <f>IF(B756="","",IF(AB756,0,ROUND(AL756,2)))</f>
        <v/>
      </c>
      <c r="W756" s="7">
        <f>IF(B756="","",IF(AB756,0,MIN(5,ROUND(AL756+AM756,2))))</f>
        <v/>
      </c>
      <c r="X756" s="8">
        <f>IF(B756="","",IF(W756&gt;=5,"A+",IF(W756&gt;=4,"A",IF(W756&gt;=3.5,"A-",IF(W756&gt;=3,"B",IF(W756&gt;=2,"C",IF(W756&gt;=1,"D","F")))))))</f>
        <v/>
      </c>
      <c r="Y756">
        <f>NOT(OR(AND(J756&gt;=10,K756&gt;=23,L756&gt;=10,M756&gt;=23),AND(J756+L756&gt;=20,K756+M756&gt;=46)))</f>
        <v/>
      </c>
      <c r="Z756">
        <f>OR(N756&lt;10,O756&lt;23)</f>
        <v/>
      </c>
      <c r="AA756">
        <f>OR(P756&lt;10,Q756&lt;23)</f>
        <v/>
      </c>
      <c r="AB756">
        <f>OR((C756+D756)&lt;66,(E756+F756)&lt;66,G756&lt;33,(H756+I756)&lt;66,Y756,Z756,AA756,R756&lt;8.25)</f>
        <v/>
      </c>
      <c r="AC756">
        <f>IF(C756+D756&lt;66,0,IF((C756+D756)/2&gt;=80,5,IF((C756+D756)/2&gt;=70,4,IF((C756+D756)/2&gt;=60,3.5,IF((C756+D756)/2&gt;=50,3,IF((C756+D756)/2&gt;=40,2,IF((C756+D756)/2&gt;=33,1,0)))))))</f>
        <v/>
      </c>
      <c r="AD756">
        <f>IF(E756+F756&lt;66,0,IF((E756+F756)/2&gt;=80,5,IF((E756+F756)/2&gt;=70,4,IF((E756+F756)/2&gt;=60,3.5,IF((E756+F756)/2&gt;=50,3,IF((E756+F756)/2&gt;=40,2,IF((E756+F756)/2&gt;=33,1,0)))))))</f>
        <v/>
      </c>
      <c r="AE756">
        <f>IF(G756&lt;33,0,IF(G756&gt;=80,5,IF(G756&gt;=70,4,IF(G756&gt;=60,3.5,IF(G756&gt;=50,3,IF(G756&gt;=40,2,IF(G756&gt;=33,1,0)))))))</f>
        <v/>
      </c>
      <c r="AF756">
        <f>IF(H756+I756&lt;66,0,IF((H756+I756)/2&gt;=80,5,IF((H756+I756)/2&gt;=70,4,IF((H756+I756)/2&gt;=60,3.5,IF((H756+I756)/2&gt;=50,3,IF((H756+I756)/2&gt;=40,2,IF((H756+I756)/2&gt;=33,1,0)))))))</f>
        <v/>
      </c>
      <c r="AG756">
        <f>IF(Y756,0,IF((J756+K756+L756+M756)/2&gt;=80,5,IF((J756+K756+L756+M756)/2&gt;=70,4,IF((J756+K756+L756+M756)/2&gt;=60,3.5,IF((J756+K756+L756+M756)/2&gt;=50,3,IF((J756+K756+L756+M756)/2&gt;=40,2,IF((J756+K756+L756+M756)/2&gt;=33,1,0)))))))</f>
        <v/>
      </c>
      <c r="AH756">
        <f>IF(Z756,0,IF(N756+O756&gt;=80,5,IF(N756+O756&gt;=70,4,IF(N756+O756&gt;=60,3.5,IF(N756+O756&gt;=50,3,IF(N756+O756&gt;=40,2,IF(N756+O756&gt;=33,1,0)))))))</f>
        <v/>
      </c>
      <c r="AI756">
        <f>IF(AA756,0,IF(P756+Q756&gt;=80,5,IF(P756+Q756&gt;=70,4,IF(P756+Q756&gt;=60,3.5,IF(P756+Q756&gt;=50,3,IF(P756+Q756&gt;=40,2,IF(P756+Q756&gt;=33,1,0)))))))</f>
        <v/>
      </c>
      <c r="AJ756">
        <f>IF(R756&lt;8.25,0,IF(R756*2&gt;=80,5,IF(R756*2&gt;=70,4,IF(R756*2&gt;=60,3.5,IF(R756*2&gt;=50,3,IF(R756*2&gt;=40,2,IF(R756*2&gt;=33,1,0)))))))</f>
        <v/>
      </c>
      <c r="AK756">
        <f>IF(S756&lt;33,0,IF(S756&gt;=80,5,IF(S756&gt;=70,4,IF(S756&gt;=60,3.5,IF(S756&gt;=50,3,IF(S756&gt;=40,2,IF(S756&gt;=33,1,0)))))))</f>
        <v/>
      </c>
      <c r="AL756">
        <f>(AC756+AD756+AE756+AF756+AG756+AH756+AI756+AJ756)/8</f>
        <v/>
      </c>
      <c r="AM756">
        <f>IF(AK756&gt;=2,(AK756-2)/8,0)</f>
        <v/>
      </c>
    </row>
    <row r="757">
      <c r="T757">
        <f>SUM(C757:R757)</f>
        <v/>
      </c>
      <c r="U757" s="6">
        <f>ROUND(T757/11.5,2)</f>
        <v/>
      </c>
      <c r="V757" s="7">
        <f>IF(B757="","",IF(AB757,0,ROUND(AL757,2)))</f>
        <v/>
      </c>
      <c r="W757" s="7">
        <f>IF(B757="","",IF(AB757,0,MIN(5,ROUND(AL757+AM757,2))))</f>
        <v/>
      </c>
      <c r="X757" s="8">
        <f>IF(B757="","",IF(W757&gt;=5,"A+",IF(W757&gt;=4,"A",IF(W757&gt;=3.5,"A-",IF(W757&gt;=3,"B",IF(W757&gt;=2,"C",IF(W757&gt;=1,"D","F")))))))</f>
        <v/>
      </c>
      <c r="Y757">
        <f>NOT(OR(AND(J757&gt;=10,K757&gt;=23,L757&gt;=10,M757&gt;=23),AND(J757+L757&gt;=20,K757+M757&gt;=46)))</f>
        <v/>
      </c>
      <c r="Z757">
        <f>OR(N757&lt;10,O757&lt;23)</f>
        <v/>
      </c>
      <c r="AA757">
        <f>OR(P757&lt;10,Q757&lt;23)</f>
        <v/>
      </c>
      <c r="AB757">
        <f>OR((C757+D757)&lt;66,(E757+F757)&lt;66,G757&lt;33,(H757+I757)&lt;66,Y757,Z757,AA757,R757&lt;8.25)</f>
        <v/>
      </c>
      <c r="AC757">
        <f>IF(C757+D757&lt;66,0,IF((C757+D757)/2&gt;=80,5,IF((C757+D757)/2&gt;=70,4,IF((C757+D757)/2&gt;=60,3.5,IF((C757+D757)/2&gt;=50,3,IF((C757+D757)/2&gt;=40,2,IF((C757+D757)/2&gt;=33,1,0)))))))</f>
        <v/>
      </c>
      <c r="AD757">
        <f>IF(E757+F757&lt;66,0,IF((E757+F757)/2&gt;=80,5,IF((E757+F757)/2&gt;=70,4,IF((E757+F757)/2&gt;=60,3.5,IF((E757+F757)/2&gt;=50,3,IF((E757+F757)/2&gt;=40,2,IF((E757+F757)/2&gt;=33,1,0)))))))</f>
        <v/>
      </c>
      <c r="AE757">
        <f>IF(G757&lt;33,0,IF(G757&gt;=80,5,IF(G757&gt;=70,4,IF(G757&gt;=60,3.5,IF(G757&gt;=50,3,IF(G757&gt;=40,2,IF(G757&gt;=33,1,0)))))))</f>
        <v/>
      </c>
      <c r="AF757">
        <f>IF(H757+I757&lt;66,0,IF((H757+I757)/2&gt;=80,5,IF((H757+I757)/2&gt;=70,4,IF((H757+I757)/2&gt;=60,3.5,IF((H757+I757)/2&gt;=50,3,IF((H757+I757)/2&gt;=40,2,IF((H757+I757)/2&gt;=33,1,0)))))))</f>
        <v/>
      </c>
      <c r="AG757">
        <f>IF(Y757,0,IF((J757+K757+L757+M757)/2&gt;=80,5,IF((J757+K757+L757+M757)/2&gt;=70,4,IF((J757+K757+L757+M757)/2&gt;=60,3.5,IF((J757+K757+L757+M757)/2&gt;=50,3,IF((J757+K757+L757+M757)/2&gt;=40,2,IF((J757+K757+L757+M757)/2&gt;=33,1,0)))))))</f>
        <v/>
      </c>
      <c r="AH757">
        <f>IF(Z757,0,IF(N757+O757&gt;=80,5,IF(N757+O757&gt;=70,4,IF(N757+O757&gt;=60,3.5,IF(N757+O757&gt;=50,3,IF(N757+O757&gt;=40,2,IF(N757+O757&gt;=33,1,0)))))))</f>
        <v/>
      </c>
      <c r="AI757">
        <f>IF(AA757,0,IF(P757+Q757&gt;=80,5,IF(P757+Q757&gt;=70,4,IF(P757+Q757&gt;=60,3.5,IF(P757+Q757&gt;=50,3,IF(P757+Q757&gt;=40,2,IF(P757+Q757&gt;=33,1,0)))))))</f>
        <v/>
      </c>
      <c r="AJ757">
        <f>IF(R757&lt;8.25,0,IF(R757*2&gt;=80,5,IF(R757*2&gt;=70,4,IF(R757*2&gt;=60,3.5,IF(R757*2&gt;=50,3,IF(R757*2&gt;=40,2,IF(R757*2&gt;=33,1,0)))))))</f>
        <v/>
      </c>
      <c r="AK757">
        <f>IF(S757&lt;33,0,IF(S757&gt;=80,5,IF(S757&gt;=70,4,IF(S757&gt;=60,3.5,IF(S757&gt;=50,3,IF(S757&gt;=40,2,IF(S757&gt;=33,1,0)))))))</f>
        <v/>
      </c>
      <c r="AL757">
        <f>(AC757+AD757+AE757+AF757+AG757+AH757+AI757+AJ757)/8</f>
        <v/>
      </c>
      <c r="AM757">
        <f>IF(AK757&gt;=2,(AK757-2)/8,0)</f>
        <v/>
      </c>
    </row>
    <row r="758">
      <c r="T758">
        <f>SUM(C758:R758)</f>
        <v/>
      </c>
      <c r="U758" s="6">
        <f>ROUND(T758/11.5,2)</f>
        <v/>
      </c>
      <c r="V758" s="7">
        <f>IF(B758="","",IF(AB758,0,ROUND(AL758,2)))</f>
        <v/>
      </c>
      <c r="W758" s="7">
        <f>IF(B758="","",IF(AB758,0,MIN(5,ROUND(AL758+AM758,2))))</f>
        <v/>
      </c>
      <c r="X758" s="8">
        <f>IF(B758="","",IF(W758&gt;=5,"A+",IF(W758&gt;=4,"A",IF(W758&gt;=3.5,"A-",IF(W758&gt;=3,"B",IF(W758&gt;=2,"C",IF(W758&gt;=1,"D","F")))))))</f>
        <v/>
      </c>
      <c r="Y758">
        <f>NOT(OR(AND(J758&gt;=10,K758&gt;=23,L758&gt;=10,M758&gt;=23),AND(J758+L758&gt;=20,K758+M758&gt;=46)))</f>
        <v/>
      </c>
      <c r="Z758">
        <f>OR(N758&lt;10,O758&lt;23)</f>
        <v/>
      </c>
      <c r="AA758">
        <f>OR(P758&lt;10,Q758&lt;23)</f>
        <v/>
      </c>
      <c r="AB758">
        <f>OR((C758+D758)&lt;66,(E758+F758)&lt;66,G758&lt;33,(H758+I758)&lt;66,Y758,Z758,AA758,R758&lt;8.25)</f>
        <v/>
      </c>
      <c r="AC758">
        <f>IF(C758+D758&lt;66,0,IF((C758+D758)/2&gt;=80,5,IF((C758+D758)/2&gt;=70,4,IF((C758+D758)/2&gt;=60,3.5,IF((C758+D758)/2&gt;=50,3,IF((C758+D758)/2&gt;=40,2,IF((C758+D758)/2&gt;=33,1,0)))))))</f>
        <v/>
      </c>
      <c r="AD758">
        <f>IF(E758+F758&lt;66,0,IF((E758+F758)/2&gt;=80,5,IF((E758+F758)/2&gt;=70,4,IF((E758+F758)/2&gt;=60,3.5,IF((E758+F758)/2&gt;=50,3,IF((E758+F758)/2&gt;=40,2,IF((E758+F758)/2&gt;=33,1,0)))))))</f>
        <v/>
      </c>
      <c r="AE758">
        <f>IF(G758&lt;33,0,IF(G758&gt;=80,5,IF(G758&gt;=70,4,IF(G758&gt;=60,3.5,IF(G758&gt;=50,3,IF(G758&gt;=40,2,IF(G758&gt;=33,1,0)))))))</f>
        <v/>
      </c>
      <c r="AF758">
        <f>IF(H758+I758&lt;66,0,IF((H758+I758)/2&gt;=80,5,IF((H758+I758)/2&gt;=70,4,IF((H758+I758)/2&gt;=60,3.5,IF((H758+I758)/2&gt;=50,3,IF((H758+I758)/2&gt;=40,2,IF((H758+I758)/2&gt;=33,1,0)))))))</f>
        <v/>
      </c>
      <c r="AG758">
        <f>IF(Y758,0,IF((J758+K758+L758+M758)/2&gt;=80,5,IF((J758+K758+L758+M758)/2&gt;=70,4,IF((J758+K758+L758+M758)/2&gt;=60,3.5,IF((J758+K758+L758+M758)/2&gt;=50,3,IF((J758+K758+L758+M758)/2&gt;=40,2,IF((J758+K758+L758+M758)/2&gt;=33,1,0)))))))</f>
        <v/>
      </c>
      <c r="AH758">
        <f>IF(Z758,0,IF(N758+O758&gt;=80,5,IF(N758+O758&gt;=70,4,IF(N758+O758&gt;=60,3.5,IF(N758+O758&gt;=50,3,IF(N758+O758&gt;=40,2,IF(N758+O758&gt;=33,1,0)))))))</f>
        <v/>
      </c>
      <c r="AI758">
        <f>IF(AA758,0,IF(P758+Q758&gt;=80,5,IF(P758+Q758&gt;=70,4,IF(P758+Q758&gt;=60,3.5,IF(P758+Q758&gt;=50,3,IF(P758+Q758&gt;=40,2,IF(P758+Q758&gt;=33,1,0)))))))</f>
        <v/>
      </c>
      <c r="AJ758">
        <f>IF(R758&lt;8.25,0,IF(R758*2&gt;=80,5,IF(R758*2&gt;=70,4,IF(R758*2&gt;=60,3.5,IF(R758*2&gt;=50,3,IF(R758*2&gt;=40,2,IF(R758*2&gt;=33,1,0)))))))</f>
        <v/>
      </c>
      <c r="AK758">
        <f>IF(S758&lt;33,0,IF(S758&gt;=80,5,IF(S758&gt;=70,4,IF(S758&gt;=60,3.5,IF(S758&gt;=50,3,IF(S758&gt;=40,2,IF(S758&gt;=33,1,0)))))))</f>
        <v/>
      </c>
      <c r="AL758">
        <f>(AC758+AD758+AE758+AF758+AG758+AH758+AI758+AJ758)/8</f>
        <v/>
      </c>
      <c r="AM758">
        <f>IF(AK758&gt;=2,(AK758-2)/8,0)</f>
        <v/>
      </c>
    </row>
    <row r="759">
      <c r="T759">
        <f>SUM(C759:R759)</f>
        <v/>
      </c>
      <c r="U759" s="6">
        <f>ROUND(T759/11.5,2)</f>
        <v/>
      </c>
      <c r="V759" s="7">
        <f>IF(B759="","",IF(AB759,0,ROUND(AL759,2)))</f>
        <v/>
      </c>
      <c r="W759" s="7">
        <f>IF(B759="","",IF(AB759,0,MIN(5,ROUND(AL759+AM759,2))))</f>
        <v/>
      </c>
      <c r="X759" s="8">
        <f>IF(B759="","",IF(W759&gt;=5,"A+",IF(W759&gt;=4,"A",IF(W759&gt;=3.5,"A-",IF(W759&gt;=3,"B",IF(W759&gt;=2,"C",IF(W759&gt;=1,"D","F")))))))</f>
        <v/>
      </c>
      <c r="Y759">
        <f>NOT(OR(AND(J759&gt;=10,K759&gt;=23,L759&gt;=10,M759&gt;=23),AND(J759+L759&gt;=20,K759+M759&gt;=46)))</f>
        <v/>
      </c>
      <c r="Z759">
        <f>OR(N759&lt;10,O759&lt;23)</f>
        <v/>
      </c>
      <c r="AA759">
        <f>OR(P759&lt;10,Q759&lt;23)</f>
        <v/>
      </c>
      <c r="AB759">
        <f>OR((C759+D759)&lt;66,(E759+F759)&lt;66,G759&lt;33,(H759+I759)&lt;66,Y759,Z759,AA759,R759&lt;8.25)</f>
        <v/>
      </c>
      <c r="AC759">
        <f>IF(C759+D759&lt;66,0,IF((C759+D759)/2&gt;=80,5,IF((C759+D759)/2&gt;=70,4,IF((C759+D759)/2&gt;=60,3.5,IF((C759+D759)/2&gt;=50,3,IF((C759+D759)/2&gt;=40,2,IF((C759+D759)/2&gt;=33,1,0)))))))</f>
        <v/>
      </c>
      <c r="AD759">
        <f>IF(E759+F759&lt;66,0,IF((E759+F759)/2&gt;=80,5,IF((E759+F759)/2&gt;=70,4,IF((E759+F759)/2&gt;=60,3.5,IF((E759+F759)/2&gt;=50,3,IF((E759+F759)/2&gt;=40,2,IF((E759+F759)/2&gt;=33,1,0)))))))</f>
        <v/>
      </c>
      <c r="AE759">
        <f>IF(G759&lt;33,0,IF(G759&gt;=80,5,IF(G759&gt;=70,4,IF(G759&gt;=60,3.5,IF(G759&gt;=50,3,IF(G759&gt;=40,2,IF(G759&gt;=33,1,0)))))))</f>
        <v/>
      </c>
      <c r="AF759">
        <f>IF(H759+I759&lt;66,0,IF((H759+I759)/2&gt;=80,5,IF((H759+I759)/2&gt;=70,4,IF((H759+I759)/2&gt;=60,3.5,IF((H759+I759)/2&gt;=50,3,IF((H759+I759)/2&gt;=40,2,IF((H759+I759)/2&gt;=33,1,0)))))))</f>
        <v/>
      </c>
      <c r="AG759">
        <f>IF(Y759,0,IF((J759+K759+L759+M759)/2&gt;=80,5,IF((J759+K759+L759+M759)/2&gt;=70,4,IF((J759+K759+L759+M759)/2&gt;=60,3.5,IF((J759+K759+L759+M759)/2&gt;=50,3,IF((J759+K759+L759+M759)/2&gt;=40,2,IF((J759+K759+L759+M759)/2&gt;=33,1,0)))))))</f>
        <v/>
      </c>
      <c r="AH759">
        <f>IF(Z759,0,IF(N759+O759&gt;=80,5,IF(N759+O759&gt;=70,4,IF(N759+O759&gt;=60,3.5,IF(N759+O759&gt;=50,3,IF(N759+O759&gt;=40,2,IF(N759+O759&gt;=33,1,0)))))))</f>
        <v/>
      </c>
      <c r="AI759">
        <f>IF(AA759,0,IF(P759+Q759&gt;=80,5,IF(P759+Q759&gt;=70,4,IF(P759+Q759&gt;=60,3.5,IF(P759+Q759&gt;=50,3,IF(P759+Q759&gt;=40,2,IF(P759+Q759&gt;=33,1,0)))))))</f>
        <v/>
      </c>
      <c r="AJ759">
        <f>IF(R759&lt;8.25,0,IF(R759*2&gt;=80,5,IF(R759*2&gt;=70,4,IF(R759*2&gt;=60,3.5,IF(R759*2&gt;=50,3,IF(R759*2&gt;=40,2,IF(R759*2&gt;=33,1,0)))))))</f>
        <v/>
      </c>
      <c r="AK759">
        <f>IF(S759&lt;33,0,IF(S759&gt;=80,5,IF(S759&gt;=70,4,IF(S759&gt;=60,3.5,IF(S759&gt;=50,3,IF(S759&gt;=40,2,IF(S759&gt;=33,1,0)))))))</f>
        <v/>
      </c>
      <c r="AL759">
        <f>(AC759+AD759+AE759+AF759+AG759+AH759+AI759+AJ759)/8</f>
        <v/>
      </c>
      <c r="AM759">
        <f>IF(AK759&gt;=2,(AK759-2)/8,0)</f>
        <v/>
      </c>
    </row>
    <row r="760">
      <c r="T760">
        <f>SUM(C760:R760)</f>
        <v/>
      </c>
      <c r="U760" s="6">
        <f>ROUND(T760/11.5,2)</f>
        <v/>
      </c>
      <c r="V760" s="7">
        <f>IF(B760="","",IF(AB760,0,ROUND(AL760,2)))</f>
        <v/>
      </c>
      <c r="W760" s="7">
        <f>IF(B760="","",IF(AB760,0,MIN(5,ROUND(AL760+AM760,2))))</f>
        <v/>
      </c>
      <c r="X760" s="8">
        <f>IF(B760="","",IF(W760&gt;=5,"A+",IF(W760&gt;=4,"A",IF(W760&gt;=3.5,"A-",IF(W760&gt;=3,"B",IF(W760&gt;=2,"C",IF(W760&gt;=1,"D","F")))))))</f>
        <v/>
      </c>
      <c r="Y760">
        <f>NOT(OR(AND(J760&gt;=10,K760&gt;=23,L760&gt;=10,M760&gt;=23),AND(J760+L760&gt;=20,K760+M760&gt;=46)))</f>
        <v/>
      </c>
      <c r="Z760">
        <f>OR(N760&lt;10,O760&lt;23)</f>
        <v/>
      </c>
      <c r="AA760">
        <f>OR(P760&lt;10,Q760&lt;23)</f>
        <v/>
      </c>
      <c r="AB760">
        <f>OR((C760+D760)&lt;66,(E760+F760)&lt;66,G760&lt;33,(H760+I760)&lt;66,Y760,Z760,AA760,R760&lt;8.25)</f>
        <v/>
      </c>
      <c r="AC760">
        <f>IF(C760+D760&lt;66,0,IF((C760+D760)/2&gt;=80,5,IF((C760+D760)/2&gt;=70,4,IF((C760+D760)/2&gt;=60,3.5,IF((C760+D760)/2&gt;=50,3,IF((C760+D760)/2&gt;=40,2,IF((C760+D760)/2&gt;=33,1,0)))))))</f>
        <v/>
      </c>
      <c r="AD760">
        <f>IF(E760+F760&lt;66,0,IF((E760+F760)/2&gt;=80,5,IF((E760+F760)/2&gt;=70,4,IF((E760+F760)/2&gt;=60,3.5,IF((E760+F760)/2&gt;=50,3,IF((E760+F760)/2&gt;=40,2,IF((E760+F760)/2&gt;=33,1,0)))))))</f>
        <v/>
      </c>
      <c r="AE760">
        <f>IF(G760&lt;33,0,IF(G760&gt;=80,5,IF(G760&gt;=70,4,IF(G760&gt;=60,3.5,IF(G760&gt;=50,3,IF(G760&gt;=40,2,IF(G760&gt;=33,1,0)))))))</f>
        <v/>
      </c>
      <c r="AF760">
        <f>IF(H760+I760&lt;66,0,IF((H760+I760)/2&gt;=80,5,IF((H760+I760)/2&gt;=70,4,IF((H760+I760)/2&gt;=60,3.5,IF((H760+I760)/2&gt;=50,3,IF((H760+I760)/2&gt;=40,2,IF((H760+I760)/2&gt;=33,1,0)))))))</f>
        <v/>
      </c>
      <c r="AG760">
        <f>IF(Y760,0,IF((J760+K760+L760+M760)/2&gt;=80,5,IF((J760+K760+L760+M760)/2&gt;=70,4,IF((J760+K760+L760+M760)/2&gt;=60,3.5,IF((J760+K760+L760+M760)/2&gt;=50,3,IF((J760+K760+L760+M760)/2&gt;=40,2,IF((J760+K760+L760+M760)/2&gt;=33,1,0)))))))</f>
        <v/>
      </c>
      <c r="AH760">
        <f>IF(Z760,0,IF(N760+O760&gt;=80,5,IF(N760+O760&gt;=70,4,IF(N760+O760&gt;=60,3.5,IF(N760+O760&gt;=50,3,IF(N760+O760&gt;=40,2,IF(N760+O760&gt;=33,1,0)))))))</f>
        <v/>
      </c>
      <c r="AI760">
        <f>IF(AA760,0,IF(P760+Q760&gt;=80,5,IF(P760+Q760&gt;=70,4,IF(P760+Q760&gt;=60,3.5,IF(P760+Q760&gt;=50,3,IF(P760+Q760&gt;=40,2,IF(P760+Q760&gt;=33,1,0)))))))</f>
        <v/>
      </c>
      <c r="AJ760">
        <f>IF(R760&lt;8.25,0,IF(R760*2&gt;=80,5,IF(R760*2&gt;=70,4,IF(R760*2&gt;=60,3.5,IF(R760*2&gt;=50,3,IF(R760*2&gt;=40,2,IF(R760*2&gt;=33,1,0)))))))</f>
        <v/>
      </c>
      <c r="AK760">
        <f>IF(S760&lt;33,0,IF(S760&gt;=80,5,IF(S760&gt;=70,4,IF(S760&gt;=60,3.5,IF(S760&gt;=50,3,IF(S760&gt;=40,2,IF(S760&gt;=33,1,0)))))))</f>
        <v/>
      </c>
      <c r="AL760">
        <f>(AC760+AD760+AE760+AF760+AG760+AH760+AI760+AJ760)/8</f>
        <v/>
      </c>
      <c r="AM760">
        <f>IF(AK760&gt;=2,(AK760-2)/8,0)</f>
        <v/>
      </c>
    </row>
    <row r="761">
      <c r="T761">
        <f>SUM(C761:R761)</f>
        <v/>
      </c>
      <c r="U761" s="6">
        <f>ROUND(T761/11.5,2)</f>
        <v/>
      </c>
      <c r="V761" s="7">
        <f>IF(B761="","",IF(AB761,0,ROUND(AL761,2)))</f>
        <v/>
      </c>
      <c r="W761" s="7">
        <f>IF(B761="","",IF(AB761,0,MIN(5,ROUND(AL761+AM761,2))))</f>
        <v/>
      </c>
      <c r="X761" s="8">
        <f>IF(B761="","",IF(W761&gt;=5,"A+",IF(W761&gt;=4,"A",IF(W761&gt;=3.5,"A-",IF(W761&gt;=3,"B",IF(W761&gt;=2,"C",IF(W761&gt;=1,"D","F")))))))</f>
        <v/>
      </c>
      <c r="Y761">
        <f>NOT(OR(AND(J761&gt;=10,K761&gt;=23,L761&gt;=10,M761&gt;=23),AND(J761+L761&gt;=20,K761+M761&gt;=46)))</f>
        <v/>
      </c>
      <c r="Z761">
        <f>OR(N761&lt;10,O761&lt;23)</f>
        <v/>
      </c>
      <c r="AA761">
        <f>OR(P761&lt;10,Q761&lt;23)</f>
        <v/>
      </c>
      <c r="AB761">
        <f>OR((C761+D761)&lt;66,(E761+F761)&lt;66,G761&lt;33,(H761+I761)&lt;66,Y761,Z761,AA761,R761&lt;8.25)</f>
        <v/>
      </c>
      <c r="AC761">
        <f>IF(C761+D761&lt;66,0,IF((C761+D761)/2&gt;=80,5,IF((C761+D761)/2&gt;=70,4,IF((C761+D761)/2&gt;=60,3.5,IF((C761+D761)/2&gt;=50,3,IF((C761+D761)/2&gt;=40,2,IF((C761+D761)/2&gt;=33,1,0)))))))</f>
        <v/>
      </c>
      <c r="AD761">
        <f>IF(E761+F761&lt;66,0,IF((E761+F761)/2&gt;=80,5,IF((E761+F761)/2&gt;=70,4,IF((E761+F761)/2&gt;=60,3.5,IF((E761+F761)/2&gt;=50,3,IF((E761+F761)/2&gt;=40,2,IF((E761+F761)/2&gt;=33,1,0)))))))</f>
        <v/>
      </c>
      <c r="AE761">
        <f>IF(G761&lt;33,0,IF(G761&gt;=80,5,IF(G761&gt;=70,4,IF(G761&gt;=60,3.5,IF(G761&gt;=50,3,IF(G761&gt;=40,2,IF(G761&gt;=33,1,0)))))))</f>
        <v/>
      </c>
      <c r="AF761">
        <f>IF(H761+I761&lt;66,0,IF((H761+I761)/2&gt;=80,5,IF((H761+I761)/2&gt;=70,4,IF((H761+I761)/2&gt;=60,3.5,IF((H761+I761)/2&gt;=50,3,IF((H761+I761)/2&gt;=40,2,IF((H761+I761)/2&gt;=33,1,0)))))))</f>
        <v/>
      </c>
      <c r="AG761">
        <f>IF(Y761,0,IF((J761+K761+L761+M761)/2&gt;=80,5,IF((J761+K761+L761+M761)/2&gt;=70,4,IF((J761+K761+L761+M761)/2&gt;=60,3.5,IF((J761+K761+L761+M761)/2&gt;=50,3,IF((J761+K761+L761+M761)/2&gt;=40,2,IF((J761+K761+L761+M761)/2&gt;=33,1,0)))))))</f>
        <v/>
      </c>
      <c r="AH761">
        <f>IF(Z761,0,IF(N761+O761&gt;=80,5,IF(N761+O761&gt;=70,4,IF(N761+O761&gt;=60,3.5,IF(N761+O761&gt;=50,3,IF(N761+O761&gt;=40,2,IF(N761+O761&gt;=33,1,0)))))))</f>
        <v/>
      </c>
      <c r="AI761">
        <f>IF(AA761,0,IF(P761+Q761&gt;=80,5,IF(P761+Q761&gt;=70,4,IF(P761+Q761&gt;=60,3.5,IF(P761+Q761&gt;=50,3,IF(P761+Q761&gt;=40,2,IF(P761+Q761&gt;=33,1,0)))))))</f>
        <v/>
      </c>
      <c r="AJ761">
        <f>IF(R761&lt;8.25,0,IF(R761*2&gt;=80,5,IF(R761*2&gt;=70,4,IF(R761*2&gt;=60,3.5,IF(R761*2&gt;=50,3,IF(R761*2&gt;=40,2,IF(R761*2&gt;=33,1,0)))))))</f>
        <v/>
      </c>
      <c r="AK761">
        <f>IF(S761&lt;33,0,IF(S761&gt;=80,5,IF(S761&gt;=70,4,IF(S761&gt;=60,3.5,IF(S761&gt;=50,3,IF(S761&gt;=40,2,IF(S761&gt;=33,1,0)))))))</f>
        <v/>
      </c>
      <c r="AL761">
        <f>(AC761+AD761+AE761+AF761+AG761+AH761+AI761+AJ761)/8</f>
        <v/>
      </c>
      <c r="AM761">
        <f>IF(AK761&gt;=2,(AK761-2)/8,0)</f>
        <v/>
      </c>
    </row>
    <row r="762">
      <c r="T762">
        <f>SUM(C762:R762)</f>
        <v/>
      </c>
      <c r="U762" s="6">
        <f>ROUND(T762/11.5,2)</f>
        <v/>
      </c>
      <c r="V762" s="7">
        <f>IF(B762="","",IF(AB762,0,ROUND(AL762,2)))</f>
        <v/>
      </c>
      <c r="W762" s="7">
        <f>IF(B762="","",IF(AB762,0,MIN(5,ROUND(AL762+AM762,2))))</f>
        <v/>
      </c>
      <c r="X762" s="8">
        <f>IF(B762="","",IF(W762&gt;=5,"A+",IF(W762&gt;=4,"A",IF(W762&gt;=3.5,"A-",IF(W762&gt;=3,"B",IF(W762&gt;=2,"C",IF(W762&gt;=1,"D","F")))))))</f>
        <v/>
      </c>
      <c r="Y762">
        <f>NOT(OR(AND(J762&gt;=10,K762&gt;=23,L762&gt;=10,M762&gt;=23),AND(J762+L762&gt;=20,K762+M762&gt;=46)))</f>
        <v/>
      </c>
      <c r="Z762">
        <f>OR(N762&lt;10,O762&lt;23)</f>
        <v/>
      </c>
      <c r="AA762">
        <f>OR(P762&lt;10,Q762&lt;23)</f>
        <v/>
      </c>
      <c r="AB762">
        <f>OR((C762+D762)&lt;66,(E762+F762)&lt;66,G762&lt;33,(H762+I762)&lt;66,Y762,Z762,AA762,R762&lt;8.25)</f>
        <v/>
      </c>
      <c r="AC762">
        <f>IF(C762+D762&lt;66,0,IF((C762+D762)/2&gt;=80,5,IF((C762+D762)/2&gt;=70,4,IF((C762+D762)/2&gt;=60,3.5,IF((C762+D762)/2&gt;=50,3,IF((C762+D762)/2&gt;=40,2,IF((C762+D762)/2&gt;=33,1,0)))))))</f>
        <v/>
      </c>
      <c r="AD762">
        <f>IF(E762+F762&lt;66,0,IF((E762+F762)/2&gt;=80,5,IF((E762+F762)/2&gt;=70,4,IF((E762+F762)/2&gt;=60,3.5,IF((E762+F762)/2&gt;=50,3,IF((E762+F762)/2&gt;=40,2,IF((E762+F762)/2&gt;=33,1,0)))))))</f>
        <v/>
      </c>
      <c r="AE762">
        <f>IF(G762&lt;33,0,IF(G762&gt;=80,5,IF(G762&gt;=70,4,IF(G762&gt;=60,3.5,IF(G762&gt;=50,3,IF(G762&gt;=40,2,IF(G762&gt;=33,1,0)))))))</f>
        <v/>
      </c>
      <c r="AF762">
        <f>IF(H762+I762&lt;66,0,IF((H762+I762)/2&gt;=80,5,IF((H762+I762)/2&gt;=70,4,IF((H762+I762)/2&gt;=60,3.5,IF((H762+I762)/2&gt;=50,3,IF((H762+I762)/2&gt;=40,2,IF((H762+I762)/2&gt;=33,1,0)))))))</f>
        <v/>
      </c>
      <c r="AG762">
        <f>IF(Y762,0,IF((J762+K762+L762+M762)/2&gt;=80,5,IF((J762+K762+L762+M762)/2&gt;=70,4,IF((J762+K762+L762+M762)/2&gt;=60,3.5,IF((J762+K762+L762+M762)/2&gt;=50,3,IF((J762+K762+L762+M762)/2&gt;=40,2,IF((J762+K762+L762+M762)/2&gt;=33,1,0)))))))</f>
        <v/>
      </c>
      <c r="AH762">
        <f>IF(Z762,0,IF(N762+O762&gt;=80,5,IF(N762+O762&gt;=70,4,IF(N762+O762&gt;=60,3.5,IF(N762+O762&gt;=50,3,IF(N762+O762&gt;=40,2,IF(N762+O762&gt;=33,1,0)))))))</f>
        <v/>
      </c>
      <c r="AI762">
        <f>IF(AA762,0,IF(P762+Q762&gt;=80,5,IF(P762+Q762&gt;=70,4,IF(P762+Q762&gt;=60,3.5,IF(P762+Q762&gt;=50,3,IF(P762+Q762&gt;=40,2,IF(P762+Q762&gt;=33,1,0)))))))</f>
        <v/>
      </c>
      <c r="AJ762">
        <f>IF(R762&lt;8.25,0,IF(R762*2&gt;=80,5,IF(R762*2&gt;=70,4,IF(R762*2&gt;=60,3.5,IF(R762*2&gt;=50,3,IF(R762*2&gt;=40,2,IF(R762*2&gt;=33,1,0)))))))</f>
        <v/>
      </c>
      <c r="AK762">
        <f>IF(S762&lt;33,0,IF(S762&gt;=80,5,IF(S762&gt;=70,4,IF(S762&gt;=60,3.5,IF(S762&gt;=50,3,IF(S762&gt;=40,2,IF(S762&gt;=33,1,0)))))))</f>
        <v/>
      </c>
      <c r="AL762">
        <f>(AC762+AD762+AE762+AF762+AG762+AH762+AI762+AJ762)/8</f>
        <v/>
      </c>
      <c r="AM762">
        <f>IF(AK762&gt;=2,(AK762-2)/8,0)</f>
        <v/>
      </c>
    </row>
    <row r="763">
      <c r="T763">
        <f>SUM(C763:R763)</f>
        <v/>
      </c>
      <c r="U763" s="6">
        <f>ROUND(T763/11.5,2)</f>
        <v/>
      </c>
      <c r="V763" s="7">
        <f>IF(B763="","",IF(AB763,0,ROUND(AL763,2)))</f>
        <v/>
      </c>
      <c r="W763" s="7">
        <f>IF(B763="","",IF(AB763,0,MIN(5,ROUND(AL763+AM763,2))))</f>
        <v/>
      </c>
      <c r="X763" s="8">
        <f>IF(B763="","",IF(W763&gt;=5,"A+",IF(W763&gt;=4,"A",IF(W763&gt;=3.5,"A-",IF(W763&gt;=3,"B",IF(W763&gt;=2,"C",IF(W763&gt;=1,"D","F")))))))</f>
        <v/>
      </c>
      <c r="Y763">
        <f>NOT(OR(AND(J763&gt;=10,K763&gt;=23,L763&gt;=10,M763&gt;=23),AND(J763+L763&gt;=20,K763+M763&gt;=46)))</f>
        <v/>
      </c>
      <c r="Z763">
        <f>OR(N763&lt;10,O763&lt;23)</f>
        <v/>
      </c>
      <c r="AA763">
        <f>OR(P763&lt;10,Q763&lt;23)</f>
        <v/>
      </c>
      <c r="AB763">
        <f>OR((C763+D763)&lt;66,(E763+F763)&lt;66,G763&lt;33,(H763+I763)&lt;66,Y763,Z763,AA763,R763&lt;8.25)</f>
        <v/>
      </c>
      <c r="AC763">
        <f>IF(C763+D763&lt;66,0,IF((C763+D763)/2&gt;=80,5,IF((C763+D763)/2&gt;=70,4,IF((C763+D763)/2&gt;=60,3.5,IF((C763+D763)/2&gt;=50,3,IF((C763+D763)/2&gt;=40,2,IF((C763+D763)/2&gt;=33,1,0)))))))</f>
        <v/>
      </c>
      <c r="AD763">
        <f>IF(E763+F763&lt;66,0,IF((E763+F763)/2&gt;=80,5,IF((E763+F763)/2&gt;=70,4,IF((E763+F763)/2&gt;=60,3.5,IF((E763+F763)/2&gt;=50,3,IF((E763+F763)/2&gt;=40,2,IF((E763+F763)/2&gt;=33,1,0)))))))</f>
        <v/>
      </c>
      <c r="AE763">
        <f>IF(G763&lt;33,0,IF(G763&gt;=80,5,IF(G763&gt;=70,4,IF(G763&gt;=60,3.5,IF(G763&gt;=50,3,IF(G763&gt;=40,2,IF(G763&gt;=33,1,0)))))))</f>
        <v/>
      </c>
      <c r="AF763">
        <f>IF(H763+I763&lt;66,0,IF((H763+I763)/2&gt;=80,5,IF((H763+I763)/2&gt;=70,4,IF((H763+I763)/2&gt;=60,3.5,IF((H763+I763)/2&gt;=50,3,IF((H763+I763)/2&gt;=40,2,IF((H763+I763)/2&gt;=33,1,0)))))))</f>
        <v/>
      </c>
      <c r="AG763">
        <f>IF(Y763,0,IF((J763+K763+L763+M763)/2&gt;=80,5,IF((J763+K763+L763+M763)/2&gt;=70,4,IF((J763+K763+L763+M763)/2&gt;=60,3.5,IF((J763+K763+L763+M763)/2&gt;=50,3,IF((J763+K763+L763+M763)/2&gt;=40,2,IF((J763+K763+L763+M763)/2&gt;=33,1,0)))))))</f>
        <v/>
      </c>
      <c r="AH763">
        <f>IF(Z763,0,IF(N763+O763&gt;=80,5,IF(N763+O763&gt;=70,4,IF(N763+O763&gt;=60,3.5,IF(N763+O763&gt;=50,3,IF(N763+O763&gt;=40,2,IF(N763+O763&gt;=33,1,0)))))))</f>
        <v/>
      </c>
      <c r="AI763">
        <f>IF(AA763,0,IF(P763+Q763&gt;=80,5,IF(P763+Q763&gt;=70,4,IF(P763+Q763&gt;=60,3.5,IF(P763+Q763&gt;=50,3,IF(P763+Q763&gt;=40,2,IF(P763+Q763&gt;=33,1,0)))))))</f>
        <v/>
      </c>
      <c r="AJ763">
        <f>IF(R763&lt;8.25,0,IF(R763*2&gt;=80,5,IF(R763*2&gt;=70,4,IF(R763*2&gt;=60,3.5,IF(R763*2&gt;=50,3,IF(R763*2&gt;=40,2,IF(R763*2&gt;=33,1,0)))))))</f>
        <v/>
      </c>
      <c r="AK763">
        <f>IF(S763&lt;33,0,IF(S763&gt;=80,5,IF(S763&gt;=70,4,IF(S763&gt;=60,3.5,IF(S763&gt;=50,3,IF(S763&gt;=40,2,IF(S763&gt;=33,1,0)))))))</f>
        <v/>
      </c>
      <c r="AL763">
        <f>(AC763+AD763+AE763+AF763+AG763+AH763+AI763+AJ763)/8</f>
        <v/>
      </c>
      <c r="AM763">
        <f>IF(AK763&gt;=2,(AK763-2)/8,0)</f>
        <v/>
      </c>
    </row>
    <row r="764">
      <c r="T764">
        <f>SUM(C764:R764)</f>
        <v/>
      </c>
      <c r="U764" s="6">
        <f>ROUND(T764/11.5,2)</f>
        <v/>
      </c>
      <c r="V764" s="7">
        <f>IF(B764="","",IF(AB764,0,ROUND(AL764,2)))</f>
        <v/>
      </c>
      <c r="W764" s="7">
        <f>IF(B764="","",IF(AB764,0,MIN(5,ROUND(AL764+AM764,2))))</f>
        <v/>
      </c>
      <c r="X764" s="8">
        <f>IF(B764="","",IF(W764&gt;=5,"A+",IF(W764&gt;=4,"A",IF(W764&gt;=3.5,"A-",IF(W764&gt;=3,"B",IF(W764&gt;=2,"C",IF(W764&gt;=1,"D","F")))))))</f>
        <v/>
      </c>
      <c r="Y764">
        <f>NOT(OR(AND(J764&gt;=10,K764&gt;=23,L764&gt;=10,M764&gt;=23),AND(J764+L764&gt;=20,K764+M764&gt;=46)))</f>
        <v/>
      </c>
      <c r="Z764">
        <f>OR(N764&lt;10,O764&lt;23)</f>
        <v/>
      </c>
      <c r="AA764">
        <f>OR(P764&lt;10,Q764&lt;23)</f>
        <v/>
      </c>
      <c r="AB764">
        <f>OR((C764+D764)&lt;66,(E764+F764)&lt;66,G764&lt;33,(H764+I764)&lt;66,Y764,Z764,AA764,R764&lt;8.25)</f>
        <v/>
      </c>
      <c r="AC764">
        <f>IF(C764+D764&lt;66,0,IF((C764+D764)/2&gt;=80,5,IF((C764+D764)/2&gt;=70,4,IF((C764+D764)/2&gt;=60,3.5,IF((C764+D764)/2&gt;=50,3,IF((C764+D764)/2&gt;=40,2,IF((C764+D764)/2&gt;=33,1,0)))))))</f>
        <v/>
      </c>
      <c r="AD764">
        <f>IF(E764+F764&lt;66,0,IF((E764+F764)/2&gt;=80,5,IF((E764+F764)/2&gt;=70,4,IF((E764+F764)/2&gt;=60,3.5,IF((E764+F764)/2&gt;=50,3,IF((E764+F764)/2&gt;=40,2,IF((E764+F764)/2&gt;=33,1,0)))))))</f>
        <v/>
      </c>
      <c r="AE764">
        <f>IF(G764&lt;33,0,IF(G764&gt;=80,5,IF(G764&gt;=70,4,IF(G764&gt;=60,3.5,IF(G764&gt;=50,3,IF(G764&gt;=40,2,IF(G764&gt;=33,1,0)))))))</f>
        <v/>
      </c>
      <c r="AF764">
        <f>IF(H764+I764&lt;66,0,IF((H764+I764)/2&gt;=80,5,IF((H764+I764)/2&gt;=70,4,IF((H764+I764)/2&gt;=60,3.5,IF((H764+I764)/2&gt;=50,3,IF((H764+I764)/2&gt;=40,2,IF((H764+I764)/2&gt;=33,1,0)))))))</f>
        <v/>
      </c>
      <c r="AG764">
        <f>IF(Y764,0,IF((J764+K764+L764+M764)/2&gt;=80,5,IF((J764+K764+L764+M764)/2&gt;=70,4,IF((J764+K764+L764+M764)/2&gt;=60,3.5,IF((J764+K764+L764+M764)/2&gt;=50,3,IF((J764+K764+L764+M764)/2&gt;=40,2,IF((J764+K764+L764+M764)/2&gt;=33,1,0)))))))</f>
        <v/>
      </c>
      <c r="AH764">
        <f>IF(Z764,0,IF(N764+O764&gt;=80,5,IF(N764+O764&gt;=70,4,IF(N764+O764&gt;=60,3.5,IF(N764+O764&gt;=50,3,IF(N764+O764&gt;=40,2,IF(N764+O764&gt;=33,1,0)))))))</f>
        <v/>
      </c>
      <c r="AI764">
        <f>IF(AA764,0,IF(P764+Q764&gt;=80,5,IF(P764+Q764&gt;=70,4,IF(P764+Q764&gt;=60,3.5,IF(P764+Q764&gt;=50,3,IF(P764+Q764&gt;=40,2,IF(P764+Q764&gt;=33,1,0)))))))</f>
        <v/>
      </c>
      <c r="AJ764">
        <f>IF(R764&lt;8.25,0,IF(R764*2&gt;=80,5,IF(R764*2&gt;=70,4,IF(R764*2&gt;=60,3.5,IF(R764*2&gt;=50,3,IF(R764*2&gt;=40,2,IF(R764*2&gt;=33,1,0)))))))</f>
        <v/>
      </c>
      <c r="AK764">
        <f>IF(S764&lt;33,0,IF(S764&gt;=80,5,IF(S764&gt;=70,4,IF(S764&gt;=60,3.5,IF(S764&gt;=50,3,IF(S764&gt;=40,2,IF(S764&gt;=33,1,0)))))))</f>
        <v/>
      </c>
      <c r="AL764">
        <f>(AC764+AD764+AE764+AF764+AG764+AH764+AI764+AJ764)/8</f>
        <v/>
      </c>
      <c r="AM764">
        <f>IF(AK764&gt;=2,(AK764-2)/8,0)</f>
        <v/>
      </c>
    </row>
    <row r="765">
      <c r="T765">
        <f>SUM(C765:R765)</f>
        <v/>
      </c>
      <c r="U765" s="6">
        <f>ROUND(T765/11.5,2)</f>
        <v/>
      </c>
      <c r="V765" s="7">
        <f>IF(B765="","",IF(AB765,0,ROUND(AL765,2)))</f>
        <v/>
      </c>
      <c r="W765" s="7">
        <f>IF(B765="","",IF(AB765,0,MIN(5,ROUND(AL765+AM765,2))))</f>
        <v/>
      </c>
      <c r="X765" s="8">
        <f>IF(B765="","",IF(W765&gt;=5,"A+",IF(W765&gt;=4,"A",IF(W765&gt;=3.5,"A-",IF(W765&gt;=3,"B",IF(W765&gt;=2,"C",IF(W765&gt;=1,"D","F")))))))</f>
        <v/>
      </c>
      <c r="Y765">
        <f>NOT(OR(AND(J765&gt;=10,K765&gt;=23,L765&gt;=10,M765&gt;=23),AND(J765+L765&gt;=20,K765+M765&gt;=46)))</f>
        <v/>
      </c>
      <c r="Z765">
        <f>OR(N765&lt;10,O765&lt;23)</f>
        <v/>
      </c>
      <c r="AA765">
        <f>OR(P765&lt;10,Q765&lt;23)</f>
        <v/>
      </c>
      <c r="AB765">
        <f>OR((C765+D765)&lt;66,(E765+F765)&lt;66,G765&lt;33,(H765+I765)&lt;66,Y765,Z765,AA765,R765&lt;8.25)</f>
        <v/>
      </c>
      <c r="AC765">
        <f>IF(C765+D765&lt;66,0,IF((C765+D765)/2&gt;=80,5,IF((C765+D765)/2&gt;=70,4,IF((C765+D765)/2&gt;=60,3.5,IF((C765+D765)/2&gt;=50,3,IF((C765+D765)/2&gt;=40,2,IF((C765+D765)/2&gt;=33,1,0)))))))</f>
        <v/>
      </c>
      <c r="AD765">
        <f>IF(E765+F765&lt;66,0,IF((E765+F765)/2&gt;=80,5,IF((E765+F765)/2&gt;=70,4,IF((E765+F765)/2&gt;=60,3.5,IF((E765+F765)/2&gt;=50,3,IF((E765+F765)/2&gt;=40,2,IF((E765+F765)/2&gt;=33,1,0)))))))</f>
        <v/>
      </c>
      <c r="AE765">
        <f>IF(G765&lt;33,0,IF(G765&gt;=80,5,IF(G765&gt;=70,4,IF(G765&gt;=60,3.5,IF(G765&gt;=50,3,IF(G765&gt;=40,2,IF(G765&gt;=33,1,0)))))))</f>
        <v/>
      </c>
      <c r="AF765">
        <f>IF(H765+I765&lt;66,0,IF((H765+I765)/2&gt;=80,5,IF((H765+I765)/2&gt;=70,4,IF((H765+I765)/2&gt;=60,3.5,IF((H765+I765)/2&gt;=50,3,IF((H765+I765)/2&gt;=40,2,IF((H765+I765)/2&gt;=33,1,0)))))))</f>
        <v/>
      </c>
      <c r="AG765">
        <f>IF(Y765,0,IF((J765+K765+L765+M765)/2&gt;=80,5,IF((J765+K765+L765+M765)/2&gt;=70,4,IF((J765+K765+L765+M765)/2&gt;=60,3.5,IF((J765+K765+L765+M765)/2&gt;=50,3,IF((J765+K765+L765+M765)/2&gt;=40,2,IF((J765+K765+L765+M765)/2&gt;=33,1,0)))))))</f>
        <v/>
      </c>
      <c r="AH765">
        <f>IF(Z765,0,IF(N765+O765&gt;=80,5,IF(N765+O765&gt;=70,4,IF(N765+O765&gt;=60,3.5,IF(N765+O765&gt;=50,3,IF(N765+O765&gt;=40,2,IF(N765+O765&gt;=33,1,0)))))))</f>
        <v/>
      </c>
      <c r="AI765">
        <f>IF(AA765,0,IF(P765+Q765&gt;=80,5,IF(P765+Q765&gt;=70,4,IF(P765+Q765&gt;=60,3.5,IF(P765+Q765&gt;=50,3,IF(P765+Q765&gt;=40,2,IF(P765+Q765&gt;=33,1,0)))))))</f>
        <v/>
      </c>
      <c r="AJ765">
        <f>IF(R765&lt;8.25,0,IF(R765*2&gt;=80,5,IF(R765*2&gt;=70,4,IF(R765*2&gt;=60,3.5,IF(R765*2&gt;=50,3,IF(R765*2&gt;=40,2,IF(R765*2&gt;=33,1,0)))))))</f>
        <v/>
      </c>
      <c r="AK765">
        <f>IF(S765&lt;33,0,IF(S765&gt;=80,5,IF(S765&gt;=70,4,IF(S765&gt;=60,3.5,IF(S765&gt;=50,3,IF(S765&gt;=40,2,IF(S765&gt;=33,1,0)))))))</f>
        <v/>
      </c>
      <c r="AL765">
        <f>(AC765+AD765+AE765+AF765+AG765+AH765+AI765+AJ765)/8</f>
        <v/>
      </c>
      <c r="AM765">
        <f>IF(AK765&gt;=2,(AK765-2)/8,0)</f>
        <v/>
      </c>
    </row>
    <row r="766">
      <c r="T766">
        <f>SUM(C766:R766)</f>
        <v/>
      </c>
      <c r="U766" s="6">
        <f>ROUND(T766/11.5,2)</f>
        <v/>
      </c>
      <c r="V766" s="7">
        <f>IF(B766="","",IF(AB766,0,ROUND(AL766,2)))</f>
        <v/>
      </c>
      <c r="W766" s="7">
        <f>IF(B766="","",IF(AB766,0,MIN(5,ROUND(AL766+AM766,2))))</f>
        <v/>
      </c>
      <c r="X766" s="8">
        <f>IF(B766="","",IF(W766&gt;=5,"A+",IF(W766&gt;=4,"A",IF(W766&gt;=3.5,"A-",IF(W766&gt;=3,"B",IF(W766&gt;=2,"C",IF(W766&gt;=1,"D","F")))))))</f>
        <v/>
      </c>
      <c r="Y766">
        <f>NOT(OR(AND(J766&gt;=10,K766&gt;=23,L766&gt;=10,M766&gt;=23),AND(J766+L766&gt;=20,K766+M766&gt;=46)))</f>
        <v/>
      </c>
      <c r="Z766">
        <f>OR(N766&lt;10,O766&lt;23)</f>
        <v/>
      </c>
      <c r="AA766">
        <f>OR(P766&lt;10,Q766&lt;23)</f>
        <v/>
      </c>
      <c r="AB766">
        <f>OR((C766+D766)&lt;66,(E766+F766)&lt;66,G766&lt;33,(H766+I766)&lt;66,Y766,Z766,AA766,R766&lt;8.25)</f>
        <v/>
      </c>
      <c r="AC766">
        <f>IF(C766+D766&lt;66,0,IF((C766+D766)/2&gt;=80,5,IF((C766+D766)/2&gt;=70,4,IF((C766+D766)/2&gt;=60,3.5,IF((C766+D766)/2&gt;=50,3,IF((C766+D766)/2&gt;=40,2,IF((C766+D766)/2&gt;=33,1,0)))))))</f>
        <v/>
      </c>
      <c r="AD766">
        <f>IF(E766+F766&lt;66,0,IF((E766+F766)/2&gt;=80,5,IF((E766+F766)/2&gt;=70,4,IF((E766+F766)/2&gt;=60,3.5,IF((E766+F766)/2&gt;=50,3,IF((E766+F766)/2&gt;=40,2,IF((E766+F766)/2&gt;=33,1,0)))))))</f>
        <v/>
      </c>
      <c r="AE766">
        <f>IF(G766&lt;33,0,IF(G766&gt;=80,5,IF(G766&gt;=70,4,IF(G766&gt;=60,3.5,IF(G766&gt;=50,3,IF(G766&gt;=40,2,IF(G766&gt;=33,1,0)))))))</f>
        <v/>
      </c>
      <c r="AF766">
        <f>IF(H766+I766&lt;66,0,IF((H766+I766)/2&gt;=80,5,IF((H766+I766)/2&gt;=70,4,IF((H766+I766)/2&gt;=60,3.5,IF((H766+I766)/2&gt;=50,3,IF((H766+I766)/2&gt;=40,2,IF((H766+I766)/2&gt;=33,1,0)))))))</f>
        <v/>
      </c>
      <c r="AG766">
        <f>IF(Y766,0,IF((J766+K766+L766+M766)/2&gt;=80,5,IF((J766+K766+L766+M766)/2&gt;=70,4,IF((J766+K766+L766+M766)/2&gt;=60,3.5,IF((J766+K766+L766+M766)/2&gt;=50,3,IF((J766+K766+L766+M766)/2&gt;=40,2,IF((J766+K766+L766+M766)/2&gt;=33,1,0)))))))</f>
        <v/>
      </c>
      <c r="AH766">
        <f>IF(Z766,0,IF(N766+O766&gt;=80,5,IF(N766+O766&gt;=70,4,IF(N766+O766&gt;=60,3.5,IF(N766+O766&gt;=50,3,IF(N766+O766&gt;=40,2,IF(N766+O766&gt;=33,1,0)))))))</f>
        <v/>
      </c>
      <c r="AI766">
        <f>IF(AA766,0,IF(P766+Q766&gt;=80,5,IF(P766+Q766&gt;=70,4,IF(P766+Q766&gt;=60,3.5,IF(P766+Q766&gt;=50,3,IF(P766+Q766&gt;=40,2,IF(P766+Q766&gt;=33,1,0)))))))</f>
        <v/>
      </c>
      <c r="AJ766">
        <f>IF(R766&lt;8.25,0,IF(R766*2&gt;=80,5,IF(R766*2&gt;=70,4,IF(R766*2&gt;=60,3.5,IF(R766*2&gt;=50,3,IF(R766*2&gt;=40,2,IF(R766*2&gt;=33,1,0)))))))</f>
        <v/>
      </c>
      <c r="AK766">
        <f>IF(S766&lt;33,0,IF(S766&gt;=80,5,IF(S766&gt;=70,4,IF(S766&gt;=60,3.5,IF(S766&gt;=50,3,IF(S766&gt;=40,2,IF(S766&gt;=33,1,0)))))))</f>
        <v/>
      </c>
      <c r="AL766">
        <f>(AC766+AD766+AE766+AF766+AG766+AH766+AI766+AJ766)/8</f>
        <v/>
      </c>
      <c r="AM766">
        <f>IF(AK766&gt;=2,(AK766-2)/8,0)</f>
        <v/>
      </c>
    </row>
    <row r="767">
      <c r="T767">
        <f>SUM(C767:R767)</f>
        <v/>
      </c>
      <c r="U767" s="6">
        <f>ROUND(T767/11.5,2)</f>
        <v/>
      </c>
      <c r="V767" s="7">
        <f>IF(B767="","",IF(AB767,0,ROUND(AL767,2)))</f>
        <v/>
      </c>
      <c r="W767" s="7">
        <f>IF(B767="","",IF(AB767,0,MIN(5,ROUND(AL767+AM767,2))))</f>
        <v/>
      </c>
      <c r="X767" s="8">
        <f>IF(B767="","",IF(W767&gt;=5,"A+",IF(W767&gt;=4,"A",IF(W767&gt;=3.5,"A-",IF(W767&gt;=3,"B",IF(W767&gt;=2,"C",IF(W767&gt;=1,"D","F")))))))</f>
        <v/>
      </c>
      <c r="Y767">
        <f>NOT(OR(AND(J767&gt;=10,K767&gt;=23,L767&gt;=10,M767&gt;=23),AND(J767+L767&gt;=20,K767+M767&gt;=46)))</f>
        <v/>
      </c>
      <c r="Z767">
        <f>OR(N767&lt;10,O767&lt;23)</f>
        <v/>
      </c>
      <c r="AA767">
        <f>OR(P767&lt;10,Q767&lt;23)</f>
        <v/>
      </c>
      <c r="AB767">
        <f>OR((C767+D767)&lt;66,(E767+F767)&lt;66,G767&lt;33,(H767+I767)&lt;66,Y767,Z767,AA767,R767&lt;8.25)</f>
        <v/>
      </c>
      <c r="AC767">
        <f>IF(C767+D767&lt;66,0,IF((C767+D767)/2&gt;=80,5,IF((C767+D767)/2&gt;=70,4,IF((C767+D767)/2&gt;=60,3.5,IF((C767+D767)/2&gt;=50,3,IF((C767+D767)/2&gt;=40,2,IF((C767+D767)/2&gt;=33,1,0)))))))</f>
        <v/>
      </c>
      <c r="AD767">
        <f>IF(E767+F767&lt;66,0,IF((E767+F767)/2&gt;=80,5,IF((E767+F767)/2&gt;=70,4,IF((E767+F767)/2&gt;=60,3.5,IF((E767+F767)/2&gt;=50,3,IF((E767+F767)/2&gt;=40,2,IF((E767+F767)/2&gt;=33,1,0)))))))</f>
        <v/>
      </c>
      <c r="AE767">
        <f>IF(G767&lt;33,0,IF(G767&gt;=80,5,IF(G767&gt;=70,4,IF(G767&gt;=60,3.5,IF(G767&gt;=50,3,IF(G767&gt;=40,2,IF(G767&gt;=33,1,0)))))))</f>
        <v/>
      </c>
      <c r="AF767">
        <f>IF(H767+I767&lt;66,0,IF((H767+I767)/2&gt;=80,5,IF((H767+I767)/2&gt;=70,4,IF((H767+I767)/2&gt;=60,3.5,IF((H767+I767)/2&gt;=50,3,IF((H767+I767)/2&gt;=40,2,IF((H767+I767)/2&gt;=33,1,0)))))))</f>
        <v/>
      </c>
      <c r="AG767">
        <f>IF(Y767,0,IF((J767+K767+L767+M767)/2&gt;=80,5,IF((J767+K767+L767+M767)/2&gt;=70,4,IF((J767+K767+L767+M767)/2&gt;=60,3.5,IF((J767+K767+L767+M767)/2&gt;=50,3,IF((J767+K767+L767+M767)/2&gt;=40,2,IF((J767+K767+L767+M767)/2&gt;=33,1,0)))))))</f>
        <v/>
      </c>
      <c r="AH767">
        <f>IF(Z767,0,IF(N767+O767&gt;=80,5,IF(N767+O767&gt;=70,4,IF(N767+O767&gt;=60,3.5,IF(N767+O767&gt;=50,3,IF(N767+O767&gt;=40,2,IF(N767+O767&gt;=33,1,0)))))))</f>
        <v/>
      </c>
      <c r="AI767">
        <f>IF(AA767,0,IF(P767+Q767&gt;=80,5,IF(P767+Q767&gt;=70,4,IF(P767+Q767&gt;=60,3.5,IF(P767+Q767&gt;=50,3,IF(P767+Q767&gt;=40,2,IF(P767+Q767&gt;=33,1,0)))))))</f>
        <v/>
      </c>
      <c r="AJ767">
        <f>IF(R767&lt;8.25,0,IF(R767*2&gt;=80,5,IF(R767*2&gt;=70,4,IF(R767*2&gt;=60,3.5,IF(R767*2&gt;=50,3,IF(R767*2&gt;=40,2,IF(R767*2&gt;=33,1,0)))))))</f>
        <v/>
      </c>
      <c r="AK767">
        <f>IF(S767&lt;33,0,IF(S767&gt;=80,5,IF(S767&gt;=70,4,IF(S767&gt;=60,3.5,IF(S767&gt;=50,3,IF(S767&gt;=40,2,IF(S767&gt;=33,1,0)))))))</f>
        <v/>
      </c>
      <c r="AL767">
        <f>(AC767+AD767+AE767+AF767+AG767+AH767+AI767+AJ767)/8</f>
        <v/>
      </c>
      <c r="AM767">
        <f>IF(AK767&gt;=2,(AK767-2)/8,0)</f>
        <v/>
      </c>
    </row>
    <row r="768">
      <c r="T768">
        <f>SUM(C768:R768)</f>
        <v/>
      </c>
      <c r="U768" s="6">
        <f>ROUND(T768/11.5,2)</f>
        <v/>
      </c>
      <c r="V768" s="7">
        <f>IF(B768="","",IF(AB768,0,ROUND(AL768,2)))</f>
        <v/>
      </c>
      <c r="W768" s="7">
        <f>IF(B768="","",IF(AB768,0,MIN(5,ROUND(AL768+AM768,2))))</f>
        <v/>
      </c>
      <c r="X768" s="8">
        <f>IF(B768="","",IF(W768&gt;=5,"A+",IF(W768&gt;=4,"A",IF(W768&gt;=3.5,"A-",IF(W768&gt;=3,"B",IF(W768&gt;=2,"C",IF(W768&gt;=1,"D","F")))))))</f>
        <v/>
      </c>
      <c r="Y768">
        <f>NOT(OR(AND(J768&gt;=10,K768&gt;=23,L768&gt;=10,M768&gt;=23),AND(J768+L768&gt;=20,K768+M768&gt;=46)))</f>
        <v/>
      </c>
      <c r="Z768">
        <f>OR(N768&lt;10,O768&lt;23)</f>
        <v/>
      </c>
      <c r="AA768">
        <f>OR(P768&lt;10,Q768&lt;23)</f>
        <v/>
      </c>
      <c r="AB768">
        <f>OR((C768+D768)&lt;66,(E768+F768)&lt;66,G768&lt;33,(H768+I768)&lt;66,Y768,Z768,AA768,R768&lt;8.25)</f>
        <v/>
      </c>
      <c r="AC768">
        <f>IF(C768+D768&lt;66,0,IF((C768+D768)/2&gt;=80,5,IF((C768+D768)/2&gt;=70,4,IF((C768+D768)/2&gt;=60,3.5,IF((C768+D768)/2&gt;=50,3,IF((C768+D768)/2&gt;=40,2,IF((C768+D768)/2&gt;=33,1,0)))))))</f>
        <v/>
      </c>
      <c r="AD768">
        <f>IF(E768+F768&lt;66,0,IF((E768+F768)/2&gt;=80,5,IF((E768+F768)/2&gt;=70,4,IF((E768+F768)/2&gt;=60,3.5,IF((E768+F768)/2&gt;=50,3,IF((E768+F768)/2&gt;=40,2,IF((E768+F768)/2&gt;=33,1,0)))))))</f>
        <v/>
      </c>
      <c r="AE768">
        <f>IF(G768&lt;33,0,IF(G768&gt;=80,5,IF(G768&gt;=70,4,IF(G768&gt;=60,3.5,IF(G768&gt;=50,3,IF(G768&gt;=40,2,IF(G768&gt;=33,1,0)))))))</f>
        <v/>
      </c>
      <c r="AF768">
        <f>IF(H768+I768&lt;66,0,IF((H768+I768)/2&gt;=80,5,IF((H768+I768)/2&gt;=70,4,IF((H768+I768)/2&gt;=60,3.5,IF((H768+I768)/2&gt;=50,3,IF((H768+I768)/2&gt;=40,2,IF((H768+I768)/2&gt;=33,1,0)))))))</f>
        <v/>
      </c>
      <c r="AG768">
        <f>IF(Y768,0,IF((J768+K768+L768+M768)/2&gt;=80,5,IF((J768+K768+L768+M768)/2&gt;=70,4,IF((J768+K768+L768+M768)/2&gt;=60,3.5,IF((J768+K768+L768+M768)/2&gt;=50,3,IF((J768+K768+L768+M768)/2&gt;=40,2,IF((J768+K768+L768+M768)/2&gt;=33,1,0)))))))</f>
        <v/>
      </c>
      <c r="AH768">
        <f>IF(Z768,0,IF(N768+O768&gt;=80,5,IF(N768+O768&gt;=70,4,IF(N768+O768&gt;=60,3.5,IF(N768+O768&gt;=50,3,IF(N768+O768&gt;=40,2,IF(N768+O768&gt;=33,1,0)))))))</f>
        <v/>
      </c>
      <c r="AI768">
        <f>IF(AA768,0,IF(P768+Q768&gt;=80,5,IF(P768+Q768&gt;=70,4,IF(P768+Q768&gt;=60,3.5,IF(P768+Q768&gt;=50,3,IF(P768+Q768&gt;=40,2,IF(P768+Q768&gt;=33,1,0)))))))</f>
        <v/>
      </c>
      <c r="AJ768">
        <f>IF(R768&lt;8.25,0,IF(R768*2&gt;=80,5,IF(R768*2&gt;=70,4,IF(R768*2&gt;=60,3.5,IF(R768*2&gt;=50,3,IF(R768*2&gt;=40,2,IF(R768*2&gt;=33,1,0)))))))</f>
        <v/>
      </c>
      <c r="AK768">
        <f>IF(S768&lt;33,0,IF(S768&gt;=80,5,IF(S768&gt;=70,4,IF(S768&gt;=60,3.5,IF(S768&gt;=50,3,IF(S768&gt;=40,2,IF(S768&gt;=33,1,0)))))))</f>
        <v/>
      </c>
      <c r="AL768">
        <f>(AC768+AD768+AE768+AF768+AG768+AH768+AI768+AJ768)/8</f>
        <v/>
      </c>
      <c r="AM768">
        <f>IF(AK768&gt;=2,(AK768-2)/8,0)</f>
        <v/>
      </c>
    </row>
    <row r="769">
      <c r="T769">
        <f>SUM(C769:R769)</f>
        <v/>
      </c>
      <c r="U769" s="6">
        <f>ROUND(T769/11.5,2)</f>
        <v/>
      </c>
      <c r="V769" s="7">
        <f>IF(B769="","",IF(AB769,0,ROUND(AL769,2)))</f>
        <v/>
      </c>
      <c r="W769" s="7">
        <f>IF(B769="","",IF(AB769,0,MIN(5,ROUND(AL769+AM769,2))))</f>
        <v/>
      </c>
      <c r="X769" s="8">
        <f>IF(B769="","",IF(W769&gt;=5,"A+",IF(W769&gt;=4,"A",IF(W769&gt;=3.5,"A-",IF(W769&gt;=3,"B",IF(W769&gt;=2,"C",IF(W769&gt;=1,"D","F")))))))</f>
        <v/>
      </c>
      <c r="Y769">
        <f>NOT(OR(AND(J769&gt;=10,K769&gt;=23,L769&gt;=10,M769&gt;=23),AND(J769+L769&gt;=20,K769+M769&gt;=46)))</f>
        <v/>
      </c>
      <c r="Z769">
        <f>OR(N769&lt;10,O769&lt;23)</f>
        <v/>
      </c>
      <c r="AA769">
        <f>OR(P769&lt;10,Q769&lt;23)</f>
        <v/>
      </c>
      <c r="AB769">
        <f>OR((C769+D769)&lt;66,(E769+F769)&lt;66,G769&lt;33,(H769+I769)&lt;66,Y769,Z769,AA769,R769&lt;8.25)</f>
        <v/>
      </c>
      <c r="AC769">
        <f>IF(C769+D769&lt;66,0,IF((C769+D769)/2&gt;=80,5,IF((C769+D769)/2&gt;=70,4,IF((C769+D769)/2&gt;=60,3.5,IF((C769+D769)/2&gt;=50,3,IF((C769+D769)/2&gt;=40,2,IF((C769+D769)/2&gt;=33,1,0)))))))</f>
        <v/>
      </c>
      <c r="AD769">
        <f>IF(E769+F769&lt;66,0,IF((E769+F769)/2&gt;=80,5,IF((E769+F769)/2&gt;=70,4,IF((E769+F769)/2&gt;=60,3.5,IF((E769+F769)/2&gt;=50,3,IF((E769+F769)/2&gt;=40,2,IF((E769+F769)/2&gt;=33,1,0)))))))</f>
        <v/>
      </c>
      <c r="AE769">
        <f>IF(G769&lt;33,0,IF(G769&gt;=80,5,IF(G769&gt;=70,4,IF(G769&gt;=60,3.5,IF(G769&gt;=50,3,IF(G769&gt;=40,2,IF(G769&gt;=33,1,0)))))))</f>
        <v/>
      </c>
      <c r="AF769">
        <f>IF(H769+I769&lt;66,0,IF((H769+I769)/2&gt;=80,5,IF((H769+I769)/2&gt;=70,4,IF((H769+I769)/2&gt;=60,3.5,IF((H769+I769)/2&gt;=50,3,IF((H769+I769)/2&gt;=40,2,IF((H769+I769)/2&gt;=33,1,0)))))))</f>
        <v/>
      </c>
      <c r="AG769">
        <f>IF(Y769,0,IF((J769+K769+L769+M769)/2&gt;=80,5,IF((J769+K769+L769+M769)/2&gt;=70,4,IF((J769+K769+L769+M769)/2&gt;=60,3.5,IF((J769+K769+L769+M769)/2&gt;=50,3,IF((J769+K769+L769+M769)/2&gt;=40,2,IF((J769+K769+L769+M769)/2&gt;=33,1,0)))))))</f>
        <v/>
      </c>
      <c r="AH769">
        <f>IF(Z769,0,IF(N769+O769&gt;=80,5,IF(N769+O769&gt;=70,4,IF(N769+O769&gt;=60,3.5,IF(N769+O769&gt;=50,3,IF(N769+O769&gt;=40,2,IF(N769+O769&gt;=33,1,0)))))))</f>
        <v/>
      </c>
      <c r="AI769">
        <f>IF(AA769,0,IF(P769+Q769&gt;=80,5,IF(P769+Q769&gt;=70,4,IF(P769+Q769&gt;=60,3.5,IF(P769+Q769&gt;=50,3,IF(P769+Q769&gt;=40,2,IF(P769+Q769&gt;=33,1,0)))))))</f>
        <v/>
      </c>
      <c r="AJ769">
        <f>IF(R769&lt;8.25,0,IF(R769*2&gt;=80,5,IF(R769*2&gt;=70,4,IF(R769*2&gt;=60,3.5,IF(R769*2&gt;=50,3,IF(R769*2&gt;=40,2,IF(R769*2&gt;=33,1,0)))))))</f>
        <v/>
      </c>
      <c r="AK769">
        <f>IF(S769&lt;33,0,IF(S769&gt;=80,5,IF(S769&gt;=70,4,IF(S769&gt;=60,3.5,IF(S769&gt;=50,3,IF(S769&gt;=40,2,IF(S769&gt;=33,1,0)))))))</f>
        <v/>
      </c>
      <c r="AL769">
        <f>(AC769+AD769+AE769+AF769+AG769+AH769+AI769+AJ769)/8</f>
        <v/>
      </c>
      <c r="AM769">
        <f>IF(AK769&gt;=2,(AK769-2)/8,0)</f>
        <v/>
      </c>
    </row>
    <row r="770">
      <c r="T770">
        <f>SUM(C770:R770)</f>
        <v/>
      </c>
      <c r="U770" s="6">
        <f>ROUND(T770/11.5,2)</f>
        <v/>
      </c>
      <c r="V770" s="7">
        <f>IF(B770="","",IF(AB770,0,ROUND(AL770,2)))</f>
        <v/>
      </c>
      <c r="W770" s="7">
        <f>IF(B770="","",IF(AB770,0,MIN(5,ROUND(AL770+AM770,2))))</f>
        <v/>
      </c>
      <c r="X770" s="8">
        <f>IF(B770="","",IF(W770&gt;=5,"A+",IF(W770&gt;=4,"A",IF(W770&gt;=3.5,"A-",IF(W770&gt;=3,"B",IF(W770&gt;=2,"C",IF(W770&gt;=1,"D","F")))))))</f>
        <v/>
      </c>
      <c r="Y770">
        <f>NOT(OR(AND(J770&gt;=10,K770&gt;=23,L770&gt;=10,M770&gt;=23),AND(J770+L770&gt;=20,K770+M770&gt;=46)))</f>
        <v/>
      </c>
      <c r="Z770">
        <f>OR(N770&lt;10,O770&lt;23)</f>
        <v/>
      </c>
      <c r="AA770">
        <f>OR(P770&lt;10,Q770&lt;23)</f>
        <v/>
      </c>
      <c r="AB770">
        <f>OR((C770+D770)&lt;66,(E770+F770)&lt;66,G770&lt;33,(H770+I770)&lt;66,Y770,Z770,AA770,R770&lt;8.25)</f>
        <v/>
      </c>
      <c r="AC770">
        <f>IF(C770+D770&lt;66,0,IF((C770+D770)/2&gt;=80,5,IF((C770+D770)/2&gt;=70,4,IF((C770+D770)/2&gt;=60,3.5,IF((C770+D770)/2&gt;=50,3,IF((C770+D770)/2&gt;=40,2,IF((C770+D770)/2&gt;=33,1,0)))))))</f>
        <v/>
      </c>
      <c r="AD770">
        <f>IF(E770+F770&lt;66,0,IF((E770+F770)/2&gt;=80,5,IF((E770+F770)/2&gt;=70,4,IF((E770+F770)/2&gt;=60,3.5,IF((E770+F770)/2&gt;=50,3,IF((E770+F770)/2&gt;=40,2,IF((E770+F770)/2&gt;=33,1,0)))))))</f>
        <v/>
      </c>
      <c r="AE770">
        <f>IF(G770&lt;33,0,IF(G770&gt;=80,5,IF(G770&gt;=70,4,IF(G770&gt;=60,3.5,IF(G770&gt;=50,3,IF(G770&gt;=40,2,IF(G770&gt;=33,1,0)))))))</f>
        <v/>
      </c>
      <c r="AF770">
        <f>IF(H770+I770&lt;66,0,IF((H770+I770)/2&gt;=80,5,IF((H770+I770)/2&gt;=70,4,IF((H770+I770)/2&gt;=60,3.5,IF((H770+I770)/2&gt;=50,3,IF((H770+I770)/2&gt;=40,2,IF((H770+I770)/2&gt;=33,1,0)))))))</f>
        <v/>
      </c>
      <c r="AG770">
        <f>IF(Y770,0,IF((J770+K770+L770+M770)/2&gt;=80,5,IF((J770+K770+L770+M770)/2&gt;=70,4,IF((J770+K770+L770+M770)/2&gt;=60,3.5,IF((J770+K770+L770+M770)/2&gt;=50,3,IF((J770+K770+L770+M770)/2&gt;=40,2,IF((J770+K770+L770+M770)/2&gt;=33,1,0)))))))</f>
        <v/>
      </c>
      <c r="AH770">
        <f>IF(Z770,0,IF(N770+O770&gt;=80,5,IF(N770+O770&gt;=70,4,IF(N770+O770&gt;=60,3.5,IF(N770+O770&gt;=50,3,IF(N770+O770&gt;=40,2,IF(N770+O770&gt;=33,1,0)))))))</f>
        <v/>
      </c>
      <c r="AI770">
        <f>IF(AA770,0,IF(P770+Q770&gt;=80,5,IF(P770+Q770&gt;=70,4,IF(P770+Q770&gt;=60,3.5,IF(P770+Q770&gt;=50,3,IF(P770+Q770&gt;=40,2,IF(P770+Q770&gt;=33,1,0)))))))</f>
        <v/>
      </c>
      <c r="AJ770">
        <f>IF(R770&lt;8.25,0,IF(R770*2&gt;=80,5,IF(R770*2&gt;=70,4,IF(R770*2&gt;=60,3.5,IF(R770*2&gt;=50,3,IF(R770*2&gt;=40,2,IF(R770*2&gt;=33,1,0)))))))</f>
        <v/>
      </c>
      <c r="AK770">
        <f>IF(S770&lt;33,0,IF(S770&gt;=80,5,IF(S770&gt;=70,4,IF(S770&gt;=60,3.5,IF(S770&gt;=50,3,IF(S770&gt;=40,2,IF(S770&gt;=33,1,0)))))))</f>
        <v/>
      </c>
      <c r="AL770">
        <f>(AC770+AD770+AE770+AF770+AG770+AH770+AI770+AJ770)/8</f>
        <v/>
      </c>
      <c r="AM770">
        <f>IF(AK770&gt;=2,(AK770-2)/8,0)</f>
        <v/>
      </c>
    </row>
    <row r="771">
      <c r="T771">
        <f>SUM(C771:R771)</f>
        <v/>
      </c>
      <c r="U771" s="6">
        <f>ROUND(T771/11.5,2)</f>
        <v/>
      </c>
      <c r="V771" s="7">
        <f>IF(B771="","",IF(AB771,0,ROUND(AL771,2)))</f>
        <v/>
      </c>
      <c r="W771" s="7">
        <f>IF(B771="","",IF(AB771,0,MIN(5,ROUND(AL771+AM771,2))))</f>
        <v/>
      </c>
      <c r="X771" s="8">
        <f>IF(B771="","",IF(W771&gt;=5,"A+",IF(W771&gt;=4,"A",IF(W771&gt;=3.5,"A-",IF(W771&gt;=3,"B",IF(W771&gt;=2,"C",IF(W771&gt;=1,"D","F")))))))</f>
        <v/>
      </c>
      <c r="Y771">
        <f>NOT(OR(AND(J771&gt;=10,K771&gt;=23,L771&gt;=10,M771&gt;=23),AND(J771+L771&gt;=20,K771+M771&gt;=46)))</f>
        <v/>
      </c>
      <c r="Z771">
        <f>OR(N771&lt;10,O771&lt;23)</f>
        <v/>
      </c>
      <c r="AA771">
        <f>OR(P771&lt;10,Q771&lt;23)</f>
        <v/>
      </c>
      <c r="AB771">
        <f>OR((C771+D771)&lt;66,(E771+F771)&lt;66,G771&lt;33,(H771+I771)&lt;66,Y771,Z771,AA771,R771&lt;8.25)</f>
        <v/>
      </c>
      <c r="AC771">
        <f>IF(C771+D771&lt;66,0,IF((C771+D771)/2&gt;=80,5,IF((C771+D771)/2&gt;=70,4,IF((C771+D771)/2&gt;=60,3.5,IF((C771+D771)/2&gt;=50,3,IF((C771+D771)/2&gt;=40,2,IF((C771+D771)/2&gt;=33,1,0)))))))</f>
        <v/>
      </c>
      <c r="AD771">
        <f>IF(E771+F771&lt;66,0,IF((E771+F771)/2&gt;=80,5,IF((E771+F771)/2&gt;=70,4,IF((E771+F771)/2&gt;=60,3.5,IF((E771+F771)/2&gt;=50,3,IF((E771+F771)/2&gt;=40,2,IF((E771+F771)/2&gt;=33,1,0)))))))</f>
        <v/>
      </c>
      <c r="AE771">
        <f>IF(G771&lt;33,0,IF(G771&gt;=80,5,IF(G771&gt;=70,4,IF(G771&gt;=60,3.5,IF(G771&gt;=50,3,IF(G771&gt;=40,2,IF(G771&gt;=33,1,0)))))))</f>
        <v/>
      </c>
      <c r="AF771">
        <f>IF(H771+I771&lt;66,0,IF((H771+I771)/2&gt;=80,5,IF((H771+I771)/2&gt;=70,4,IF((H771+I771)/2&gt;=60,3.5,IF((H771+I771)/2&gt;=50,3,IF((H771+I771)/2&gt;=40,2,IF((H771+I771)/2&gt;=33,1,0)))))))</f>
        <v/>
      </c>
      <c r="AG771">
        <f>IF(Y771,0,IF((J771+K771+L771+M771)/2&gt;=80,5,IF((J771+K771+L771+M771)/2&gt;=70,4,IF((J771+K771+L771+M771)/2&gt;=60,3.5,IF((J771+K771+L771+M771)/2&gt;=50,3,IF((J771+K771+L771+M771)/2&gt;=40,2,IF((J771+K771+L771+M771)/2&gt;=33,1,0)))))))</f>
        <v/>
      </c>
      <c r="AH771">
        <f>IF(Z771,0,IF(N771+O771&gt;=80,5,IF(N771+O771&gt;=70,4,IF(N771+O771&gt;=60,3.5,IF(N771+O771&gt;=50,3,IF(N771+O771&gt;=40,2,IF(N771+O771&gt;=33,1,0)))))))</f>
        <v/>
      </c>
      <c r="AI771">
        <f>IF(AA771,0,IF(P771+Q771&gt;=80,5,IF(P771+Q771&gt;=70,4,IF(P771+Q771&gt;=60,3.5,IF(P771+Q771&gt;=50,3,IF(P771+Q771&gt;=40,2,IF(P771+Q771&gt;=33,1,0)))))))</f>
        <v/>
      </c>
      <c r="AJ771">
        <f>IF(R771&lt;8.25,0,IF(R771*2&gt;=80,5,IF(R771*2&gt;=70,4,IF(R771*2&gt;=60,3.5,IF(R771*2&gt;=50,3,IF(R771*2&gt;=40,2,IF(R771*2&gt;=33,1,0)))))))</f>
        <v/>
      </c>
      <c r="AK771">
        <f>IF(S771&lt;33,0,IF(S771&gt;=80,5,IF(S771&gt;=70,4,IF(S771&gt;=60,3.5,IF(S771&gt;=50,3,IF(S771&gt;=40,2,IF(S771&gt;=33,1,0)))))))</f>
        <v/>
      </c>
      <c r="AL771">
        <f>(AC771+AD771+AE771+AF771+AG771+AH771+AI771+AJ771)/8</f>
        <v/>
      </c>
      <c r="AM771">
        <f>IF(AK771&gt;=2,(AK771-2)/8,0)</f>
        <v/>
      </c>
    </row>
    <row r="772">
      <c r="T772">
        <f>SUM(C772:R772)</f>
        <v/>
      </c>
      <c r="U772" s="6">
        <f>ROUND(T772/11.5,2)</f>
        <v/>
      </c>
      <c r="V772" s="7">
        <f>IF(B772="","",IF(AB772,0,ROUND(AL772,2)))</f>
        <v/>
      </c>
      <c r="W772" s="7">
        <f>IF(B772="","",IF(AB772,0,MIN(5,ROUND(AL772+AM772,2))))</f>
        <v/>
      </c>
      <c r="X772" s="8">
        <f>IF(B772="","",IF(W772&gt;=5,"A+",IF(W772&gt;=4,"A",IF(W772&gt;=3.5,"A-",IF(W772&gt;=3,"B",IF(W772&gt;=2,"C",IF(W772&gt;=1,"D","F")))))))</f>
        <v/>
      </c>
      <c r="Y772">
        <f>NOT(OR(AND(J772&gt;=10,K772&gt;=23,L772&gt;=10,M772&gt;=23),AND(J772+L772&gt;=20,K772+M772&gt;=46)))</f>
        <v/>
      </c>
      <c r="Z772">
        <f>OR(N772&lt;10,O772&lt;23)</f>
        <v/>
      </c>
      <c r="AA772">
        <f>OR(P772&lt;10,Q772&lt;23)</f>
        <v/>
      </c>
      <c r="AB772">
        <f>OR((C772+D772)&lt;66,(E772+F772)&lt;66,G772&lt;33,(H772+I772)&lt;66,Y772,Z772,AA772,R772&lt;8.25)</f>
        <v/>
      </c>
      <c r="AC772">
        <f>IF(C772+D772&lt;66,0,IF((C772+D772)/2&gt;=80,5,IF((C772+D772)/2&gt;=70,4,IF((C772+D772)/2&gt;=60,3.5,IF((C772+D772)/2&gt;=50,3,IF((C772+D772)/2&gt;=40,2,IF((C772+D772)/2&gt;=33,1,0)))))))</f>
        <v/>
      </c>
      <c r="AD772">
        <f>IF(E772+F772&lt;66,0,IF((E772+F772)/2&gt;=80,5,IF((E772+F772)/2&gt;=70,4,IF((E772+F772)/2&gt;=60,3.5,IF((E772+F772)/2&gt;=50,3,IF((E772+F772)/2&gt;=40,2,IF((E772+F772)/2&gt;=33,1,0)))))))</f>
        <v/>
      </c>
      <c r="AE772">
        <f>IF(G772&lt;33,0,IF(G772&gt;=80,5,IF(G772&gt;=70,4,IF(G772&gt;=60,3.5,IF(G772&gt;=50,3,IF(G772&gt;=40,2,IF(G772&gt;=33,1,0)))))))</f>
        <v/>
      </c>
      <c r="AF772">
        <f>IF(H772+I772&lt;66,0,IF((H772+I772)/2&gt;=80,5,IF((H772+I772)/2&gt;=70,4,IF((H772+I772)/2&gt;=60,3.5,IF((H772+I772)/2&gt;=50,3,IF((H772+I772)/2&gt;=40,2,IF((H772+I772)/2&gt;=33,1,0)))))))</f>
        <v/>
      </c>
      <c r="AG772">
        <f>IF(Y772,0,IF((J772+K772+L772+M772)/2&gt;=80,5,IF((J772+K772+L772+M772)/2&gt;=70,4,IF((J772+K772+L772+M772)/2&gt;=60,3.5,IF((J772+K772+L772+M772)/2&gt;=50,3,IF((J772+K772+L772+M772)/2&gt;=40,2,IF((J772+K772+L772+M772)/2&gt;=33,1,0)))))))</f>
        <v/>
      </c>
      <c r="AH772">
        <f>IF(Z772,0,IF(N772+O772&gt;=80,5,IF(N772+O772&gt;=70,4,IF(N772+O772&gt;=60,3.5,IF(N772+O772&gt;=50,3,IF(N772+O772&gt;=40,2,IF(N772+O772&gt;=33,1,0)))))))</f>
        <v/>
      </c>
      <c r="AI772">
        <f>IF(AA772,0,IF(P772+Q772&gt;=80,5,IF(P772+Q772&gt;=70,4,IF(P772+Q772&gt;=60,3.5,IF(P772+Q772&gt;=50,3,IF(P772+Q772&gt;=40,2,IF(P772+Q772&gt;=33,1,0)))))))</f>
        <v/>
      </c>
      <c r="AJ772">
        <f>IF(R772&lt;8.25,0,IF(R772*2&gt;=80,5,IF(R772*2&gt;=70,4,IF(R772*2&gt;=60,3.5,IF(R772*2&gt;=50,3,IF(R772*2&gt;=40,2,IF(R772*2&gt;=33,1,0)))))))</f>
        <v/>
      </c>
      <c r="AK772">
        <f>IF(S772&lt;33,0,IF(S772&gt;=80,5,IF(S772&gt;=70,4,IF(S772&gt;=60,3.5,IF(S772&gt;=50,3,IF(S772&gt;=40,2,IF(S772&gt;=33,1,0)))))))</f>
        <v/>
      </c>
      <c r="AL772">
        <f>(AC772+AD772+AE772+AF772+AG772+AH772+AI772+AJ772)/8</f>
        <v/>
      </c>
      <c r="AM772">
        <f>IF(AK772&gt;=2,(AK772-2)/8,0)</f>
        <v/>
      </c>
    </row>
    <row r="773">
      <c r="T773">
        <f>SUM(C773:R773)</f>
        <v/>
      </c>
      <c r="U773" s="6">
        <f>ROUND(T773/11.5,2)</f>
        <v/>
      </c>
      <c r="V773" s="7">
        <f>IF(B773="","",IF(AB773,0,ROUND(AL773,2)))</f>
        <v/>
      </c>
      <c r="W773" s="7">
        <f>IF(B773="","",IF(AB773,0,MIN(5,ROUND(AL773+AM773,2))))</f>
        <v/>
      </c>
      <c r="X773" s="8">
        <f>IF(B773="","",IF(W773&gt;=5,"A+",IF(W773&gt;=4,"A",IF(W773&gt;=3.5,"A-",IF(W773&gt;=3,"B",IF(W773&gt;=2,"C",IF(W773&gt;=1,"D","F")))))))</f>
        <v/>
      </c>
      <c r="Y773">
        <f>NOT(OR(AND(J773&gt;=10,K773&gt;=23,L773&gt;=10,M773&gt;=23),AND(J773+L773&gt;=20,K773+M773&gt;=46)))</f>
        <v/>
      </c>
      <c r="Z773">
        <f>OR(N773&lt;10,O773&lt;23)</f>
        <v/>
      </c>
      <c r="AA773">
        <f>OR(P773&lt;10,Q773&lt;23)</f>
        <v/>
      </c>
      <c r="AB773">
        <f>OR((C773+D773)&lt;66,(E773+F773)&lt;66,G773&lt;33,(H773+I773)&lt;66,Y773,Z773,AA773,R773&lt;8.25)</f>
        <v/>
      </c>
      <c r="AC773">
        <f>IF(C773+D773&lt;66,0,IF((C773+D773)/2&gt;=80,5,IF((C773+D773)/2&gt;=70,4,IF((C773+D773)/2&gt;=60,3.5,IF((C773+D773)/2&gt;=50,3,IF((C773+D773)/2&gt;=40,2,IF((C773+D773)/2&gt;=33,1,0)))))))</f>
        <v/>
      </c>
      <c r="AD773">
        <f>IF(E773+F773&lt;66,0,IF((E773+F773)/2&gt;=80,5,IF((E773+F773)/2&gt;=70,4,IF((E773+F773)/2&gt;=60,3.5,IF((E773+F773)/2&gt;=50,3,IF((E773+F773)/2&gt;=40,2,IF((E773+F773)/2&gt;=33,1,0)))))))</f>
        <v/>
      </c>
      <c r="AE773">
        <f>IF(G773&lt;33,0,IF(G773&gt;=80,5,IF(G773&gt;=70,4,IF(G773&gt;=60,3.5,IF(G773&gt;=50,3,IF(G773&gt;=40,2,IF(G773&gt;=33,1,0)))))))</f>
        <v/>
      </c>
      <c r="AF773">
        <f>IF(H773+I773&lt;66,0,IF((H773+I773)/2&gt;=80,5,IF((H773+I773)/2&gt;=70,4,IF((H773+I773)/2&gt;=60,3.5,IF((H773+I773)/2&gt;=50,3,IF((H773+I773)/2&gt;=40,2,IF((H773+I773)/2&gt;=33,1,0)))))))</f>
        <v/>
      </c>
      <c r="AG773">
        <f>IF(Y773,0,IF((J773+K773+L773+M773)/2&gt;=80,5,IF((J773+K773+L773+M773)/2&gt;=70,4,IF((J773+K773+L773+M773)/2&gt;=60,3.5,IF((J773+K773+L773+M773)/2&gt;=50,3,IF((J773+K773+L773+M773)/2&gt;=40,2,IF((J773+K773+L773+M773)/2&gt;=33,1,0)))))))</f>
        <v/>
      </c>
      <c r="AH773">
        <f>IF(Z773,0,IF(N773+O773&gt;=80,5,IF(N773+O773&gt;=70,4,IF(N773+O773&gt;=60,3.5,IF(N773+O773&gt;=50,3,IF(N773+O773&gt;=40,2,IF(N773+O773&gt;=33,1,0)))))))</f>
        <v/>
      </c>
      <c r="AI773">
        <f>IF(AA773,0,IF(P773+Q773&gt;=80,5,IF(P773+Q773&gt;=70,4,IF(P773+Q773&gt;=60,3.5,IF(P773+Q773&gt;=50,3,IF(P773+Q773&gt;=40,2,IF(P773+Q773&gt;=33,1,0)))))))</f>
        <v/>
      </c>
      <c r="AJ773">
        <f>IF(R773&lt;8.25,0,IF(R773*2&gt;=80,5,IF(R773*2&gt;=70,4,IF(R773*2&gt;=60,3.5,IF(R773*2&gt;=50,3,IF(R773*2&gt;=40,2,IF(R773*2&gt;=33,1,0)))))))</f>
        <v/>
      </c>
      <c r="AK773">
        <f>IF(S773&lt;33,0,IF(S773&gt;=80,5,IF(S773&gt;=70,4,IF(S773&gt;=60,3.5,IF(S773&gt;=50,3,IF(S773&gt;=40,2,IF(S773&gt;=33,1,0)))))))</f>
        <v/>
      </c>
      <c r="AL773">
        <f>(AC773+AD773+AE773+AF773+AG773+AH773+AI773+AJ773)/8</f>
        <v/>
      </c>
      <c r="AM773">
        <f>IF(AK773&gt;=2,(AK773-2)/8,0)</f>
        <v/>
      </c>
    </row>
    <row r="774">
      <c r="T774">
        <f>SUM(C774:R774)</f>
        <v/>
      </c>
      <c r="U774" s="6">
        <f>ROUND(T774/11.5,2)</f>
        <v/>
      </c>
      <c r="V774" s="7">
        <f>IF(B774="","",IF(AB774,0,ROUND(AL774,2)))</f>
        <v/>
      </c>
      <c r="W774" s="7">
        <f>IF(B774="","",IF(AB774,0,MIN(5,ROUND(AL774+AM774,2))))</f>
        <v/>
      </c>
      <c r="X774" s="8">
        <f>IF(B774="","",IF(W774&gt;=5,"A+",IF(W774&gt;=4,"A",IF(W774&gt;=3.5,"A-",IF(W774&gt;=3,"B",IF(W774&gt;=2,"C",IF(W774&gt;=1,"D","F")))))))</f>
        <v/>
      </c>
      <c r="Y774">
        <f>NOT(OR(AND(J774&gt;=10,K774&gt;=23,L774&gt;=10,M774&gt;=23),AND(J774+L774&gt;=20,K774+M774&gt;=46)))</f>
        <v/>
      </c>
      <c r="Z774">
        <f>OR(N774&lt;10,O774&lt;23)</f>
        <v/>
      </c>
      <c r="AA774">
        <f>OR(P774&lt;10,Q774&lt;23)</f>
        <v/>
      </c>
      <c r="AB774">
        <f>OR((C774+D774)&lt;66,(E774+F774)&lt;66,G774&lt;33,(H774+I774)&lt;66,Y774,Z774,AA774,R774&lt;8.25)</f>
        <v/>
      </c>
      <c r="AC774">
        <f>IF(C774+D774&lt;66,0,IF((C774+D774)/2&gt;=80,5,IF((C774+D774)/2&gt;=70,4,IF((C774+D774)/2&gt;=60,3.5,IF((C774+D774)/2&gt;=50,3,IF((C774+D774)/2&gt;=40,2,IF((C774+D774)/2&gt;=33,1,0)))))))</f>
        <v/>
      </c>
      <c r="AD774">
        <f>IF(E774+F774&lt;66,0,IF((E774+F774)/2&gt;=80,5,IF((E774+F774)/2&gt;=70,4,IF((E774+F774)/2&gt;=60,3.5,IF((E774+F774)/2&gt;=50,3,IF((E774+F774)/2&gt;=40,2,IF((E774+F774)/2&gt;=33,1,0)))))))</f>
        <v/>
      </c>
      <c r="AE774">
        <f>IF(G774&lt;33,0,IF(G774&gt;=80,5,IF(G774&gt;=70,4,IF(G774&gt;=60,3.5,IF(G774&gt;=50,3,IF(G774&gt;=40,2,IF(G774&gt;=33,1,0)))))))</f>
        <v/>
      </c>
      <c r="AF774">
        <f>IF(H774+I774&lt;66,0,IF((H774+I774)/2&gt;=80,5,IF((H774+I774)/2&gt;=70,4,IF((H774+I774)/2&gt;=60,3.5,IF((H774+I774)/2&gt;=50,3,IF((H774+I774)/2&gt;=40,2,IF((H774+I774)/2&gt;=33,1,0)))))))</f>
        <v/>
      </c>
      <c r="AG774">
        <f>IF(Y774,0,IF((J774+K774+L774+M774)/2&gt;=80,5,IF((J774+K774+L774+M774)/2&gt;=70,4,IF((J774+K774+L774+M774)/2&gt;=60,3.5,IF((J774+K774+L774+M774)/2&gt;=50,3,IF((J774+K774+L774+M774)/2&gt;=40,2,IF((J774+K774+L774+M774)/2&gt;=33,1,0)))))))</f>
        <v/>
      </c>
      <c r="AH774">
        <f>IF(Z774,0,IF(N774+O774&gt;=80,5,IF(N774+O774&gt;=70,4,IF(N774+O774&gt;=60,3.5,IF(N774+O774&gt;=50,3,IF(N774+O774&gt;=40,2,IF(N774+O774&gt;=33,1,0)))))))</f>
        <v/>
      </c>
      <c r="AI774">
        <f>IF(AA774,0,IF(P774+Q774&gt;=80,5,IF(P774+Q774&gt;=70,4,IF(P774+Q774&gt;=60,3.5,IF(P774+Q774&gt;=50,3,IF(P774+Q774&gt;=40,2,IF(P774+Q774&gt;=33,1,0)))))))</f>
        <v/>
      </c>
      <c r="AJ774">
        <f>IF(R774&lt;8.25,0,IF(R774*2&gt;=80,5,IF(R774*2&gt;=70,4,IF(R774*2&gt;=60,3.5,IF(R774*2&gt;=50,3,IF(R774*2&gt;=40,2,IF(R774*2&gt;=33,1,0)))))))</f>
        <v/>
      </c>
      <c r="AK774">
        <f>IF(S774&lt;33,0,IF(S774&gt;=80,5,IF(S774&gt;=70,4,IF(S774&gt;=60,3.5,IF(S774&gt;=50,3,IF(S774&gt;=40,2,IF(S774&gt;=33,1,0)))))))</f>
        <v/>
      </c>
      <c r="AL774">
        <f>(AC774+AD774+AE774+AF774+AG774+AH774+AI774+AJ774)/8</f>
        <v/>
      </c>
      <c r="AM774">
        <f>IF(AK774&gt;=2,(AK774-2)/8,0)</f>
        <v/>
      </c>
    </row>
    <row r="775">
      <c r="T775">
        <f>SUM(C775:R775)</f>
        <v/>
      </c>
      <c r="U775" s="6">
        <f>ROUND(T775/11.5,2)</f>
        <v/>
      </c>
      <c r="V775" s="7">
        <f>IF(B775="","",IF(AB775,0,ROUND(AL775,2)))</f>
        <v/>
      </c>
      <c r="W775" s="7">
        <f>IF(B775="","",IF(AB775,0,MIN(5,ROUND(AL775+AM775,2))))</f>
        <v/>
      </c>
      <c r="X775" s="8">
        <f>IF(B775="","",IF(W775&gt;=5,"A+",IF(W775&gt;=4,"A",IF(W775&gt;=3.5,"A-",IF(W775&gt;=3,"B",IF(W775&gt;=2,"C",IF(W775&gt;=1,"D","F")))))))</f>
        <v/>
      </c>
      <c r="Y775">
        <f>NOT(OR(AND(J775&gt;=10,K775&gt;=23,L775&gt;=10,M775&gt;=23),AND(J775+L775&gt;=20,K775+M775&gt;=46)))</f>
        <v/>
      </c>
      <c r="Z775">
        <f>OR(N775&lt;10,O775&lt;23)</f>
        <v/>
      </c>
      <c r="AA775">
        <f>OR(P775&lt;10,Q775&lt;23)</f>
        <v/>
      </c>
      <c r="AB775">
        <f>OR((C775+D775)&lt;66,(E775+F775)&lt;66,G775&lt;33,(H775+I775)&lt;66,Y775,Z775,AA775,R775&lt;8.25)</f>
        <v/>
      </c>
      <c r="AC775">
        <f>IF(C775+D775&lt;66,0,IF((C775+D775)/2&gt;=80,5,IF((C775+D775)/2&gt;=70,4,IF((C775+D775)/2&gt;=60,3.5,IF((C775+D775)/2&gt;=50,3,IF((C775+D775)/2&gt;=40,2,IF((C775+D775)/2&gt;=33,1,0)))))))</f>
        <v/>
      </c>
      <c r="AD775">
        <f>IF(E775+F775&lt;66,0,IF((E775+F775)/2&gt;=80,5,IF((E775+F775)/2&gt;=70,4,IF((E775+F775)/2&gt;=60,3.5,IF((E775+F775)/2&gt;=50,3,IF((E775+F775)/2&gt;=40,2,IF((E775+F775)/2&gt;=33,1,0)))))))</f>
        <v/>
      </c>
      <c r="AE775">
        <f>IF(G775&lt;33,0,IF(G775&gt;=80,5,IF(G775&gt;=70,4,IF(G775&gt;=60,3.5,IF(G775&gt;=50,3,IF(G775&gt;=40,2,IF(G775&gt;=33,1,0)))))))</f>
        <v/>
      </c>
      <c r="AF775">
        <f>IF(H775+I775&lt;66,0,IF((H775+I775)/2&gt;=80,5,IF((H775+I775)/2&gt;=70,4,IF((H775+I775)/2&gt;=60,3.5,IF((H775+I775)/2&gt;=50,3,IF((H775+I775)/2&gt;=40,2,IF((H775+I775)/2&gt;=33,1,0)))))))</f>
        <v/>
      </c>
      <c r="AG775">
        <f>IF(Y775,0,IF((J775+K775+L775+M775)/2&gt;=80,5,IF((J775+K775+L775+M775)/2&gt;=70,4,IF((J775+K775+L775+M775)/2&gt;=60,3.5,IF((J775+K775+L775+M775)/2&gt;=50,3,IF((J775+K775+L775+M775)/2&gt;=40,2,IF((J775+K775+L775+M775)/2&gt;=33,1,0)))))))</f>
        <v/>
      </c>
      <c r="AH775">
        <f>IF(Z775,0,IF(N775+O775&gt;=80,5,IF(N775+O775&gt;=70,4,IF(N775+O775&gt;=60,3.5,IF(N775+O775&gt;=50,3,IF(N775+O775&gt;=40,2,IF(N775+O775&gt;=33,1,0)))))))</f>
        <v/>
      </c>
      <c r="AI775">
        <f>IF(AA775,0,IF(P775+Q775&gt;=80,5,IF(P775+Q775&gt;=70,4,IF(P775+Q775&gt;=60,3.5,IF(P775+Q775&gt;=50,3,IF(P775+Q775&gt;=40,2,IF(P775+Q775&gt;=33,1,0)))))))</f>
        <v/>
      </c>
      <c r="AJ775">
        <f>IF(R775&lt;8.25,0,IF(R775*2&gt;=80,5,IF(R775*2&gt;=70,4,IF(R775*2&gt;=60,3.5,IF(R775*2&gt;=50,3,IF(R775*2&gt;=40,2,IF(R775*2&gt;=33,1,0)))))))</f>
        <v/>
      </c>
      <c r="AK775">
        <f>IF(S775&lt;33,0,IF(S775&gt;=80,5,IF(S775&gt;=70,4,IF(S775&gt;=60,3.5,IF(S775&gt;=50,3,IF(S775&gt;=40,2,IF(S775&gt;=33,1,0)))))))</f>
        <v/>
      </c>
      <c r="AL775">
        <f>(AC775+AD775+AE775+AF775+AG775+AH775+AI775+AJ775)/8</f>
        <v/>
      </c>
      <c r="AM775">
        <f>IF(AK775&gt;=2,(AK775-2)/8,0)</f>
        <v/>
      </c>
    </row>
    <row r="776">
      <c r="T776">
        <f>SUM(C776:R776)</f>
        <v/>
      </c>
      <c r="U776" s="6">
        <f>ROUND(T776/11.5,2)</f>
        <v/>
      </c>
      <c r="V776" s="7">
        <f>IF(B776="","",IF(AB776,0,ROUND(AL776,2)))</f>
        <v/>
      </c>
      <c r="W776" s="7">
        <f>IF(B776="","",IF(AB776,0,MIN(5,ROUND(AL776+AM776,2))))</f>
        <v/>
      </c>
      <c r="X776" s="8">
        <f>IF(B776="","",IF(W776&gt;=5,"A+",IF(W776&gt;=4,"A",IF(W776&gt;=3.5,"A-",IF(W776&gt;=3,"B",IF(W776&gt;=2,"C",IF(W776&gt;=1,"D","F")))))))</f>
        <v/>
      </c>
      <c r="Y776">
        <f>NOT(OR(AND(J776&gt;=10,K776&gt;=23,L776&gt;=10,M776&gt;=23),AND(J776+L776&gt;=20,K776+M776&gt;=46)))</f>
        <v/>
      </c>
      <c r="Z776">
        <f>OR(N776&lt;10,O776&lt;23)</f>
        <v/>
      </c>
      <c r="AA776">
        <f>OR(P776&lt;10,Q776&lt;23)</f>
        <v/>
      </c>
      <c r="AB776">
        <f>OR((C776+D776)&lt;66,(E776+F776)&lt;66,G776&lt;33,(H776+I776)&lt;66,Y776,Z776,AA776,R776&lt;8.25)</f>
        <v/>
      </c>
      <c r="AC776">
        <f>IF(C776+D776&lt;66,0,IF((C776+D776)/2&gt;=80,5,IF((C776+D776)/2&gt;=70,4,IF((C776+D776)/2&gt;=60,3.5,IF((C776+D776)/2&gt;=50,3,IF((C776+D776)/2&gt;=40,2,IF((C776+D776)/2&gt;=33,1,0)))))))</f>
        <v/>
      </c>
      <c r="AD776">
        <f>IF(E776+F776&lt;66,0,IF((E776+F776)/2&gt;=80,5,IF((E776+F776)/2&gt;=70,4,IF((E776+F776)/2&gt;=60,3.5,IF((E776+F776)/2&gt;=50,3,IF((E776+F776)/2&gt;=40,2,IF((E776+F776)/2&gt;=33,1,0)))))))</f>
        <v/>
      </c>
      <c r="AE776">
        <f>IF(G776&lt;33,0,IF(G776&gt;=80,5,IF(G776&gt;=70,4,IF(G776&gt;=60,3.5,IF(G776&gt;=50,3,IF(G776&gt;=40,2,IF(G776&gt;=33,1,0)))))))</f>
        <v/>
      </c>
      <c r="AF776">
        <f>IF(H776+I776&lt;66,0,IF((H776+I776)/2&gt;=80,5,IF((H776+I776)/2&gt;=70,4,IF((H776+I776)/2&gt;=60,3.5,IF((H776+I776)/2&gt;=50,3,IF((H776+I776)/2&gt;=40,2,IF((H776+I776)/2&gt;=33,1,0)))))))</f>
        <v/>
      </c>
      <c r="AG776">
        <f>IF(Y776,0,IF((J776+K776+L776+M776)/2&gt;=80,5,IF((J776+K776+L776+M776)/2&gt;=70,4,IF((J776+K776+L776+M776)/2&gt;=60,3.5,IF((J776+K776+L776+M776)/2&gt;=50,3,IF((J776+K776+L776+M776)/2&gt;=40,2,IF((J776+K776+L776+M776)/2&gt;=33,1,0)))))))</f>
        <v/>
      </c>
      <c r="AH776">
        <f>IF(Z776,0,IF(N776+O776&gt;=80,5,IF(N776+O776&gt;=70,4,IF(N776+O776&gt;=60,3.5,IF(N776+O776&gt;=50,3,IF(N776+O776&gt;=40,2,IF(N776+O776&gt;=33,1,0)))))))</f>
        <v/>
      </c>
      <c r="AI776">
        <f>IF(AA776,0,IF(P776+Q776&gt;=80,5,IF(P776+Q776&gt;=70,4,IF(P776+Q776&gt;=60,3.5,IF(P776+Q776&gt;=50,3,IF(P776+Q776&gt;=40,2,IF(P776+Q776&gt;=33,1,0)))))))</f>
        <v/>
      </c>
      <c r="AJ776">
        <f>IF(R776&lt;8.25,0,IF(R776*2&gt;=80,5,IF(R776*2&gt;=70,4,IF(R776*2&gt;=60,3.5,IF(R776*2&gt;=50,3,IF(R776*2&gt;=40,2,IF(R776*2&gt;=33,1,0)))))))</f>
        <v/>
      </c>
      <c r="AK776">
        <f>IF(S776&lt;33,0,IF(S776&gt;=80,5,IF(S776&gt;=70,4,IF(S776&gt;=60,3.5,IF(S776&gt;=50,3,IF(S776&gt;=40,2,IF(S776&gt;=33,1,0)))))))</f>
        <v/>
      </c>
      <c r="AL776">
        <f>(AC776+AD776+AE776+AF776+AG776+AH776+AI776+AJ776)/8</f>
        <v/>
      </c>
      <c r="AM776">
        <f>IF(AK776&gt;=2,(AK776-2)/8,0)</f>
        <v/>
      </c>
    </row>
    <row r="777">
      <c r="T777">
        <f>SUM(C777:R777)</f>
        <v/>
      </c>
      <c r="U777" s="6">
        <f>ROUND(T777/11.5,2)</f>
        <v/>
      </c>
      <c r="V777" s="7">
        <f>IF(B777="","",IF(AB777,0,ROUND(AL777,2)))</f>
        <v/>
      </c>
      <c r="W777" s="7">
        <f>IF(B777="","",IF(AB777,0,MIN(5,ROUND(AL777+AM777,2))))</f>
        <v/>
      </c>
      <c r="X777" s="8">
        <f>IF(B777="","",IF(W777&gt;=5,"A+",IF(W777&gt;=4,"A",IF(W777&gt;=3.5,"A-",IF(W777&gt;=3,"B",IF(W777&gt;=2,"C",IF(W777&gt;=1,"D","F")))))))</f>
        <v/>
      </c>
      <c r="Y777">
        <f>NOT(OR(AND(J777&gt;=10,K777&gt;=23,L777&gt;=10,M777&gt;=23),AND(J777+L777&gt;=20,K777+M777&gt;=46)))</f>
        <v/>
      </c>
      <c r="Z777">
        <f>OR(N777&lt;10,O777&lt;23)</f>
        <v/>
      </c>
      <c r="AA777">
        <f>OR(P777&lt;10,Q777&lt;23)</f>
        <v/>
      </c>
      <c r="AB777">
        <f>OR((C777+D777)&lt;66,(E777+F777)&lt;66,G777&lt;33,(H777+I777)&lt;66,Y777,Z777,AA777,R777&lt;8.25)</f>
        <v/>
      </c>
      <c r="AC777">
        <f>IF(C777+D777&lt;66,0,IF((C777+D777)/2&gt;=80,5,IF((C777+D777)/2&gt;=70,4,IF((C777+D777)/2&gt;=60,3.5,IF((C777+D777)/2&gt;=50,3,IF((C777+D777)/2&gt;=40,2,IF((C777+D777)/2&gt;=33,1,0)))))))</f>
        <v/>
      </c>
      <c r="AD777">
        <f>IF(E777+F777&lt;66,0,IF((E777+F777)/2&gt;=80,5,IF((E777+F777)/2&gt;=70,4,IF((E777+F777)/2&gt;=60,3.5,IF((E777+F777)/2&gt;=50,3,IF((E777+F777)/2&gt;=40,2,IF((E777+F777)/2&gt;=33,1,0)))))))</f>
        <v/>
      </c>
      <c r="AE777">
        <f>IF(G777&lt;33,0,IF(G777&gt;=80,5,IF(G777&gt;=70,4,IF(G777&gt;=60,3.5,IF(G777&gt;=50,3,IF(G777&gt;=40,2,IF(G777&gt;=33,1,0)))))))</f>
        <v/>
      </c>
      <c r="AF777">
        <f>IF(H777+I777&lt;66,0,IF((H777+I777)/2&gt;=80,5,IF((H777+I777)/2&gt;=70,4,IF((H777+I777)/2&gt;=60,3.5,IF((H777+I777)/2&gt;=50,3,IF((H777+I777)/2&gt;=40,2,IF((H777+I777)/2&gt;=33,1,0)))))))</f>
        <v/>
      </c>
      <c r="AG777">
        <f>IF(Y777,0,IF((J777+K777+L777+M777)/2&gt;=80,5,IF((J777+K777+L777+M777)/2&gt;=70,4,IF((J777+K777+L777+M777)/2&gt;=60,3.5,IF((J777+K777+L777+M777)/2&gt;=50,3,IF((J777+K777+L777+M777)/2&gt;=40,2,IF((J777+K777+L777+M777)/2&gt;=33,1,0)))))))</f>
        <v/>
      </c>
      <c r="AH777">
        <f>IF(Z777,0,IF(N777+O777&gt;=80,5,IF(N777+O777&gt;=70,4,IF(N777+O777&gt;=60,3.5,IF(N777+O777&gt;=50,3,IF(N777+O777&gt;=40,2,IF(N777+O777&gt;=33,1,0)))))))</f>
        <v/>
      </c>
      <c r="AI777">
        <f>IF(AA777,0,IF(P777+Q777&gt;=80,5,IF(P777+Q777&gt;=70,4,IF(P777+Q777&gt;=60,3.5,IF(P777+Q777&gt;=50,3,IF(P777+Q777&gt;=40,2,IF(P777+Q777&gt;=33,1,0)))))))</f>
        <v/>
      </c>
      <c r="AJ777">
        <f>IF(R777&lt;8.25,0,IF(R777*2&gt;=80,5,IF(R777*2&gt;=70,4,IF(R777*2&gt;=60,3.5,IF(R777*2&gt;=50,3,IF(R777*2&gt;=40,2,IF(R777*2&gt;=33,1,0)))))))</f>
        <v/>
      </c>
      <c r="AK777">
        <f>IF(S777&lt;33,0,IF(S777&gt;=80,5,IF(S777&gt;=70,4,IF(S777&gt;=60,3.5,IF(S777&gt;=50,3,IF(S777&gt;=40,2,IF(S777&gt;=33,1,0)))))))</f>
        <v/>
      </c>
      <c r="AL777">
        <f>(AC777+AD777+AE777+AF777+AG777+AH777+AI777+AJ777)/8</f>
        <v/>
      </c>
      <c r="AM777">
        <f>IF(AK777&gt;=2,(AK777-2)/8,0)</f>
        <v/>
      </c>
    </row>
    <row r="778">
      <c r="T778">
        <f>SUM(C778:R778)</f>
        <v/>
      </c>
      <c r="U778" s="6">
        <f>ROUND(T778/11.5,2)</f>
        <v/>
      </c>
      <c r="V778" s="7">
        <f>IF(B778="","",IF(AB778,0,ROUND(AL778,2)))</f>
        <v/>
      </c>
      <c r="W778" s="7">
        <f>IF(B778="","",IF(AB778,0,MIN(5,ROUND(AL778+AM778,2))))</f>
        <v/>
      </c>
      <c r="X778" s="8">
        <f>IF(B778="","",IF(W778&gt;=5,"A+",IF(W778&gt;=4,"A",IF(W778&gt;=3.5,"A-",IF(W778&gt;=3,"B",IF(W778&gt;=2,"C",IF(W778&gt;=1,"D","F")))))))</f>
        <v/>
      </c>
      <c r="Y778">
        <f>NOT(OR(AND(J778&gt;=10,K778&gt;=23,L778&gt;=10,M778&gt;=23),AND(J778+L778&gt;=20,K778+M778&gt;=46)))</f>
        <v/>
      </c>
      <c r="Z778">
        <f>OR(N778&lt;10,O778&lt;23)</f>
        <v/>
      </c>
      <c r="AA778">
        <f>OR(P778&lt;10,Q778&lt;23)</f>
        <v/>
      </c>
      <c r="AB778">
        <f>OR((C778+D778)&lt;66,(E778+F778)&lt;66,G778&lt;33,(H778+I778)&lt;66,Y778,Z778,AA778,R778&lt;8.25)</f>
        <v/>
      </c>
      <c r="AC778">
        <f>IF(C778+D778&lt;66,0,IF((C778+D778)/2&gt;=80,5,IF((C778+D778)/2&gt;=70,4,IF((C778+D778)/2&gt;=60,3.5,IF((C778+D778)/2&gt;=50,3,IF((C778+D778)/2&gt;=40,2,IF((C778+D778)/2&gt;=33,1,0)))))))</f>
        <v/>
      </c>
      <c r="AD778">
        <f>IF(E778+F778&lt;66,0,IF((E778+F778)/2&gt;=80,5,IF((E778+F778)/2&gt;=70,4,IF((E778+F778)/2&gt;=60,3.5,IF((E778+F778)/2&gt;=50,3,IF((E778+F778)/2&gt;=40,2,IF((E778+F778)/2&gt;=33,1,0)))))))</f>
        <v/>
      </c>
      <c r="AE778">
        <f>IF(G778&lt;33,0,IF(G778&gt;=80,5,IF(G778&gt;=70,4,IF(G778&gt;=60,3.5,IF(G778&gt;=50,3,IF(G778&gt;=40,2,IF(G778&gt;=33,1,0)))))))</f>
        <v/>
      </c>
      <c r="AF778">
        <f>IF(H778+I778&lt;66,0,IF((H778+I778)/2&gt;=80,5,IF((H778+I778)/2&gt;=70,4,IF((H778+I778)/2&gt;=60,3.5,IF((H778+I778)/2&gt;=50,3,IF((H778+I778)/2&gt;=40,2,IF((H778+I778)/2&gt;=33,1,0)))))))</f>
        <v/>
      </c>
      <c r="AG778">
        <f>IF(Y778,0,IF((J778+K778+L778+M778)/2&gt;=80,5,IF((J778+K778+L778+M778)/2&gt;=70,4,IF((J778+K778+L778+M778)/2&gt;=60,3.5,IF((J778+K778+L778+M778)/2&gt;=50,3,IF((J778+K778+L778+M778)/2&gt;=40,2,IF((J778+K778+L778+M778)/2&gt;=33,1,0)))))))</f>
        <v/>
      </c>
      <c r="AH778">
        <f>IF(Z778,0,IF(N778+O778&gt;=80,5,IF(N778+O778&gt;=70,4,IF(N778+O778&gt;=60,3.5,IF(N778+O778&gt;=50,3,IF(N778+O778&gt;=40,2,IF(N778+O778&gt;=33,1,0)))))))</f>
        <v/>
      </c>
      <c r="AI778">
        <f>IF(AA778,0,IF(P778+Q778&gt;=80,5,IF(P778+Q778&gt;=70,4,IF(P778+Q778&gt;=60,3.5,IF(P778+Q778&gt;=50,3,IF(P778+Q778&gt;=40,2,IF(P778+Q778&gt;=33,1,0)))))))</f>
        <v/>
      </c>
      <c r="AJ778">
        <f>IF(R778&lt;8.25,0,IF(R778*2&gt;=80,5,IF(R778*2&gt;=70,4,IF(R778*2&gt;=60,3.5,IF(R778*2&gt;=50,3,IF(R778*2&gt;=40,2,IF(R778*2&gt;=33,1,0)))))))</f>
        <v/>
      </c>
      <c r="AK778">
        <f>IF(S778&lt;33,0,IF(S778&gt;=80,5,IF(S778&gt;=70,4,IF(S778&gt;=60,3.5,IF(S778&gt;=50,3,IF(S778&gt;=40,2,IF(S778&gt;=33,1,0)))))))</f>
        <v/>
      </c>
      <c r="AL778">
        <f>(AC778+AD778+AE778+AF778+AG778+AH778+AI778+AJ778)/8</f>
        <v/>
      </c>
      <c r="AM778">
        <f>IF(AK778&gt;=2,(AK778-2)/8,0)</f>
        <v/>
      </c>
    </row>
    <row r="779">
      <c r="T779">
        <f>SUM(C779:R779)</f>
        <v/>
      </c>
      <c r="U779" s="6">
        <f>ROUND(T779/11.5,2)</f>
        <v/>
      </c>
      <c r="V779" s="7">
        <f>IF(B779="","",IF(AB779,0,ROUND(AL779,2)))</f>
        <v/>
      </c>
      <c r="W779" s="7">
        <f>IF(B779="","",IF(AB779,0,MIN(5,ROUND(AL779+AM779,2))))</f>
        <v/>
      </c>
      <c r="X779" s="8">
        <f>IF(B779="","",IF(W779&gt;=5,"A+",IF(W779&gt;=4,"A",IF(W779&gt;=3.5,"A-",IF(W779&gt;=3,"B",IF(W779&gt;=2,"C",IF(W779&gt;=1,"D","F")))))))</f>
        <v/>
      </c>
      <c r="Y779">
        <f>NOT(OR(AND(J779&gt;=10,K779&gt;=23,L779&gt;=10,M779&gt;=23),AND(J779+L779&gt;=20,K779+M779&gt;=46)))</f>
        <v/>
      </c>
      <c r="Z779">
        <f>OR(N779&lt;10,O779&lt;23)</f>
        <v/>
      </c>
      <c r="AA779">
        <f>OR(P779&lt;10,Q779&lt;23)</f>
        <v/>
      </c>
      <c r="AB779">
        <f>OR((C779+D779)&lt;66,(E779+F779)&lt;66,G779&lt;33,(H779+I779)&lt;66,Y779,Z779,AA779,R779&lt;8.25)</f>
        <v/>
      </c>
      <c r="AC779">
        <f>IF(C779+D779&lt;66,0,IF((C779+D779)/2&gt;=80,5,IF((C779+D779)/2&gt;=70,4,IF((C779+D779)/2&gt;=60,3.5,IF((C779+D779)/2&gt;=50,3,IF((C779+D779)/2&gt;=40,2,IF((C779+D779)/2&gt;=33,1,0)))))))</f>
        <v/>
      </c>
      <c r="AD779">
        <f>IF(E779+F779&lt;66,0,IF((E779+F779)/2&gt;=80,5,IF((E779+F779)/2&gt;=70,4,IF((E779+F779)/2&gt;=60,3.5,IF((E779+F779)/2&gt;=50,3,IF((E779+F779)/2&gt;=40,2,IF((E779+F779)/2&gt;=33,1,0)))))))</f>
        <v/>
      </c>
      <c r="AE779">
        <f>IF(G779&lt;33,0,IF(G779&gt;=80,5,IF(G779&gt;=70,4,IF(G779&gt;=60,3.5,IF(G779&gt;=50,3,IF(G779&gt;=40,2,IF(G779&gt;=33,1,0)))))))</f>
        <v/>
      </c>
      <c r="AF779">
        <f>IF(H779+I779&lt;66,0,IF((H779+I779)/2&gt;=80,5,IF((H779+I779)/2&gt;=70,4,IF((H779+I779)/2&gt;=60,3.5,IF((H779+I779)/2&gt;=50,3,IF((H779+I779)/2&gt;=40,2,IF((H779+I779)/2&gt;=33,1,0)))))))</f>
        <v/>
      </c>
      <c r="AG779">
        <f>IF(Y779,0,IF((J779+K779+L779+M779)/2&gt;=80,5,IF((J779+K779+L779+M779)/2&gt;=70,4,IF((J779+K779+L779+M779)/2&gt;=60,3.5,IF((J779+K779+L779+M779)/2&gt;=50,3,IF((J779+K779+L779+M779)/2&gt;=40,2,IF((J779+K779+L779+M779)/2&gt;=33,1,0)))))))</f>
        <v/>
      </c>
      <c r="AH779">
        <f>IF(Z779,0,IF(N779+O779&gt;=80,5,IF(N779+O779&gt;=70,4,IF(N779+O779&gt;=60,3.5,IF(N779+O779&gt;=50,3,IF(N779+O779&gt;=40,2,IF(N779+O779&gt;=33,1,0)))))))</f>
        <v/>
      </c>
      <c r="AI779">
        <f>IF(AA779,0,IF(P779+Q779&gt;=80,5,IF(P779+Q779&gt;=70,4,IF(P779+Q779&gt;=60,3.5,IF(P779+Q779&gt;=50,3,IF(P779+Q779&gt;=40,2,IF(P779+Q779&gt;=33,1,0)))))))</f>
        <v/>
      </c>
      <c r="AJ779">
        <f>IF(R779&lt;8.25,0,IF(R779*2&gt;=80,5,IF(R779*2&gt;=70,4,IF(R779*2&gt;=60,3.5,IF(R779*2&gt;=50,3,IF(R779*2&gt;=40,2,IF(R779*2&gt;=33,1,0)))))))</f>
        <v/>
      </c>
      <c r="AK779">
        <f>IF(S779&lt;33,0,IF(S779&gt;=80,5,IF(S779&gt;=70,4,IF(S779&gt;=60,3.5,IF(S779&gt;=50,3,IF(S779&gt;=40,2,IF(S779&gt;=33,1,0)))))))</f>
        <v/>
      </c>
      <c r="AL779">
        <f>(AC779+AD779+AE779+AF779+AG779+AH779+AI779+AJ779)/8</f>
        <v/>
      </c>
      <c r="AM779">
        <f>IF(AK779&gt;=2,(AK779-2)/8,0)</f>
        <v/>
      </c>
    </row>
    <row r="780">
      <c r="T780">
        <f>SUM(C780:R780)</f>
        <v/>
      </c>
      <c r="U780" s="6">
        <f>ROUND(T780/11.5,2)</f>
        <v/>
      </c>
      <c r="V780" s="7">
        <f>IF(B780="","",IF(AB780,0,ROUND(AL780,2)))</f>
        <v/>
      </c>
      <c r="W780" s="7">
        <f>IF(B780="","",IF(AB780,0,MIN(5,ROUND(AL780+AM780,2))))</f>
        <v/>
      </c>
      <c r="X780" s="8">
        <f>IF(B780="","",IF(W780&gt;=5,"A+",IF(W780&gt;=4,"A",IF(W780&gt;=3.5,"A-",IF(W780&gt;=3,"B",IF(W780&gt;=2,"C",IF(W780&gt;=1,"D","F")))))))</f>
        <v/>
      </c>
      <c r="Y780">
        <f>NOT(OR(AND(J780&gt;=10,K780&gt;=23,L780&gt;=10,M780&gt;=23),AND(J780+L780&gt;=20,K780+M780&gt;=46)))</f>
        <v/>
      </c>
      <c r="Z780">
        <f>OR(N780&lt;10,O780&lt;23)</f>
        <v/>
      </c>
      <c r="AA780">
        <f>OR(P780&lt;10,Q780&lt;23)</f>
        <v/>
      </c>
      <c r="AB780">
        <f>OR((C780+D780)&lt;66,(E780+F780)&lt;66,G780&lt;33,(H780+I780)&lt;66,Y780,Z780,AA780,R780&lt;8.25)</f>
        <v/>
      </c>
      <c r="AC780">
        <f>IF(C780+D780&lt;66,0,IF((C780+D780)/2&gt;=80,5,IF((C780+D780)/2&gt;=70,4,IF((C780+D780)/2&gt;=60,3.5,IF((C780+D780)/2&gt;=50,3,IF((C780+D780)/2&gt;=40,2,IF((C780+D780)/2&gt;=33,1,0)))))))</f>
        <v/>
      </c>
      <c r="AD780">
        <f>IF(E780+F780&lt;66,0,IF((E780+F780)/2&gt;=80,5,IF((E780+F780)/2&gt;=70,4,IF((E780+F780)/2&gt;=60,3.5,IF((E780+F780)/2&gt;=50,3,IF((E780+F780)/2&gt;=40,2,IF((E780+F780)/2&gt;=33,1,0)))))))</f>
        <v/>
      </c>
      <c r="AE780">
        <f>IF(G780&lt;33,0,IF(G780&gt;=80,5,IF(G780&gt;=70,4,IF(G780&gt;=60,3.5,IF(G780&gt;=50,3,IF(G780&gt;=40,2,IF(G780&gt;=33,1,0)))))))</f>
        <v/>
      </c>
      <c r="AF780">
        <f>IF(H780+I780&lt;66,0,IF((H780+I780)/2&gt;=80,5,IF((H780+I780)/2&gt;=70,4,IF((H780+I780)/2&gt;=60,3.5,IF((H780+I780)/2&gt;=50,3,IF((H780+I780)/2&gt;=40,2,IF((H780+I780)/2&gt;=33,1,0)))))))</f>
        <v/>
      </c>
      <c r="AG780">
        <f>IF(Y780,0,IF((J780+K780+L780+M780)/2&gt;=80,5,IF((J780+K780+L780+M780)/2&gt;=70,4,IF((J780+K780+L780+M780)/2&gt;=60,3.5,IF((J780+K780+L780+M780)/2&gt;=50,3,IF((J780+K780+L780+M780)/2&gt;=40,2,IF((J780+K780+L780+M780)/2&gt;=33,1,0)))))))</f>
        <v/>
      </c>
      <c r="AH780">
        <f>IF(Z780,0,IF(N780+O780&gt;=80,5,IF(N780+O780&gt;=70,4,IF(N780+O780&gt;=60,3.5,IF(N780+O780&gt;=50,3,IF(N780+O780&gt;=40,2,IF(N780+O780&gt;=33,1,0)))))))</f>
        <v/>
      </c>
      <c r="AI780">
        <f>IF(AA780,0,IF(P780+Q780&gt;=80,5,IF(P780+Q780&gt;=70,4,IF(P780+Q780&gt;=60,3.5,IF(P780+Q780&gt;=50,3,IF(P780+Q780&gt;=40,2,IF(P780+Q780&gt;=33,1,0)))))))</f>
        <v/>
      </c>
      <c r="AJ780">
        <f>IF(R780&lt;8.25,0,IF(R780*2&gt;=80,5,IF(R780*2&gt;=70,4,IF(R780*2&gt;=60,3.5,IF(R780*2&gt;=50,3,IF(R780*2&gt;=40,2,IF(R780*2&gt;=33,1,0)))))))</f>
        <v/>
      </c>
      <c r="AK780">
        <f>IF(S780&lt;33,0,IF(S780&gt;=80,5,IF(S780&gt;=70,4,IF(S780&gt;=60,3.5,IF(S780&gt;=50,3,IF(S780&gt;=40,2,IF(S780&gt;=33,1,0)))))))</f>
        <v/>
      </c>
      <c r="AL780">
        <f>(AC780+AD780+AE780+AF780+AG780+AH780+AI780+AJ780)/8</f>
        <v/>
      </c>
      <c r="AM780">
        <f>IF(AK780&gt;=2,(AK780-2)/8,0)</f>
        <v/>
      </c>
    </row>
    <row r="781">
      <c r="T781">
        <f>SUM(C781:R781)</f>
        <v/>
      </c>
      <c r="U781" s="6">
        <f>ROUND(T781/11.5,2)</f>
        <v/>
      </c>
      <c r="V781" s="7">
        <f>IF(B781="","",IF(AB781,0,ROUND(AL781,2)))</f>
        <v/>
      </c>
      <c r="W781" s="7">
        <f>IF(B781="","",IF(AB781,0,MIN(5,ROUND(AL781+AM781,2))))</f>
        <v/>
      </c>
      <c r="X781" s="8">
        <f>IF(B781="","",IF(W781&gt;=5,"A+",IF(W781&gt;=4,"A",IF(W781&gt;=3.5,"A-",IF(W781&gt;=3,"B",IF(W781&gt;=2,"C",IF(W781&gt;=1,"D","F")))))))</f>
        <v/>
      </c>
      <c r="Y781">
        <f>NOT(OR(AND(J781&gt;=10,K781&gt;=23,L781&gt;=10,M781&gt;=23),AND(J781+L781&gt;=20,K781+M781&gt;=46)))</f>
        <v/>
      </c>
      <c r="Z781">
        <f>OR(N781&lt;10,O781&lt;23)</f>
        <v/>
      </c>
      <c r="AA781">
        <f>OR(P781&lt;10,Q781&lt;23)</f>
        <v/>
      </c>
      <c r="AB781">
        <f>OR((C781+D781)&lt;66,(E781+F781)&lt;66,G781&lt;33,(H781+I781)&lt;66,Y781,Z781,AA781,R781&lt;8.25)</f>
        <v/>
      </c>
      <c r="AC781">
        <f>IF(C781+D781&lt;66,0,IF((C781+D781)/2&gt;=80,5,IF((C781+D781)/2&gt;=70,4,IF((C781+D781)/2&gt;=60,3.5,IF((C781+D781)/2&gt;=50,3,IF((C781+D781)/2&gt;=40,2,IF((C781+D781)/2&gt;=33,1,0)))))))</f>
        <v/>
      </c>
      <c r="AD781">
        <f>IF(E781+F781&lt;66,0,IF((E781+F781)/2&gt;=80,5,IF((E781+F781)/2&gt;=70,4,IF((E781+F781)/2&gt;=60,3.5,IF((E781+F781)/2&gt;=50,3,IF((E781+F781)/2&gt;=40,2,IF((E781+F781)/2&gt;=33,1,0)))))))</f>
        <v/>
      </c>
      <c r="AE781">
        <f>IF(G781&lt;33,0,IF(G781&gt;=80,5,IF(G781&gt;=70,4,IF(G781&gt;=60,3.5,IF(G781&gt;=50,3,IF(G781&gt;=40,2,IF(G781&gt;=33,1,0)))))))</f>
        <v/>
      </c>
      <c r="AF781">
        <f>IF(H781+I781&lt;66,0,IF((H781+I781)/2&gt;=80,5,IF((H781+I781)/2&gt;=70,4,IF((H781+I781)/2&gt;=60,3.5,IF((H781+I781)/2&gt;=50,3,IF((H781+I781)/2&gt;=40,2,IF((H781+I781)/2&gt;=33,1,0)))))))</f>
        <v/>
      </c>
      <c r="AG781">
        <f>IF(Y781,0,IF((J781+K781+L781+M781)/2&gt;=80,5,IF((J781+K781+L781+M781)/2&gt;=70,4,IF((J781+K781+L781+M781)/2&gt;=60,3.5,IF((J781+K781+L781+M781)/2&gt;=50,3,IF((J781+K781+L781+M781)/2&gt;=40,2,IF((J781+K781+L781+M781)/2&gt;=33,1,0)))))))</f>
        <v/>
      </c>
      <c r="AH781">
        <f>IF(Z781,0,IF(N781+O781&gt;=80,5,IF(N781+O781&gt;=70,4,IF(N781+O781&gt;=60,3.5,IF(N781+O781&gt;=50,3,IF(N781+O781&gt;=40,2,IF(N781+O781&gt;=33,1,0)))))))</f>
        <v/>
      </c>
      <c r="AI781">
        <f>IF(AA781,0,IF(P781+Q781&gt;=80,5,IF(P781+Q781&gt;=70,4,IF(P781+Q781&gt;=60,3.5,IF(P781+Q781&gt;=50,3,IF(P781+Q781&gt;=40,2,IF(P781+Q781&gt;=33,1,0)))))))</f>
        <v/>
      </c>
      <c r="AJ781">
        <f>IF(R781&lt;8.25,0,IF(R781*2&gt;=80,5,IF(R781*2&gt;=70,4,IF(R781*2&gt;=60,3.5,IF(R781*2&gt;=50,3,IF(R781*2&gt;=40,2,IF(R781*2&gt;=33,1,0)))))))</f>
        <v/>
      </c>
      <c r="AK781">
        <f>IF(S781&lt;33,0,IF(S781&gt;=80,5,IF(S781&gt;=70,4,IF(S781&gt;=60,3.5,IF(S781&gt;=50,3,IF(S781&gt;=40,2,IF(S781&gt;=33,1,0)))))))</f>
        <v/>
      </c>
      <c r="AL781">
        <f>(AC781+AD781+AE781+AF781+AG781+AH781+AI781+AJ781)/8</f>
        <v/>
      </c>
      <c r="AM781">
        <f>IF(AK781&gt;=2,(AK781-2)/8,0)</f>
        <v/>
      </c>
    </row>
    <row r="782">
      <c r="T782">
        <f>SUM(C782:R782)</f>
        <v/>
      </c>
      <c r="U782" s="6">
        <f>ROUND(T782/11.5,2)</f>
        <v/>
      </c>
      <c r="V782" s="7">
        <f>IF(B782="","",IF(AB782,0,ROUND(AL782,2)))</f>
        <v/>
      </c>
      <c r="W782" s="7">
        <f>IF(B782="","",IF(AB782,0,MIN(5,ROUND(AL782+AM782,2))))</f>
        <v/>
      </c>
      <c r="X782" s="8">
        <f>IF(B782="","",IF(W782&gt;=5,"A+",IF(W782&gt;=4,"A",IF(W782&gt;=3.5,"A-",IF(W782&gt;=3,"B",IF(W782&gt;=2,"C",IF(W782&gt;=1,"D","F")))))))</f>
        <v/>
      </c>
      <c r="Y782">
        <f>NOT(OR(AND(J782&gt;=10,K782&gt;=23,L782&gt;=10,M782&gt;=23),AND(J782+L782&gt;=20,K782+M782&gt;=46)))</f>
        <v/>
      </c>
      <c r="Z782">
        <f>OR(N782&lt;10,O782&lt;23)</f>
        <v/>
      </c>
      <c r="AA782">
        <f>OR(P782&lt;10,Q782&lt;23)</f>
        <v/>
      </c>
      <c r="AB782">
        <f>OR((C782+D782)&lt;66,(E782+F782)&lt;66,G782&lt;33,(H782+I782)&lt;66,Y782,Z782,AA782,R782&lt;8.25)</f>
        <v/>
      </c>
      <c r="AC782">
        <f>IF(C782+D782&lt;66,0,IF((C782+D782)/2&gt;=80,5,IF((C782+D782)/2&gt;=70,4,IF((C782+D782)/2&gt;=60,3.5,IF((C782+D782)/2&gt;=50,3,IF((C782+D782)/2&gt;=40,2,IF((C782+D782)/2&gt;=33,1,0)))))))</f>
        <v/>
      </c>
      <c r="AD782">
        <f>IF(E782+F782&lt;66,0,IF((E782+F782)/2&gt;=80,5,IF((E782+F782)/2&gt;=70,4,IF((E782+F782)/2&gt;=60,3.5,IF((E782+F782)/2&gt;=50,3,IF((E782+F782)/2&gt;=40,2,IF((E782+F782)/2&gt;=33,1,0)))))))</f>
        <v/>
      </c>
      <c r="AE782">
        <f>IF(G782&lt;33,0,IF(G782&gt;=80,5,IF(G782&gt;=70,4,IF(G782&gt;=60,3.5,IF(G782&gt;=50,3,IF(G782&gt;=40,2,IF(G782&gt;=33,1,0)))))))</f>
        <v/>
      </c>
      <c r="AF782">
        <f>IF(H782+I782&lt;66,0,IF((H782+I782)/2&gt;=80,5,IF((H782+I782)/2&gt;=70,4,IF((H782+I782)/2&gt;=60,3.5,IF((H782+I782)/2&gt;=50,3,IF((H782+I782)/2&gt;=40,2,IF((H782+I782)/2&gt;=33,1,0)))))))</f>
        <v/>
      </c>
      <c r="AG782">
        <f>IF(Y782,0,IF((J782+K782+L782+M782)/2&gt;=80,5,IF((J782+K782+L782+M782)/2&gt;=70,4,IF((J782+K782+L782+M782)/2&gt;=60,3.5,IF((J782+K782+L782+M782)/2&gt;=50,3,IF((J782+K782+L782+M782)/2&gt;=40,2,IF((J782+K782+L782+M782)/2&gt;=33,1,0)))))))</f>
        <v/>
      </c>
      <c r="AH782">
        <f>IF(Z782,0,IF(N782+O782&gt;=80,5,IF(N782+O782&gt;=70,4,IF(N782+O782&gt;=60,3.5,IF(N782+O782&gt;=50,3,IF(N782+O782&gt;=40,2,IF(N782+O782&gt;=33,1,0)))))))</f>
        <v/>
      </c>
      <c r="AI782">
        <f>IF(AA782,0,IF(P782+Q782&gt;=80,5,IF(P782+Q782&gt;=70,4,IF(P782+Q782&gt;=60,3.5,IF(P782+Q782&gt;=50,3,IF(P782+Q782&gt;=40,2,IF(P782+Q782&gt;=33,1,0)))))))</f>
        <v/>
      </c>
      <c r="AJ782">
        <f>IF(R782&lt;8.25,0,IF(R782*2&gt;=80,5,IF(R782*2&gt;=70,4,IF(R782*2&gt;=60,3.5,IF(R782*2&gt;=50,3,IF(R782*2&gt;=40,2,IF(R782*2&gt;=33,1,0)))))))</f>
        <v/>
      </c>
      <c r="AK782">
        <f>IF(S782&lt;33,0,IF(S782&gt;=80,5,IF(S782&gt;=70,4,IF(S782&gt;=60,3.5,IF(S782&gt;=50,3,IF(S782&gt;=40,2,IF(S782&gt;=33,1,0)))))))</f>
        <v/>
      </c>
      <c r="AL782">
        <f>(AC782+AD782+AE782+AF782+AG782+AH782+AI782+AJ782)/8</f>
        <v/>
      </c>
      <c r="AM782">
        <f>IF(AK782&gt;=2,(AK782-2)/8,0)</f>
        <v/>
      </c>
    </row>
    <row r="783">
      <c r="T783">
        <f>SUM(C783:R783)</f>
        <v/>
      </c>
      <c r="U783" s="6">
        <f>ROUND(T783/11.5,2)</f>
        <v/>
      </c>
      <c r="V783" s="7">
        <f>IF(B783="","",IF(AB783,0,ROUND(AL783,2)))</f>
        <v/>
      </c>
      <c r="W783" s="7">
        <f>IF(B783="","",IF(AB783,0,MIN(5,ROUND(AL783+AM783,2))))</f>
        <v/>
      </c>
      <c r="X783" s="8">
        <f>IF(B783="","",IF(W783&gt;=5,"A+",IF(W783&gt;=4,"A",IF(W783&gt;=3.5,"A-",IF(W783&gt;=3,"B",IF(W783&gt;=2,"C",IF(W783&gt;=1,"D","F")))))))</f>
        <v/>
      </c>
      <c r="Y783">
        <f>NOT(OR(AND(J783&gt;=10,K783&gt;=23,L783&gt;=10,M783&gt;=23),AND(J783+L783&gt;=20,K783+M783&gt;=46)))</f>
        <v/>
      </c>
      <c r="Z783">
        <f>OR(N783&lt;10,O783&lt;23)</f>
        <v/>
      </c>
      <c r="AA783">
        <f>OR(P783&lt;10,Q783&lt;23)</f>
        <v/>
      </c>
      <c r="AB783">
        <f>OR((C783+D783)&lt;66,(E783+F783)&lt;66,G783&lt;33,(H783+I783)&lt;66,Y783,Z783,AA783,R783&lt;8.25)</f>
        <v/>
      </c>
      <c r="AC783">
        <f>IF(C783+D783&lt;66,0,IF((C783+D783)/2&gt;=80,5,IF((C783+D783)/2&gt;=70,4,IF((C783+D783)/2&gt;=60,3.5,IF((C783+D783)/2&gt;=50,3,IF((C783+D783)/2&gt;=40,2,IF((C783+D783)/2&gt;=33,1,0)))))))</f>
        <v/>
      </c>
      <c r="AD783">
        <f>IF(E783+F783&lt;66,0,IF((E783+F783)/2&gt;=80,5,IF((E783+F783)/2&gt;=70,4,IF((E783+F783)/2&gt;=60,3.5,IF((E783+F783)/2&gt;=50,3,IF((E783+F783)/2&gt;=40,2,IF((E783+F783)/2&gt;=33,1,0)))))))</f>
        <v/>
      </c>
      <c r="AE783">
        <f>IF(G783&lt;33,0,IF(G783&gt;=80,5,IF(G783&gt;=70,4,IF(G783&gt;=60,3.5,IF(G783&gt;=50,3,IF(G783&gt;=40,2,IF(G783&gt;=33,1,0)))))))</f>
        <v/>
      </c>
      <c r="AF783">
        <f>IF(H783+I783&lt;66,0,IF((H783+I783)/2&gt;=80,5,IF((H783+I783)/2&gt;=70,4,IF((H783+I783)/2&gt;=60,3.5,IF((H783+I783)/2&gt;=50,3,IF((H783+I783)/2&gt;=40,2,IF((H783+I783)/2&gt;=33,1,0)))))))</f>
        <v/>
      </c>
      <c r="AG783">
        <f>IF(Y783,0,IF((J783+K783+L783+M783)/2&gt;=80,5,IF((J783+K783+L783+M783)/2&gt;=70,4,IF((J783+K783+L783+M783)/2&gt;=60,3.5,IF((J783+K783+L783+M783)/2&gt;=50,3,IF((J783+K783+L783+M783)/2&gt;=40,2,IF((J783+K783+L783+M783)/2&gt;=33,1,0)))))))</f>
        <v/>
      </c>
      <c r="AH783">
        <f>IF(Z783,0,IF(N783+O783&gt;=80,5,IF(N783+O783&gt;=70,4,IF(N783+O783&gt;=60,3.5,IF(N783+O783&gt;=50,3,IF(N783+O783&gt;=40,2,IF(N783+O783&gt;=33,1,0)))))))</f>
        <v/>
      </c>
      <c r="AI783">
        <f>IF(AA783,0,IF(P783+Q783&gt;=80,5,IF(P783+Q783&gt;=70,4,IF(P783+Q783&gt;=60,3.5,IF(P783+Q783&gt;=50,3,IF(P783+Q783&gt;=40,2,IF(P783+Q783&gt;=33,1,0)))))))</f>
        <v/>
      </c>
      <c r="AJ783">
        <f>IF(R783&lt;8.25,0,IF(R783*2&gt;=80,5,IF(R783*2&gt;=70,4,IF(R783*2&gt;=60,3.5,IF(R783*2&gt;=50,3,IF(R783*2&gt;=40,2,IF(R783*2&gt;=33,1,0)))))))</f>
        <v/>
      </c>
      <c r="AK783">
        <f>IF(S783&lt;33,0,IF(S783&gt;=80,5,IF(S783&gt;=70,4,IF(S783&gt;=60,3.5,IF(S783&gt;=50,3,IF(S783&gt;=40,2,IF(S783&gt;=33,1,0)))))))</f>
        <v/>
      </c>
      <c r="AL783">
        <f>(AC783+AD783+AE783+AF783+AG783+AH783+AI783+AJ783)/8</f>
        <v/>
      </c>
      <c r="AM783">
        <f>IF(AK783&gt;=2,(AK783-2)/8,0)</f>
        <v/>
      </c>
    </row>
    <row r="784">
      <c r="T784">
        <f>SUM(C784:R784)</f>
        <v/>
      </c>
      <c r="U784" s="6">
        <f>ROUND(T784/11.5,2)</f>
        <v/>
      </c>
      <c r="V784" s="7">
        <f>IF(B784="","",IF(AB784,0,ROUND(AL784,2)))</f>
        <v/>
      </c>
      <c r="W784" s="7">
        <f>IF(B784="","",IF(AB784,0,MIN(5,ROUND(AL784+AM784,2))))</f>
        <v/>
      </c>
      <c r="X784" s="8">
        <f>IF(B784="","",IF(W784&gt;=5,"A+",IF(W784&gt;=4,"A",IF(W784&gt;=3.5,"A-",IF(W784&gt;=3,"B",IF(W784&gt;=2,"C",IF(W784&gt;=1,"D","F")))))))</f>
        <v/>
      </c>
      <c r="Y784">
        <f>NOT(OR(AND(J784&gt;=10,K784&gt;=23,L784&gt;=10,M784&gt;=23),AND(J784+L784&gt;=20,K784+M784&gt;=46)))</f>
        <v/>
      </c>
      <c r="Z784">
        <f>OR(N784&lt;10,O784&lt;23)</f>
        <v/>
      </c>
      <c r="AA784">
        <f>OR(P784&lt;10,Q784&lt;23)</f>
        <v/>
      </c>
      <c r="AB784">
        <f>OR((C784+D784)&lt;66,(E784+F784)&lt;66,G784&lt;33,(H784+I784)&lt;66,Y784,Z784,AA784,R784&lt;8.25)</f>
        <v/>
      </c>
      <c r="AC784">
        <f>IF(C784+D784&lt;66,0,IF((C784+D784)/2&gt;=80,5,IF((C784+D784)/2&gt;=70,4,IF((C784+D784)/2&gt;=60,3.5,IF((C784+D784)/2&gt;=50,3,IF((C784+D784)/2&gt;=40,2,IF((C784+D784)/2&gt;=33,1,0)))))))</f>
        <v/>
      </c>
      <c r="AD784">
        <f>IF(E784+F784&lt;66,0,IF((E784+F784)/2&gt;=80,5,IF((E784+F784)/2&gt;=70,4,IF((E784+F784)/2&gt;=60,3.5,IF((E784+F784)/2&gt;=50,3,IF((E784+F784)/2&gt;=40,2,IF((E784+F784)/2&gt;=33,1,0)))))))</f>
        <v/>
      </c>
      <c r="AE784">
        <f>IF(G784&lt;33,0,IF(G784&gt;=80,5,IF(G784&gt;=70,4,IF(G784&gt;=60,3.5,IF(G784&gt;=50,3,IF(G784&gt;=40,2,IF(G784&gt;=33,1,0)))))))</f>
        <v/>
      </c>
      <c r="AF784">
        <f>IF(H784+I784&lt;66,0,IF((H784+I784)/2&gt;=80,5,IF((H784+I784)/2&gt;=70,4,IF((H784+I784)/2&gt;=60,3.5,IF((H784+I784)/2&gt;=50,3,IF((H784+I784)/2&gt;=40,2,IF((H784+I784)/2&gt;=33,1,0)))))))</f>
        <v/>
      </c>
      <c r="AG784">
        <f>IF(Y784,0,IF((J784+K784+L784+M784)/2&gt;=80,5,IF((J784+K784+L784+M784)/2&gt;=70,4,IF((J784+K784+L784+M784)/2&gt;=60,3.5,IF((J784+K784+L784+M784)/2&gt;=50,3,IF((J784+K784+L784+M784)/2&gt;=40,2,IF((J784+K784+L784+M784)/2&gt;=33,1,0)))))))</f>
        <v/>
      </c>
      <c r="AH784">
        <f>IF(Z784,0,IF(N784+O784&gt;=80,5,IF(N784+O784&gt;=70,4,IF(N784+O784&gt;=60,3.5,IF(N784+O784&gt;=50,3,IF(N784+O784&gt;=40,2,IF(N784+O784&gt;=33,1,0)))))))</f>
        <v/>
      </c>
      <c r="AI784">
        <f>IF(AA784,0,IF(P784+Q784&gt;=80,5,IF(P784+Q784&gt;=70,4,IF(P784+Q784&gt;=60,3.5,IF(P784+Q784&gt;=50,3,IF(P784+Q784&gt;=40,2,IF(P784+Q784&gt;=33,1,0)))))))</f>
        <v/>
      </c>
      <c r="AJ784">
        <f>IF(R784&lt;8.25,0,IF(R784*2&gt;=80,5,IF(R784*2&gt;=70,4,IF(R784*2&gt;=60,3.5,IF(R784*2&gt;=50,3,IF(R784*2&gt;=40,2,IF(R784*2&gt;=33,1,0)))))))</f>
        <v/>
      </c>
      <c r="AK784">
        <f>IF(S784&lt;33,0,IF(S784&gt;=80,5,IF(S784&gt;=70,4,IF(S784&gt;=60,3.5,IF(S784&gt;=50,3,IF(S784&gt;=40,2,IF(S784&gt;=33,1,0)))))))</f>
        <v/>
      </c>
      <c r="AL784">
        <f>(AC784+AD784+AE784+AF784+AG784+AH784+AI784+AJ784)/8</f>
        <v/>
      </c>
      <c r="AM784">
        <f>IF(AK784&gt;=2,(AK784-2)/8,0)</f>
        <v/>
      </c>
    </row>
    <row r="785">
      <c r="T785">
        <f>SUM(C785:R785)</f>
        <v/>
      </c>
      <c r="U785" s="6">
        <f>ROUND(T785/11.5,2)</f>
        <v/>
      </c>
      <c r="V785" s="7">
        <f>IF(B785="","",IF(AB785,0,ROUND(AL785,2)))</f>
        <v/>
      </c>
      <c r="W785" s="7">
        <f>IF(B785="","",IF(AB785,0,MIN(5,ROUND(AL785+AM785,2))))</f>
        <v/>
      </c>
      <c r="X785" s="8">
        <f>IF(B785="","",IF(W785&gt;=5,"A+",IF(W785&gt;=4,"A",IF(W785&gt;=3.5,"A-",IF(W785&gt;=3,"B",IF(W785&gt;=2,"C",IF(W785&gt;=1,"D","F")))))))</f>
        <v/>
      </c>
      <c r="Y785">
        <f>NOT(OR(AND(J785&gt;=10,K785&gt;=23,L785&gt;=10,M785&gt;=23),AND(J785+L785&gt;=20,K785+M785&gt;=46)))</f>
        <v/>
      </c>
      <c r="Z785">
        <f>OR(N785&lt;10,O785&lt;23)</f>
        <v/>
      </c>
      <c r="AA785">
        <f>OR(P785&lt;10,Q785&lt;23)</f>
        <v/>
      </c>
      <c r="AB785">
        <f>OR((C785+D785)&lt;66,(E785+F785)&lt;66,G785&lt;33,(H785+I785)&lt;66,Y785,Z785,AA785,R785&lt;8.25)</f>
        <v/>
      </c>
      <c r="AC785">
        <f>IF(C785+D785&lt;66,0,IF((C785+D785)/2&gt;=80,5,IF((C785+D785)/2&gt;=70,4,IF((C785+D785)/2&gt;=60,3.5,IF((C785+D785)/2&gt;=50,3,IF((C785+D785)/2&gt;=40,2,IF((C785+D785)/2&gt;=33,1,0)))))))</f>
        <v/>
      </c>
      <c r="AD785">
        <f>IF(E785+F785&lt;66,0,IF((E785+F785)/2&gt;=80,5,IF((E785+F785)/2&gt;=70,4,IF((E785+F785)/2&gt;=60,3.5,IF((E785+F785)/2&gt;=50,3,IF((E785+F785)/2&gt;=40,2,IF((E785+F785)/2&gt;=33,1,0)))))))</f>
        <v/>
      </c>
      <c r="AE785">
        <f>IF(G785&lt;33,0,IF(G785&gt;=80,5,IF(G785&gt;=70,4,IF(G785&gt;=60,3.5,IF(G785&gt;=50,3,IF(G785&gt;=40,2,IF(G785&gt;=33,1,0)))))))</f>
        <v/>
      </c>
      <c r="AF785">
        <f>IF(H785+I785&lt;66,0,IF((H785+I785)/2&gt;=80,5,IF((H785+I785)/2&gt;=70,4,IF((H785+I785)/2&gt;=60,3.5,IF((H785+I785)/2&gt;=50,3,IF((H785+I785)/2&gt;=40,2,IF((H785+I785)/2&gt;=33,1,0)))))))</f>
        <v/>
      </c>
      <c r="AG785">
        <f>IF(Y785,0,IF((J785+K785+L785+M785)/2&gt;=80,5,IF((J785+K785+L785+M785)/2&gt;=70,4,IF((J785+K785+L785+M785)/2&gt;=60,3.5,IF((J785+K785+L785+M785)/2&gt;=50,3,IF((J785+K785+L785+M785)/2&gt;=40,2,IF((J785+K785+L785+M785)/2&gt;=33,1,0)))))))</f>
        <v/>
      </c>
      <c r="AH785">
        <f>IF(Z785,0,IF(N785+O785&gt;=80,5,IF(N785+O785&gt;=70,4,IF(N785+O785&gt;=60,3.5,IF(N785+O785&gt;=50,3,IF(N785+O785&gt;=40,2,IF(N785+O785&gt;=33,1,0)))))))</f>
        <v/>
      </c>
      <c r="AI785">
        <f>IF(AA785,0,IF(P785+Q785&gt;=80,5,IF(P785+Q785&gt;=70,4,IF(P785+Q785&gt;=60,3.5,IF(P785+Q785&gt;=50,3,IF(P785+Q785&gt;=40,2,IF(P785+Q785&gt;=33,1,0)))))))</f>
        <v/>
      </c>
      <c r="AJ785">
        <f>IF(R785&lt;8.25,0,IF(R785*2&gt;=80,5,IF(R785*2&gt;=70,4,IF(R785*2&gt;=60,3.5,IF(R785*2&gt;=50,3,IF(R785*2&gt;=40,2,IF(R785*2&gt;=33,1,0)))))))</f>
        <v/>
      </c>
      <c r="AK785">
        <f>IF(S785&lt;33,0,IF(S785&gt;=80,5,IF(S785&gt;=70,4,IF(S785&gt;=60,3.5,IF(S785&gt;=50,3,IF(S785&gt;=40,2,IF(S785&gt;=33,1,0)))))))</f>
        <v/>
      </c>
      <c r="AL785">
        <f>(AC785+AD785+AE785+AF785+AG785+AH785+AI785+AJ785)/8</f>
        <v/>
      </c>
      <c r="AM785">
        <f>IF(AK785&gt;=2,(AK785-2)/8,0)</f>
        <v/>
      </c>
    </row>
    <row r="786">
      <c r="T786">
        <f>SUM(C786:R786)</f>
        <v/>
      </c>
      <c r="U786" s="6">
        <f>ROUND(T786/11.5,2)</f>
        <v/>
      </c>
      <c r="V786" s="7">
        <f>IF(B786="","",IF(AB786,0,ROUND(AL786,2)))</f>
        <v/>
      </c>
      <c r="W786" s="7">
        <f>IF(B786="","",IF(AB786,0,MIN(5,ROUND(AL786+AM786,2))))</f>
        <v/>
      </c>
      <c r="X786" s="8">
        <f>IF(B786="","",IF(W786&gt;=5,"A+",IF(W786&gt;=4,"A",IF(W786&gt;=3.5,"A-",IF(W786&gt;=3,"B",IF(W786&gt;=2,"C",IF(W786&gt;=1,"D","F")))))))</f>
        <v/>
      </c>
      <c r="Y786">
        <f>NOT(OR(AND(J786&gt;=10,K786&gt;=23,L786&gt;=10,M786&gt;=23),AND(J786+L786&gt;=20,K786+M786&gt;=46)))</f>
        <v/>
      </c>
      <c r="Z786">
        <f>OR(N786&lt;10,O786&lt;23)</f>
        <v/>
      </c>
      <c r="AA786">
        <f>OR(P786&lt;10,Q786&lt;23)</f>
        <v/>
      </c>
      <c r="AB786">
        <f>OR((C786+D786)&lt;66,(E786+F786)&lt;66,G786&lt;33,(H786+I786)&lt;66,Y786,Z786,AA786,R786&lt;8.25)</f>
        <v/>
      </c>
      <c r="AC786">
        <f>IF(C786+D786&lt;66,0,IF((C786+D786)/2&gt;=80,5,IF((C786+D786)/2&gt;=70,4,IF((C786+D786)/2&gt;=60,3.5,IF((C786+D786)/2&gt;=50,3,IF((C786+D786)/2&gt;=40,2,IF((C786+D786)/2&gt;=33,1,0)))))))</f>
        <v/>
      </c>
      <c r="AD786">
        <f>IF(E786+F786&lt;66,0,IF((E786+F786)/2&gt;=80,5,IF((E786+F786)/2&gt;=70,4,IF((E786+F786)/2&gt;=60,3.5,IF((E786+F786)/2&gt;=50,3,IF((E786+F786)/2&gt;=40,2,IF((E786+F786)/2&gt;=33,1,0)))))))</f>
        <v/>
      </c>
      <c r="AE786">
        <f>IF(G786&lt;33,0,IF(G786&gt;=80,5,IF(G786&gt;=70,4,IF(G786&gt;=60,3.5,IF(G786&gt;=50,3,IF(G786&gt;=40,2,IF(G786&gt;=33,1,0)))))))</f>
        <v/>
      </c>
      <c r="AF786">
        <f>IF(H786+I786&lt;66,0,IF((H786+I786)/2&gt;=80,5,IF((H786+I786)/2&gt;=70,4,IF((H786+I786)/2&gt;=60,3.5,IF((H786+I786)/2&gt;=50,3,IF((H786+I786)/2&gt;=40,2,IF((H786+I786)/2&gt;=33,1,0)))))))</f>
        <v/>
      </c>
      <c r="AG786">
        <f>IF(Y786,0,IF((J786+K786+L786+M786)/2&gt;=80,5,IF((J786+K786+L786+M786)/2&gt;=70,4,IF((J786+K786+L786+M786)/2&gt;=60,3.5,IF((J786+K786+L786+M786)/2&gt;=50,3,IF((J786+K786+L786+M786)/2&gt;=40,2,IF((J786+K786+L786+M786)/2&gt;=33,1,0)))))))</f>
        <v/>
      </c>
      <c r="AH786">
        <f>IF(Z786,0,IF(N786+O786&gt;=80,5,IF(N786+O786&gt;=70,4,IF(N786+O786&gt;=60,3.5,IF(N786+O786&gt;=50,3,IF(N786+O786&gt;=40,2,IF(N786+O786&gt;=33,1,0)))))))</f>
        <v/>
      </c>
      <c r="AI786">
        <f>IF(AA786,0,IF(P786+Q786&gt;=80,5,IF(P786+Q786&gt;=70,4,IF(P786+Q786&gt;=60,3.5,IF(P786+Q786&gt;=50,3,IF(P786+Q786&gt;=40,2,IF(P786+Q786&gt;=33,1,0)))))))</f>
        <v/>
      </c>
      <c r="AJ786">
        <f>IF(R786&lt;8.25,0,IF(R786*2&gt;=80,5,IF(R786*2&gt;=70,4,IF(R786*2&gt;=60,3.5,IF(R786*2&gt;=50,3,IF(R786*2&gt;=40,2,IF(R786*2&gt;=33,1,0)))))))</f>
        <v/>
      </c>
      <c r="AK786">
        <f>IF(S786&lt;33,0,IF(S786&gt;=80,5,IF(S786&gt;=70,4,IF(S786&gt;=60,3.5,IF(S786&gt;=50,3,IF(S786&gt;=40,2,IF(S786&gt;=33,1,0)))))))</f>
        <v/>
      </c>
      <c r="AL786">
        <f>(AC786+AD786+AE786+AF786+AG786+AH786+AI786+AJ786)/8</f>
        <v/>
      </c>
      <c r="AM786">
        <f>IF(AK786&gt;=2,(AK786-2)/8,0)</f>
        <v/>
      </c>
    </row>
    <row r="787">
      <c r="T787">
        <f>SUM(C787:R787)</f>
        <v/>
      </c>
      <c r="U787" s="6">
        <f>ROUND(T787/11.5,2)</f>
        <v/>
      </c>
      <c r="V787" s="7">
        <f>IF(B787="","",IF(AB787,0,ROUND(AL787,2)))</f>
        <v/>
      </c>
      <c r="W787" s="7">
        <f>IF(B787="","",IF(AB787,0,MIN(5,ROUND(AL787+AM787,2))))</f>
        <v/>
      </c>
      <c r="X787" s="8">
        <f>IF(B787="","",IF(W787&gt;=5,"A+",IF(W787&gt;=4,"A",IF(W787&gt;=3.5,"A-",IF(W787&gt;=3,"B",IF(W787&gt;=2,"C",IF(W787&gt;=1,"D","F")))))))</f>
        <v/>
      </c>
      <c r="Y787">
        <f>NOT(OR(AND(J787&gt;=10,K787&gt;=23,L787&gt;=10,M787&gt;=23),AND(J787+L787&gt;=20,K787+M787&gt;=46)))</f>
        <v/>
      </c>
      <c r="Z787">
        <f>OR(N787&lt;10,O787&lt;23)</f>
        <v/>
      </c>
      <c r="AA787">
        <f>OR(P787&lt;10,Q787&lt;23)</f>
        <v/>
      </c>
      <c r="AB787">
        <f>OR((C787+D787)&lt;66,(E787+F787)&lt;66,G787&lt;33,(H787+I787)&lt;66,Y787,Z787,AA787,R787&lt;8.25)</f>
        <v/>
      </c>
      <c r="AC787">
        <f>IF(C787+D787&lt;66,0,IF((C787+D787)/2&gt;=80,5,IF((C787+D787)/2&gt;=70,4,IF((C787+D787)/2&gt;=60,3.5,IF((C787+D787)/2&gt;=50,3,IF((C787+D787)/2&gt;=40,2,IF((C787+D787)/2&gt;=33,1,0)))))))</f>
        <v/>
      </c>
      <c r="AD787">
        <f>IF(E787+F787&lt;66,0,IF((E787+F787)/2&gt;=80,5,IF((E787+F787)/2&gt;=70,4,IF((E787+F787)/2&gt;=60,3.5,IF((E787+F787)/2&gt;=50,3,IF((E787+F787)/2&gt;=40,2,IF((E787+F787)/2&gt;=33,1,0)))))))</f>
        <v/>
      </c>
      <c r="AE787">
        <f>IF(G787&lt;33,0,IF(G787&gt;=80,5,IF(G787&gt;=70,4,IF(G787&gt;=60,3.5,IF(G787&gt;=50,3,IF(G787&gt;=40,2,IF(G787&gt;=33,1,0)))))))</f>
        <v/>
      </c>
      <c r="AF787">
        <f>IF(H787+I787&lt;66,0,IF((H787+I787)/2&gt;=80,5,IF((H787+I787)/2&gt;=70,4,IF((H787+I787)/2&gt;=60,3.5,IF((H787+I787)/2&gt;=50,3,IF((H787+I787)/2&gt;=40,2,IF((H787+I787)/2&gt;=33,1,0)))))))</f>
        <v/>
      </c>
      <c r="AG787">
        <f>IF(Y787,0,IF((J787+K787+L787+M787)/2&gt;=80,5,IF((J787+K787+L787+M787)/2&gt;=70,4,IF((J787+K787+L787+M787)/2&gt;=60,3.5,IF((J787+K787+L787+M787)/2&gt;=50,3,IF((J787+K787+L787+M787)/2&gt;=40,2,IF((J787+K787+L787+M787)/2&gt;=33,1,0)))))))</f>
        <v/>
      </c>
      <c r="AH787">
        <f>IF(Z787,0,IF(N787+O787&gt;=80,5,IF(N787+O787&gt;=70,4,IF(N787+O787&gt;=60,3.5,IF(N787+O787&gt;=50,3,IF(N787+O787&gt;=40,2,IF(N787+O787&gt;=33,1,0)))))))</f>
        <v/>
      </c>
      <c r="AI787">
        <f>IF(AA787,0,IF(P787+Q787&gt;=80,5,IF(P787+Q787&gt;=70,4,IF(P787+Q787&gt;=60,3.5,IF(P787+Q787&gt;=50,3,IF(P787+Q787&gt;=40,2,IF(P787+Q787&gt;=33,1,0)))))))</f>
        <v/>
      </c>
      <c r="AJ787">
        <f>IF(R787&lt;8.25,0,IF(R787*2&gt;=80,5,IF(R787*2&gt;=70,4,IF(R787*2&gt;=60,3.5,IF(R787*2&gt;=50,3,IF(R787*2&gt;=40,2,IF(R787*2&gt;=33,1,0)))))))</f>
        <v/>
      </c>
      <c r="AK787">
        <f>IF(S787&lt;33,0,IF(S787&gt;=80,5,IF(S787&gt;=70,4,IF(S787&gt;=60,3.5,IF(S787&gt;=50,3,IF(S787&gt;=40,2,IF(S787&gt;=33,1,0)))))))</f>
        <v/>
      </c>
      <c r="AL787">
        <f>(AC787+AD787+AE787+AF787+AG787+AH787+AI787+AJ787)/8</f>
        <v/>
      </c>
      <c r="AM787">
        <f>IF(AK787&gt;=2,(AK787-2)/8,0)</f>
        <v/>
      </c>
    </row>
    <row r="788">
      <c r="T788">
        <f>SUM(C788:R788)</f>
        <v/>
      </c>
      <c r="U788" s="6">
        <f>ROUND(T788/11.5,2)</f>
        <v/>
      </c>
      <c r="V788" s="7">
        <f>IF(B788="","",IF(AB788,0,ROUND(AL788,2)))</f>
        <v/>
      </c>
      <c r="W788" s="7">
        <f>IF(B788="","",IF(AB788,0,MIN(5,ROUND(AL788+AM788,2))))</f>
        <v/>
      </c>
      <c r="X788" s="8">
        <f>IF(B788="","",IF(W788&gt;=5,"A+",IF(W788&gt;=4,"A",IF(W788&gt;=3.5,"A-",IF(W788&gt;=3,"B",IF(W788&gt;=2,"C",IF(W788&gt;=1,"D","F")))))))</f>
        <v/>
      </c>
      <c r="Y788">
        <f>NOT(OR(AND(J788&gt;=10,K788&gt;=23,L788&gt;=10,M788&gt;=23),AND(J788+L788&gt;=20,K788+M788&gt;=46)))</f>
        <v/>
      </c>
      <c r="Z788">
        <f>OR(N788&lt;10,O788&lt;23)</f>
        <v/>
      </c>
      <c r="AA788">
        <f>OR(P788&lt;10,Q788&lt;23)</f>
        <v/>
      </c>
      <c r="AB788">
        <f>OR((C788+D788)&lt;66,(E788+F788)&lt;66,G788&lt;33,(H788+I788)&lt;66,Y788,Z788,AA788,R788&lt;8.25)</f>
        <v/>
      </c>
      <c r="AC788">
        <f>IF(C788+D788&lt;66,0,IF((C788+D788)/2&gt;=80,5,IF((C788+D788)/2&gt;=70,4,IF((C788+D788)/2&gt;=60,3.5,IF((C788+D788)/2&gt;=50,3,IF((C788+D788)/2&gt;=40,2,IF((C788+D788)/2&gt;=33,1,0)))))))</f>
        <v/>
      </c>
      <c r="AD788">
        <f>IF(E788+F788&lt;66,0,IF((E788+F788)/2&gt;=80,5,IF((E788+F788)/2&gt;=70,4,IF((E788+F788)/2&gt;=60,3.5,IF((E788+F788)/2&gt;=50,3,IF((E788+F788)/2&gt;=40,2,IF((E788+F788)/2&gt;=33,1,0)))))))</f>
        <v/>
      </c>
      <c r="AE788">
        <f>IF(G788&lt;33,0,IF(G788&gt;=80,5,IF(G788&gt;=70,4,IF(G788&gt;=60,3.5,IF(G788&gt;=50,3,IF(G788&gt;=40,2,IF(G788&gt;=33,1,0)))))))</f>
        <v/>
      </c>
      <c r="AF788">
        <f>IF(H788+I788&lt;66,0,IF((H788+I788)/2&gt;=80,5,IF((H788+I788)/2&gt;=70,4,IF((H788+I788)/2&gt;=60,3.5,IF((H788+I788)/2&gt;=50,3,IF((H788+I788)/2&gt;=40,2,IF((H788+I788)/2&gt;=33,1,0)))))))</f>
        <v/>
      </c>
      <c r="AG788">
        <f>IF(Y788,0,IF((J788+K788+L788+M788)/2&gt;=80,5,IF((J788+K788+L788+M788)/2&gt;=70,4,IF((J788+K788+L788+M788)/2&gt;=60,3.5,IF((J788+K788+L788+M788)/2&gt;=50,3,IF((J788+K788+L788+M788)/2&gt;=40,2,IF((J788+K788+L788+M788)/2&gt;=33,1,0)))))))</f>
        <v/>
      </c>
      <c r="AH788">
        <f>IF(Z788,0,IF(N788+O788&gt;=80,5,IF(N788+O788&gt;=70,4,IF(N788+O788&gt;=60,3.5,IF(N788+O788&gt;=50,3,IF(N788+O788&gt;=40,2,IF(N788+O788&gt;=33,1,0)))))))</f>
        <v/>
      </c>
      <c r="AI788">
        <f>IF(AA788,0,IF(P788+Q788&gt;=80,5,IF(P788+Q788&gt;=70,4,IF(P788+Q788&gt;=60,3.5,IF(P788+Q788&gt;=50,3,IF(P788+Q788&gt;=40,2,IF(P788+Q788&gt;=33,1,0)))))))</f>
        <v/>
      </c>
      <c r="AJ788">
        <f>IF(R788&lt;8.25,0,IF(R788*2&gt;=80,5,IF(R788*2&gt;=70,4,IF(R788*2&gt;=60,3.5,IF(R788*2&gt;=50,3,IF(R788*2&gt;=40,2,IF(R788*2&gt;=33,1,0)))))))</f>
        <v/>
      </c>
      <c r="AK788">
        <f>IF(S788&lt;33,0,IF(S788&gt;=80,5,IF(S788&gt;=70,4,IF(S788&gt;=60,3.5,IF(S788&gt;=50,3,IF(S788&gt;=40,2,IF(S788&gt;=33,1,0)))))))</f>
        <v/>
      </c>
      <c r="AL788">
        <f>(AC788+AD788+AE788+AF788+AG788+AH788+AI788+AJ788)/8</f>
        <v/>
      </c>
      <c r="AM788">
        <f>IF(AK788&gt;=2,(AK788-2)/8,0)</f>
        <v/>
      </c>
    </row>
    <row r="789">
      <c r="T789">
        <f>SUM(C789:R789)</f>
        <v/>
      </c>
      <c r="U789" s="6">
        <f>ROUND(T789/11.5,2)</f>
        <v/>
      </c>
      <c r="V789" s="7">
        <f>IF(B789="","",IF(AB789,0,ROUND(AL789,2)))</f>
        <v/>
      </c>
      <c r="W789" s="7">
        <f>IF(B789="","",IF(AB789,0,MIN(5,ROUND(AL789+AM789,2))))</f>
        <v/>
      </c>
      <c r="X789" s="8">
        <f>IF(B789="","",IF(W789&gt;=5,"A+",IF(W789&gt;=4,"A",IF(W789&gt;=3.5,"A-",IF(W789&gt;=3,"B",IF(W789&gt;=2,"C",IF(W789&gt;=1,"D","F")))))))</f>
        <v/>
      </c>
      <c r="Y789">
        <f>NOT(OR(AND(J789&gt;=10,K789&gt;=23,L789&gt;=10,M789&gt;=23),AND(J789+L789&gt;=20,K789+M789&gt;=46)))</f>
        <v/>
      </c>
      <c r="Z789">
        <f>OR(N789&lt;10,O789&lt;23)</f>
        <v/>
      </c>
      <c r="AA789">
        <f>OR(P789&lt;10,Q789&lt;23)</f>
        <v/>
      </c>
      <c r="AB789">
        <f>OR((C789+D789)&lt;66,(E789+F789)&lt;66,G789&lt;33,(H789+I789)&lt;66,Y789,Z789,AA789,R789&lt;8.25)</f>
        <v/>
      </c>
      <c r="AC789">
        <f>IF(C789+D789&lt;66,0,IF((C789+D789)/2&gt;=80,5,IF((C789+D789)/2&gt;=70,4,IF((C789+D789)/2&gt;=60,3.5,IF((C789+D789)/2&gt;=50,3,IF((C789+D789)/2&gt;=40,2,IF((C789+D789)/2&gt;=33,1,0)))))))</f>
        <v/>
      </c>
      <c r="AD789">
        <f>IF(E789+F789&lt;66,0,IF((E789+F789)/2&gt;=80,5,IF((E789+F789)/2&gt;=70,4,IF((E789+F789)/2&gt;=60,3.5,IF((E789+F789)/2&gt;=50,3,IF((E789+F789)/2&gt;=40,2,IF((E789+F789)/2&gt;=33,1,0)))))))</f>
        <v/>
      </c>
      <c r="AE789">
        <f>IF(G789&lt;33,0,IF(G789&gt;=80,5,IF(G789&gt;=70,4,IF(G789&gt;=60,3.5,IF(G789&gt;=50,3,IF(G789&gt;=40,2,IF(G789&gt;=33,1,0)))))))</f>
        <v/>
      </c>
      <c r="AF789">
        <f>IF(H789+I789&lt;66,0,IF((H789+I789)/2&gt;=80,5,IF((H789+I789)/2&gt;=70,4,IF((H789+I789)/2&gt;=60,3.5,IF((H789+I789)/2&gt;=50,3,IF((H789+I789)/2&gt;=40,2,IF((H789+I789)/2&gt;=33,1,0)))))))</f>
        <v/>
      </c>
      <c r="AG789">
        <f>IF(Y789,0,IF((J789+K789+L789+M789)/2&gt;=80,5,IF((J789+K789+L789+M789)/2&gt;=70,4,IF((J789+K789+L789+M789)/2&gt;=60,3.5,IF((J789+K789+L789+M789)/2&gt;=50,3,IF((J789+K789+L789+M789)/2&gt;=40,2,IF((J789+K789+L789+M789)/2&gt;=33,1,0)))))))</f>
        <v/>
      </c>
      <c r="AH789">
        <f>IF(Z789,0,IF(N789+O789&gt;=80,5,IF(N789+O789&gt;=70,4,IF(N789+O789&gt;=60,3.5,IF(N789+O789&gt;=50,3,IF(N789+O789&gt;=40,2,IF(N789+O789&gt;=33,1,0)))))))</f>
        <v/>
      </c>
      <c r="AI789">
        <f>IF(AA789,0,IF(P789+Q789&gt;=80,5,IF(P789+Q789&gt;=70,4,IF(P789+Q789&gt;=60,3.5,IF(P789+Q789&gt;=50,3,IF(P789+Q789&gt;=40,2,IF(P789+Q789&gt;=33,1,0)))))))</f>
        <v/>
      </c>
      <c r="AJ789">
        <f>IF(R789&lt;8.25,0,IF(R789*2&gt;=80,5,IF(R789*2&gt;=70,4,IF(R789*2&gt;=60,3.5,IF(R789*2&gt;=50,3,IF(R789*2&gt;=40,2,IF(R789*2&gt;=33,1,0)))))))</f>
        <v/>
      </c>
      <c r="AK789">
        <f>IF(S789&lt;33,0,IF(S789&gt;=80,5,IF(S789&gt;=70,4,IF(S789&gt;=60,3.5,IF(S789&gt;=50,3,IF(S789&gt;=40,2,IF(S789&gt;=33,1,0)))))))</f>
        <v/>
      </c>
      <c r="AL789">
        <f>(AC789+AD789+AE789+AF789+AG789+AH789+AI789+AJ789)/8</f>
        <v/>
      </c>
      <c r="AM789">
        <f>IF(AK789&gt;=2,(AK789-2)/8,0)</f>
        <v/>
      </c>
    </row>
    <row r="790">
      <c r="T790">
        <f>SUM(C790:R790)</f>
        <v/>
      </c>
      <c r="U790" s="6">
        <f>ROUND(T790/11.5,2)</f>
        <v/>
      </c>
      <c r="V790" s="7">
        <f>IF(B790="","",IF(AB790,0,ROUND(AL790,2)))</f>
        <v/>
      </c>
      <c r="W790" s="7">
        <f>IF(B790="","",IF(AB790,0,MIN(5,ROUND(AL790+AM790,2))))</f>
        <v/>
      </c>
      <c r="X790" s="8">
        <f>IF(B790="","",IF(W790&gt;=5,"A+",IF(W790&gt;=4,"A",IF(W790&gt;=3.5,"A-",IF(W790&gt;=3,"B",IF(W790&gt;=2,"C",IF(W790&gt;=1,"D","F")))))))</f>
        <v/>
      </c>
      <c r="Y790">
        <f>NOT(OR(AND(J790&gt;=10,K790&gt;=23,L790&gt;=10,M790&gt;=23),AND(J790+L790&gt;=20,K790+M790&gt;=46)))</f>
        <v/>
      </c>
      <c r="Z790">
        <f>OR(N790&lt;10,O790&lt;23)</f>
        <v/>
      </c>
      <c r="AA790">
        <f>OR(P790&lt;10,Q790&lt;23)</f>
        <v/>
      </c>
      <c r="AB790">
        <f>OR((C790+D790)&lt;66,(E790+F790)&lt;66,G790&lt;33,(H790+I790)&lt;66,Y790,Z790,AA790,R790&lt;8.25)</f>
        <v/>
      </c>
      <c r="AC790">
        <f>IF(C790+D790&lt;66,0,IF((C790+D790)/2&gt;=80,5,IF((C790+D790)/2&gt;=70,4,IF((C790+D790)/2&gt;=60,3.5,IF((C790+D790)/2&gt;=50,3,IF((C790+D790)/2&gt;=40,2,IF((C790+D790)/2&gt;=33,1,0)))))))</f>
        <v/>
      </c>
      <c r="AD790">
        <f>IF(E790+F790&lt;66,0,IF((E790+F790)/2&gt;=80,5,IF((E790+F790)/2&gt;=70,4,IF((E790+F790)/2&gt;=60,3.5,IF((E790+F790)/2&gt;=50,3,IF((E790+F790)/2&gt;=40,2,IF((E790+F790)/2&gt;=33,1,0)))))))</f>
        <v/>
      </c>
      <c r="AE790">
        <f>IF(G790&lt;33,0,IF(G790&gt;=80,5,IF(G790&gt;=70,4,IF(G790&gt;=60,3.5,IF(G790&gt;=50,3,IF(G790&gt;=40,2,IF(G790&gt;=33,1,0)))))))</f>
        <v/>
      </c>
      <c r="AF790">
        <f>IF(H790+I790&lt;66,0,IF((H790+I790)/2&gt;=80,5,IF((H790+I790)/2&gt;=70,4,IF((H790+I790)/2&gt;=60,3.5,IF((H790+I790)/2&gt;=50,3,IF((H790+I790)/2&gt;=40,2,IF((H790+I790)/2&gt;=33,1,0)))))))</f>
        <v/>
      </c>
      <c r="AG790">
        <f>IF(Y790,0,IF((J790+K790+L790+M790)/2&gt;=80,5,IF((J790+K790+L790+M790)/2&gt;=70,4,IF((J790+K790+L790+M790)/2&gt;=60,3.5,IF((J790+K790+L790+M790)/2&gt;=50,3,IF((J790+K790+L790+M790)/2&gt;=40,2,IF((J790+K790+L790+M790)/2&gt;=33,1,0)))))))</f>
        <v/>
      </c>
      <c r="AH790">
        <f>IF(Z790,0,IF(N790+O790&gt;=80,5,IF(N790+O790&gt;=70,4,IF(N790+O790&gt;=60,3.5,IF(N790+O790&gt;=50,3,IF(N790+O790&gt;=40,2,IF(N790+O790&gt;=33,1,0)))))))</f>
        <v/>
      </c>
      <c r="AI790">
        <f>IF(AA790,0,IF(P790+Q790&gt;=80,5,IF(P790+Q790&gt;=70,4,IF(P790+Q790&gt;=60,3.5,IF(P790+Q790&gt;=50,3,IF(P790+Q790&gt;=40,2,IF(P790+Q790&gt;=33,1,0)))))))</f>
        <v/>
      </c>
      <c r="AJ790">
        <f>IF(R790&lt;8.25,0,IF(R790*2&gt;=80,5,IF(R790*2&gt;=70,4,IF(R790*2&gt;=60,3.5,IF(R790*2&gt;=50,3,IF(R790*2&gt;=40,2,IF(R790*2&gt;=33,1,0)))))))</f>
        <v/>
      </c>
      <c r="AK790">
        <f>IF(S790&lt;33,0,IF(S790&gt;=80,5,IF(S790&gt;=70,4,IF(S790&gt;=60,3.5,IF(S790&gt;=50,3,IF(S790&gt;=40,2,IF(S790&gt;=33,1,0)))))))</f>
        <v/>
      </c>
      <c r="AL790">
        <f>(AC790+AD790+AE790+AF790+AG790+AH790+AI790+AJ790)/8</f>
        <v/>
      </c>
      <c r="AM790">
        <f>IF(AK790&gt;=2,(AK790-2)/8,0)</f>
        <v/>
      </c>
    </row>
    <row r="791">
      <c r="T791">
        <f>SUM(C791:R791)</f>
        <v/>
      </c>
      <c r="U791" s="6">
        <f>ROUND(T791/11.5,2)</f>
        <v/>
      </c>
      <c r="V791" s="7">
        <f>IF(B791="","",IF(AB791,0,ROUND(AL791,2)))</f>
        <v/>
      </c>
      <c r="W791" s="7">
        <f>IF(B791="","",IF(AB791,0,MIN(5,ROUND(AL791+AM791,2))))</f>
        <v/>
      </c>
      <c r="X791" s="8">
        <f>IF(B791="","",IF(W791&gt;=5,"A+",IF(W791&gt;=4,"A",IF(W791&gt;=3.5,"A-",IF(W791&gt;=3,"B",IF(W791&gt;=2,"C",IF(W791&gt;=1,"D","F")))))))</f>
        <v/>
      </c>
      <c r="Y791">
        <f>NOT(OR(AND(J791&gt;=10,K791&gt;=23,L791&gt;=10,M791&gt;=23),AND(J791+L791&gt;=20,K791+M791&gt;=46)))</f>
        <v/>
      </c>
      <c r="Z791">
        <f>OR(N791&lt;10,O791&lt;23)</f>
        <v/>
      </c>
      <c r="AA791">
        <f>OR(P791&lt;10,Q791&lt;23)</f>
        <v/>
      </c>
      <c r="AB791">
        <f>OR((C791+D791)&lt;66,(E791+F791)&lt;66,G791&lt;33,(H791+I791)&lt;66,Y791,Z791,AA791,R791&lt;8.25)</f>
        <v/>
      </c>
      <c r="AC791">
        <f>IF(C791+D791&lt;66,0,IF((C791+D791)/2&gt;=80,5,IF((C791+D791)/2&gt;=70,4,IF((C791+D791)/2&gt;=60,3.5,IF((C791+D791)/2&gt;=50,3,IF((C791+D791)/2&gt;=40,2,IF((C791+D791)/2&gt;=33,1,0)))))))</f>
        <v/>
      </c>
      <c r="AD791">
        <f>IF(E791+F791&lt;66,0,IF((E791+F791)/2&gt;=80,5,IF((E791+F791)/2&gt;=70,4,IF((E791+F791)/2&gt;=60,3.5,IF((E791+F791)/2&gt;=50,3,IF((E791+F791)/2&gt;=40,2,IF((E791+F791)/2&gt;=33,1,0)))))))</f>
        <v/>
      </c>
      <c r="AE791">
        <f>IF(G791&lt;33,0,IF(G791&gt;=80,5,IF(G791&gt;=70,4,IF(G791&gt;=60,3.5,IF(G791&gt;=50,3,IF(G791&gt;=40,2,IF(G791&gt;=33,1,0)))))))</f>
        <v/>
      </c>
      <c r="AF791">
        <f>IF(H791+I791&lt;66,0,IF((H791+I791)/2&gt;=80,5,IF((H791+I791)/2&gt;=70,4,IF((H791+I791)/2&gt;=60,3.5,IF((H791+I791)/2&gt;=50,3,IF((H791+I791)/2&gt;=40,2,IF((H791+I791)/2&gt;=33,1,0)))))))</f>
        <v/>
      </c>
      <c r="AG791">
        <f>IF(Y791,0,IF((J791+K791+L791+M791)/2&gt;=80,5,IF((J791+K791+L791+M791)/2&gt;=70,4,IF((J791+K791+L791+M791)/2&gt;=60,3.5,IF((J791+K791+L791+M791)/2&gt;=50,3,IF((J791+K791+L791+M791)/2&gt;=40,2,IF((J791+K791+L791+M791)/2&gt;=33,1,0)))))))</f>
        <v/>
      </c>
      <c r="AH791">
        <f>IF(Z791,0,IF(N791+O791&gt;=80,5,IF(N791+O791&gt;=70,4,IF(N791+O791&gt;=60,3.5,IF(N791+O791&gt;=50,3,IF(N791+O791&gt;=40,2,IF(N791+O791&gt;=33,1,0)))))))</f>
        <v/>
      </c>
      <c r="AI791">
        <f>IF(AA791,0,IF(P791+Q791&gt;=80,5,IF(P791+Q791&gt;=70,4,IF(P791+Q791&gt;=60,3.5,IF(P791+Q791&gt;=50,3,IF(P791+Q791&gt;=40,2,IF(P791+Q791&gt;=33,1,0)))))))</f>
        <v/>
      </c>
      <c r="AJ791">
        <f>IF(R791&lt;8.25,0,IF(R791*2&gt;=80,5,IF(R791*2&gt;=70,4,IF(R791*2&gt;=60,3.5,IF(R791*2&gt;=50,3,IF(R791*2&gt;=40,2,IF(R791*2&gt;=33,1,0)))))))</f>
        <v/>
      </c>
      <c r="AK791">
        <f>IF(S791&lt;33,0,IF(S791&gt;=80,5,IF(S791&gt;=70,4,IF(S791&gt;=60,3.5,IF(S791&gt;=50,3,IF(S791&gt;=40,2,IF(S791&gt;=33,1,0)))))))</f>
        <v/>
      </c>
      <c r="AL791">
        <f>(AC791+AD791+AE791+AF791+AG791+AH791+AI791+AJ791)/8</f>
        <v/>
      </c>
      <c r="AM791">
        <f>IF(AK791&gt;=2,(AK791-2)/8,0)</f>
        <v/>
      </c>
    </row>
    <row r="792">
      <c r="T792">
        <f>SUM(C792:R792)</f>
        <v/>
      </c>
      <c r="U792" s="6">
        <f>ROUND(T792/11.5,2)</f>
        <v/>
      </c>
      <c r="V792" s="7">
        <f>IF(B792="","",IF(AB792,0,ROUND(AL792,2)))</f>
        <v/>
      </c>
      <c r="W792" s="7">
        <f>IF(B792="","",IF(AB792,0,MIN(5,ROUND(AL792+AM792,2))))</f>
        <v/>
      </c>
      <c r="X792" s="8">
        <f>IF(B792="","",IF(W792&gt;=5,"A+",IF(W792&gt;=4,"A",IF(W792&gt;=3.5,"A-",IF(W792&gt;=3,"B",IF(W792&gt;=2,"C",IF(W792&gt;=1,"D","F")))))))</f>
        <v/>
      </c>
      <c r="Y792">
        <f>NOT(OR(AND(J792&gt;=10,K792&gt;=23,L792&gt;=10,M792&gt;=23),AND(J792+L792&gt;=20,K792+M792&gt;=46)))</f>
        <v/>
      </c>
      <c r="Z792">
        <f>OR(N792&lt;10,O792&lt;23)</f>
        <v/>
      </c>
      <c r="AA792">
        <f>OR(P792&lt;10,Q792&lt;23)</f>
        <v/>
      </c>
      <c r="AB792">
        <f>OR((C792+D792)&lt;66,(E792+F792)&lt;66,G792&lt;33,(H792+I792)&lt;66,Y792,Z792,AA792,R792&lt;8.25)</f>
        <v/>
      </c>
      <c r="AC792">
        <f>IF(C792+D792&lt;66,0,IF((C792+D792)/2&gt;=80,5,IF((C792+D792)/2&gt;=70,4,IF((C792+D792)/2&gt;=60,3.5,IF((C792+D792)/2&gt;=50,3,IF((C792+D792)/2&gt;=40,2,IF((C792+D792)/2&gt;=33,1,0)))))))</f>
        <v/>
      </c>
      <c r="AD792">
        <f>IF(E792+F792&lt;66,0,IF((E792+F792)/2&gt;=80,5,IF((E792+F792)/2&gt;=70,4,IF((E792+F792)/2&gt;=60,3.5,IF((E792+F792)/2&gt;=50,3,IF((E792+F792)/2&gt;=40,2,IF((E792+F792)/2&gt;=33,1,0)))))))</f>
        <v/>
      </c>
      <c r="AE792">
        <f>IF(G792&lt;33,0,IF(G792&gt;=80,5,IF(G792&gt;=70,4,IF(G792&gt;=60,3.5,IF(G792&gt;=50,3,IF(G792&gt;=40,2,IF(G792&gt;=33,1,0)))))))</f>
        <v/>
      </c>
      <c r="AF792">
        <f>IF(H792+I792&lt;66,0,IF((H792+I792)/2&gt;=80,5,IF((H792+I792)/2&gt;=70,4,IF((H792+I792)/2&gt;=60,3.5,IF((H792+I792)/2&gt;=50,3,IF((H792+I792)/2&gt;=40,2,IF((H792+I792)/2&gt;=33,1,0)))))))</f>
        <v/>
      </c>
      <c r="AG792">
        <f>IF(Y792,0,IF((J792+K792+L792+M792)/2&gt;=80,5,IF((J792+K792+L792+M792)/2&gt;=70,4,IF((J792+K792+L792+M792)/2&gt;=60,3.5,IF((J792+K792+L792+M792)/2&gt;=50,3,IF((J792+K792+L792+M792)/2&gt;=40,2,IF((J792+K792+L792+M792)/2&gt;=33,1,0)))))))</f>
        <v/>
      </c>
      <c r="AH792">
        <f>IF(Z792,0,IF(N792+O792&gt;=80,5,IF(N792+O792&gt;=70,4,IF(N792+O792&gt;=60,3.5,IF(N792+O792&gt;=50,3,IF(N792+O792&gt;=40,2,IF(N792+O792&gt;=33,1,0)))))))</f>
        <v/>
      </c>
      <c r="AI792">
        <f>IF(AA792,0,IF(P792+Q792&gt;=80,5,IF(P792+Q792&gt;=70,4,IF(P792+Q792&gt;=60,3.5,IF(P792+Q792&gt;=50,3,IF(P792+Q792&gt;=40,2,IF(P792+Q792&gt;=33,1,0)))))))</f>
        <v/>
      </c>
      <c r="AJ792">
        <f>IF(R792&lt;8.25,0,IF(R792*2&gt;=80,5,IF(R792*2&gt;=70,4,IF(R792*2&gt;=60,3.5,IF(R792*2&gt;=50,3,IF(R792*2&gt;=40,2,IF(R792*2&gt;=33,1,0)))))))</f>
        <v/>
      </c>
      <c r="AK792">
        <f>IF(S792&lt;33,0,IF(S792&gt;=80,5,IF(S792&gt;=70,4,IF(S792&gt;=60,3.5,IF(S792&gt;=50,3,IF(S792&gt;=40,2,IF(S792&gt;=33,1,0)))))))</f>
        <v/>
      </c>
      <c r="AL792">
        <f>(AC792+AD792+AE792+AF792+AG792+AH792+AI792+AJ792)/8</f>
        <v/>
      </c>
      <c r="AM792">
        <f>IF(AK792&gt;=2,(AK792-2)/8,0)</f>
        <v/>
      </c>
    </row>
    <row r="793">
      <c r="T793">
        <f>SUM(C793:R793)</f>
        <v/>
      </c>
      <c r="U793" s="6">
        <f>ROUND(T793/11.5,2)</f>
        <v/>
      </c>
      <c r="V793" s="7">
        <f>IF(B793="","",IF(AB793,0,ROUND(AL793,2)))</f>
        <v/>
      </c>
      <c r="W793" s="7">
        <f>IF(B793="","",IF(AB793,0,MIN(5,ROUND(AL793+AM793,2))))</f>
        <v/>
      </c>
      <c r="X793" s="8">
        <f>IF(B793="","",IF(W793&gt;=5,"A+",IF(W793&gt;=4,"A",IF(W793&gt;=3.5,"A-",IF(W793&gt;=3,"B",IF(W793&gt;=2,"C",IF(W793&gt;=1,"D","F")))))))</f>
        <v/>
      </c>
      <c r="Y793">
        <f>NOT(OR(AND(J793&gt;=10,K793&gt;=23,L793&gt;=10,M793&gt;=23),AND(J793+L793&gt;=20,K793+M793&gt;=46)))</f>
        <v/>
      </c>
      <c r="Z793">
        <f>OR(N793&lt;10,O793&lt;23)</f>
        <v/>
      </c>
      <c r="AA793">
        <f>OR(P793&lt;10,Q793&lt;23)</f>
        <v/>
      </c>
      <c r="AB793">
        <f>OR((C793+D793)&lt;66,(E793+F793)&lt;66,G793&lt;33,(H793+I793)&lt;66,Y793,Z793,AA793,R793&lt;8.25)</f>
        <v/>
      </c>
      <c r="AC793">
        <f>IF(C793+D793&lt;66,0,IF((C793+D793)/2&gt;=80,5,IF((C793+D793)/2&gt;=70,4,IF((C793+D793)/2&gt;=60,3.5,IF((C793+D793)/2&gt;=50,3,IF((C793+D793)/2&gt;=40,2,IF((C793+D793)/2&gt;=33,1,0)))))))</f>
        <v/>
      </c>
      <c r="AD793">
        <f>IF(E793+F793&lt;66,0,IF((E793+F793)/2&gt;=80,5,IF((E793+F793)/2&gt;=70,4,IF((E793+F793)/2&gt;=60,3.5,IF((E793+F793)/2&gt;=50,3,IF((E793+F793)/2&gt;=40,2,IF((E793+F793)/2&gt;=33,1,0)))))))</f>
        <v/>
      </c>
      <c r="AE793">
        <f>IF(G793&lt;33,0,IF(G793&gt;=80,5,IF(G793&gt;=70,4,IF(G793&gt;=60,3.5,IF(G793&gt;=50,3,IF(G793&gt;=40,2,IF(G793&gt;=33,1,0)))))))</f>
        <v/>
      </c>
      <c r="AF793">
        <f>IF(H793+I793&lt;66,0,IF((H793+I793)/2&gt;=80,5,IF((H793+I793)/2&gt;=70,4,IF((H793+I793)/2&gt;=60,3.5,IF((H793+I793)/2&gt;=50,3,IF((H793+I793)/2&gt;=40,2,IF((H793+I793)/2&gt;=33,1,0)))))))</f>
        <v/>
      </c>
      <c r="AG793">
        <f>IF(Y793,0,IF((J793+K793+L793+M793)/2&gt;=80,5,IF((J793+K793+L793+M793)/2&gt;=70,4,IF((J793+K793+L793+M793)/2&gt;=60,3.5,IF((J793+K793+L793+M793)/2&gt;=50,3,IF((J793+K793+L793+M793)/2&gt;=40,2,IF((J793+K793+L793+M793)/2&gt;=33,1,0)))))))</f>
        <v/>
      </c>
      <c r="AH793">
        <f>IF(Z793,0,IF(N793+O793&gt;=80,5,IF(N793+O793&gt;=70,4,IF(N793+O793&gt;=60,3.5,IF(N793+O793&gt;=50,3,IF(N793+O793&gt;=40,2,IF(N793+O793&gt;=33,1,0)))))))</f>
        <v/>
      </c>
      <c r="AI793">
        <f>IF(AA793,0,IF(P793+Q793&gt;=80,5,IF(P793+Q793&gt;=70,4,IF(P793+Q793&gt;=60,3.5,IF(P793+Q793&gt;=50,3,IF(P793+Q793&gt;=40,2,IF(P793+Q793&gt;=33,1,0)))))))</f>
        <v/>
      </c>
      <c r="AJ793">
        <f>IF(R793&lt;8.25,0,IF(R793*2&gt;=80,5,IF(R793*2&gt;=70,4,IF(R793*2&gt;=60,3.5,IF(R793*2&gt;=50,3,IF(R793*2&gt;=40,2,IF(R793*2&gt;=33,1,0)))))))</f>
        <v/>
      </c>
      <c r="AK793">
        <f>IF(S793&lt;33,0,IF(S793&gt;=80,5,IF(S793&gt;=70,4,IF(S793&gt;=60,3.5,IF(S793&gt;=50,3,IF(S793&gt;=40,2,IF(S793&gt;=33,1,0)))))))</f>
        <v/>
      </c>
      <c r="AL793">
        <f>(AC793+AD793+AE793+AF793+AG793+AH793+AI793+AJ793)/8</f>
        <v/>
      </c>
      <c r="AM793">
        <f>IF(AK793&gt;=2,(AK793-2)/8,0)</f>
        <v/>
      </c>
    </row>
    <row r="794">
      <c r="T794">
        <f>SUM(C794:R794)</f>
        <v/>
      </c>
      <c r="U794" s="6">
        <f>ROUND(T794/11.5,2)</f>
        <v/>
      </c>
      <c r="V794" s="7">
        <f>IF(B794="","",IF(AB794,0,ROUND(AL794,2)))</f>
        <v/>
      </c>
      <c r="W794" s="7">
        <f>IF(B794="","",IF(AB794,0,MIN(5,ROUND(AL794+AM794,2))))</f>
        <v/>
      </c>
      <c r="X794" s="8">
        <f>IF(B794="","",IF(W794&gt;=5,"A+",IF(W794&gt;=4,"A",IF(W794&gt;=3.5,"A-",IF(W794&gt;=3,"B",IF(W794&gt;=2,"C",IF(W794&gt;=1,"D","F")))))))</f>
        <v/>
      </c>
      <c r="Y794">
        <f>NOT(OR(AND(J794&gt;=10,K794&gt;=23,L794&gt;=10,M794&gt;=23),AND(J794+L794&gt;=20,K794+M794&gt;=46)))</f>
        <v/>
      </c>
      <c r="Z794">
        <f>OR(N794&lt;10,O794&lt;23)</f>
        <v/>
      </c>
      <c r="AA794">
        <f>OR(P794&lt;10,Q794&lt;23)</f>
        <v/>
      </c>
      <c r="AB794">
        <f>OR((C794+D794)&lt;66,(E794+F794)&lt;66,G794&lt;33,(H794+I794)&lt;66,Y794,Z794,AA794,R794&lt;8.25)</f>
        <v/>
      </c>
      <c r="AC794">
        <f>IF(C794+D794&lt;66,0,IF((C794+D794)/2&gt;=80,5,IF((C794+D794)/2&gt;=70,4,IF((C794+D794)/2&gt;=60,3.5,IF((C794+D794)/2&gt;=50,3,IF((C794+D794)/2&gt;=40,2,IF((C794+D794)/2&gt;=33,1,0)))))))</f>
        <v/>
      </c>
      <c r="AD794">
        <f>IF(E794+F794&lt;66,0,IF((E794+F794)/2&gt;=80,5,IF((E794+F794)/2&gt;=70,4,IF((E794+F794)/2&gt;=60,3.5,IF((E794+F794)/2&gt;=50,3,IF((E794+F794)/2&gt;=40,2,IF((E794+F794)/2&gt;=33,1,0)))))))</f>
        <v/>
      </c>
      <c r="AE794">
        <f>IF(G794&lt;33,0,IF(G794&gt;=80,5,IF(G794&gt;=70,4,IF(G794&gt;=60,3.5,IF(G794&gt;=50,3,IF(G794&gt;=40,2,IF(G794&gt;=33,1,0)))))))</f>
        <v/>
      </c>
      <c r="AF794">
        <f>IF(H794+I794&lt;66,0,IF((H794+I794)/2&gt;=80,5,IF((H794+I794)/2&gt;=70,4,IF((H794+I794)/2&gt;=60,3.5,IF((H794+I794)/2&gt;=50,3,IF((H794+I794)/2&gt;=40,2,IF((H794+I794)/2&gt;=33,1,0)))))))</f>
        <v/>
      </c>
      <c r="AG794">
        <f>IF(Y794,0,IF((J794+K794+L794+M794)/2&gt;=80,5,IF((J794+K794+L794+M794)/2&gt;=70,4,IF((J794+K794+L794+M794)/2&gt;=60,3.5,IF((J794+K794+L794+M794)/2&gt;=50,3,IF((J794+K794+L794+M794)/2&gt;=40,2,IF((J794+K794+L794+M794)/2&gt;=33,1,0)))))))</f>
        <v/>
      </c>
      <c r="AH794">
        <f>IF(Z794,0,IF(N794+O794&gt;=80,5,IF(N794+O794&gt;=70,4,IF(N794+O794&gt;=60,3.5,IF(N794+O794&gt;=50,3,IF(N794+O794&gt;=40,2,IF(N794+O794&gt;=33,1,0)))))))</f>
        <v/>
      </c>
      <c r="AI794">
        <f>IF(AA794,0,IF(P794+Q794&gt;=80,5,IF(P794+Q794&gt;=70,4,IF(P794+Q794&gt;=60,3.5,IF(P794+Q794&gt;=50,3,IF(P794+Q794&gt;=40,2,IF(P794+Q794&gt;=33,1,0)))))))</f>
        <v/>
      </c>
      <c r="AJ794">
        <f>IF(R794&lt;8.25,0,IF(R794*2&gt;=80,5,IF(R794*2&gt;=70,4,IF(R794*2&gt;=60,3.5,IF(R794*2&gt;=50,3,IF(R794*2&gt;=40,2,IF(R794*2&gt;=33,1,0)))))))</f>
        <v/>
      </c>
      <c r="AK794">
        <f>IF(S794&lt;33,0,IF(S794&gt;=80,5,IF(S794&gt;=70,4,IF(S794&gt;=60,3.5,IF(S794&gt;=50,3,IF(S794&gt;=40,2,IF(S794&gt;=33,1,0)))))))</f>
        <v/>
      </c>
      <c r="AL794">
        <f>(AC794+AD794+AE794+AF794+AG794+AH794+AI794+AJ794)/8</f>
        <v/>
      </c>
      <c r="AM794">
        <f>IF(AK794&gt;=2,(AK794-2)/8,0)</f>
        <v/>
      </c>
    </row>
    <row r="795">
      <c r="T795">
        <f>SUM(C795:R795)</f>
        <v/>
      </c>
      <c r="U795" s="6">
        <f>ROUND(T795/11.5,2)</f>
        <v/>
      </c>
      <c r="V795" s="7">
        <f>IF(B795="","",IF(AB795,0,ROUND(AL795,2)))</f>
        <v/>
      </c>
      <c r="W795" s="7">
        <f>IF(B795="","",IF(AB795,0,MIN(5,ROUND(AL795+AM795,2))))</f>
        <v/>
      </c>
      <c r="X795" s="8">
        <f>IF(B795="","",IF(W795&gt;=5,"A+",IF(W795&gt;=4,"A",IF(W795&gt;=3.5,"A-",IF(W795&gt;=3,"B",IF(W795&gt;=2,"C",IF(W795&gt;=1,"D","F")))))))</f>
        <v/>
      </c>
      <c r="Y795">
        <f>NOT(OR(AND(J795&gt;=10,K795&gt;=23,L795&gt;=10,M795&gt;=23),AND(J795+L795&gt;=20,K795+M795&gt;=46)))</f>
        <v/>
      </c>
      <c r="Z795">
        <f>OR(N795&lt;10,O795&lt;23)</f>
        <v/>
      </c>
      <c r="AA795">
        <f>OR(P795&lt;10,Q795&lt;23)</f>
        <v/>
      </c>
      <c r="AB795">
        <f>OR((C795+D795)&lt;66,(E795+F795)&lt;66,G795&lt;33,(H795+I795)&lt;66,Y795,Z795,AA795,R795&lt;8.25)</f>
        <v/>
      </c>
      <c r="AC795">
        <f>IF(C795+D795&lt;66,0,IF((C795+D795)/2&gt;=80,5,IF((C795+D795)/2&gt;=70,4,IF((C795+D795)/2&gt;=60,3.5,IF((C795+D795)/2&gt;=50,3,IF((C795+D795)/2&gt;=40,2,IF((C795+D795)/2&gt;=33,1,0)))))))</f>
        <v/>
      </c>
      <c r="AD795">
        <f>IF(E795+F795&lt;66,0,IF((E795+F795)/2&gt;=80,5,IF((E795+F795)/2&gt;=70,4,IF((E795+F795)/2&gt;=60,3.5,IF((E795+F795)/2&gt;=50,3,IF((E795+F795)/2&gt;=40,2,IF((E795+F795)/2&gt;=33,1,0)))))))</f>
        <v/>
      </c>
      <c r="AE795">
        <f>IF(G795&lt;33,0,IF(G795&gt;=80,5,IF(G795&gt;=70,4,IF(G795&gt;=60,3.5,IF(G795&gt;=50,3,IF(G795&gt;=40,2,IF(G795&gt;=33,1,0)))))))</f>
        <v/>
      </c>
      <c r="AF795">
        <f>IF(H795+I795&lt;66,0,IF((H795+I795)/2&gt;=80,5,IF((H795+I795)/2&gt;=70,4,IF((H795+I795)/2&gt;=60,3.5,IF((H795+I795)/2&gt;=50,3,IF((H795+I795)/2&gt;=40,2,IF((H795+I795)/2&gt;=33,1,0)))))))</f>
        <v/>
      </c>
      <c r="AG795">
        <f>IF(Y795,0,IF((J795+K795+L795+M795)/2&gt;=80,5,IF((J795+K795+L795+M795)/2&gt;=70,4,IF((J795+K795+L795+M795)/2&gt;=60,3.5,IF((J795+K795+L795+M795)/2&gt;=50,3,IF((J795+K795+L795+M795)/2&gt;=40,2,IF((J795+K795+L795+M795)/2&gt;=33,1,0)))))))</f>
        <v/>
      </c>
      <c r="AH795">
        <f>IF(Z795,0,IF(N795+O795&gt;=80,5,IF(N795+O795&gt;=70,4,IF(N795+O795&gt;=60,3.5,IF(N795+O795&gt;=50,3,IF(N795+O795&gt;=40,2,IF(N795+O795&gt;=33,1,0)))))))</f>
        <v/>
      </c>
      <c r="AI795">
        <f>IF(AA795,0,IF(P795+Q795&gt;=80,5,IF(P795+Q795&gt;=70,4,IF(P795+Q795&gt;=60,3.5,IF(P795+Q795&gt;=50,3,IF(P795+Q795&gt;=40,2,IF(P795+Q795&gt;=33,1,0)))))))</f>
        <v/>
      </c>
      <c r="AJ795">
        <f>IF(R795&lt;8.25,0,IF(R795*2&gt;=80,5,IF(R795*2&gt;=70,4,IF(R795*2&gt;=60,3.5,IF(R795*2&gt;=50,3,IF(R795*2&gt;=40,2,IF(R795*2&gt;=33,1,0)))))))</f>
        <v/>
      </c>
      <c r="AK795">
        <f>IF(S795&lt;33,0,IF(S795&gt;=80,5,IF(S795&gt;=70,4,IF(S795&gt;=60,3.5,IF(S795&gt;=50,3,IF(S795&gt;=40,2,IF(S795&gt;=33,1,0)))))))</f>
        <v/>
      </c>
      <c r="AL795">
        <f>(AC795+AD795+AE795+AF795+AG795+AH795+AI795+AJ795)/8</f>
        <v/>
      </c>
      <c r="AM795">
        <f>IF(AK795&gt;=2,(AK795-2)/8,0)</f>
        <v/>
      </c>
    </row>
    <row r="796">
      <c r="T796">
        <f>SUM(C796:R796)</f>
        <v/>
      </c>
      <c r="U796" s="6">
        <f>ROUND(T796/11.5,2)</f>
        <v/>
      </c>
      <c r="V796" s="7">
        <f>IF(B796="","",IF(AB796,0,ROUND(AL796,2)))</f>
        <v/>
      </c>
      <c r="W796" s="7">
        <f>IF(B796="","",IF(AB796,0,MIN(5,ROUND(AL796+AM796,2))))</f>
        <v/>
      </c>
      <c r="X796" s="8">
        <f>IF(B796="","",IF(W796&gt;=5,"A+",IF(W796&gt;=4,"A",IF(W796&gt;=3.5,"A-",IF(W796&gt;=3,"B",IF(W796&gt;=2,"C",IF(W796&gt;=1,"D","F")))))))</f>
        <v/>
      </c>
      <c r="Y796">
        <f>NOT(OR(AND(J796&gt;=10,K796&gt;=23,L796&gt;=10,M796&gt;=23),AND(J796+L796&gt;=20,K796+M796&gt;=46)))</f>
        <v/>
      </c>
      <c r="Z796">
        <f>OR(N796&lt;10,O796&lt;23)</f>
        <v/>
      </c>
      <c r="AA796">
        <f>OR(P796&lt;10,Q796&lt;23)</f>
        <v/>
      </c>
      <c r="AB796">
        <f>OR((C796+D796)&lt;66,(E796+F796)&lt;66,G796&lt;33,(H796+I796)&lt;66,Y796,Z796,AA796,R796&lt;8.25)</f>
        <v/>
      </c>
      <c r="AC796">
        <f>IF(C796+D796&lt;66,0,IF((C796+D796)/2&gt;=80,5,IF((C796+D796)/2&gt;=70,4,IF((C796+D796)/2&gt;=60,3.5,IF((C796+D796)/2&gt;=50,3,IF((C796+D796)/2&gt;=40,2,IF((C796+D796)/2&gt;=33,1,0)))))))</f>
        <v/>
      </c>
      <c r="AD796">
        <f>IF(E796+F796&lt;66,0,IF((E796+F796)/2&gt;=80,5,IF((E796+F796)/2&gt;=70,4,IF((E796+F796)/2&gt;=60,3.5,IF((E796+F796)/2&gt;=50,3,IF((E796+F796)/2&gt;=40,2,IF((E796+F796)/2&gt;=33,1,0)))))))</f>
        <v/>
      </c>
      <c r="AE796">
        <f>IF(G796&lt;33,0,IF(G796&gt;=80,5,IF(G796&gt;=70,4,IF(G796&gt;=60,3.5,IF(G796&gt;=50,3,IF(G796&gt;=40,2,IF(G796&gt;=33,1,0)))))))</f>
        <v/>
      </c>
      <c r="AF796">
        <f>IF(H796+I796&lt;66,0,IF((H796+I796)/2&gt;=80,5,IF((H796+I796)/2&gt;=70,4,IF((H796+I796)/2&gt;=60,3.5,IF((H796+I796)/2&gt;=50,3,IF((H796+I796)/2&gt;=40,2,IF((H796+I796)/2&gt;=33,1,0)))))))</f>
        <v/>
      </c>
      <c r="AG796">
        <f>IF(Y796,0,IF((J796+K796+L796+M796)/2&gt;=80,5,IF((J796+K796+L796+M796)/2&gt;=70,4,IF((J796+K796+L796+M796)/2&gt;=60,3.5,IF((J796+K796+L796+M796)/2&gt;=50,3,IF((J796+K796+L796+M796)/2&gt;=40,2,IF((J796+K796+L796+M796)/2&gt;=33,1,0)))))))</f>
        <v/>
      </c>
      <c r="AH796">
        <f>IF(Z796,0,IF(N796+O796&gt;=80,5,IF(N796+O796&gt;=70,4,IF(N796+O796&gt;=60,3.5,IF(N796+O796&gt;=50,3,IF(N796+O796&gt;=40,2,IF(N796+O796&gt;=33,1,0)))))))</f>
        <v/>
      </c>
      <c r="AI796">
        <f>IF(AA796,0,IF(P796+Q796&gt;=80,5,IF(P796+Q796&gt;=70,4,IF(P796+Q796&gt;=60,3.5,IF(P796+Q796&gt;=50,3,IF(P796+Q796&gt;=40,2,IF(P796+Q796&gt;=33,1,0)))))))</f>
        <v/>
      </c>
      <c r="AJ796">
        <f>IF(R796&lt;8.25,0,IF(R796*2&gt;=80,5,IF(R796*2&gt;=70,4,IF(R796*2&gt;=60,3.5,IF(R796*2&gt;=50,3,IF(R796*2&gt;=40,2,IF(R796*2&gt;=33,1,0)))))))</f>
        <v/>
      </c>
      <c r="AK796">
        <f>IF(S796&lt;33,0,IF(S796&gt;=80,5,IF(S796&gt;=70,4,IF(S796&gt;=60,3.5,IF(S796&gt;=50,3,IF(S796&gt;=40,2,IF(S796&gt;=33,1,0)))))))</f>
        <v/>
      </c>
      <c r="AL796">
        <f>(AC796+AD796+AE796+AF796+AG796+AH796+AI796+AJ796)/8</f>
        <v/>
      </c>
      <c r="AM796">
        <f>IF(AK796&gt;=2,(AK796-2)/8,0)</f>
        <v/>
      </c>
    </row>
    <row r="797">
      <c r="T797">
        <f>SUM(C797:R797)</f>
        <v/>
      </c>
      <c r="U797" s="6">
        <f>ROUND(T797/11.5,2)</f>
        <v/>
      </c>
      <c r="V797" s="7">
        <f>IF(B797="","",IF(AB797,0,ROUND(AL797,2)))</f>
        <v/>
      </c>
      <c r="W797" s="7">
        <f>IF(B797="","",IF(AB797,0,MIN(5,ROUND(AL797+AM797,2))))</f>
        <v/>
      </c>
      <c r="X797" s="8">
        <f>IF(B797="","",IF(W797&gt;=5,"A+",IF(W797&gt;=4,"A",IF(W797&gt;=3.5,"A-",IF(W797&gt;=3,"B",IF(W797&gt;=2,"C",IF(W797&gt;=1,"D","F")))))))</f>
        <v/>
      </c>
      <c r="Y797">
        <f>NOT(OR(AND(J797&gt;=10,K797&gt;=23,L797&gt;=10,M797&gt;=23),AND(J797+L797&gt;=20,K797+M797&gt;=46)))</f>
        <v/>
      </c>
      <c r="Z797">
        <f>OR(N797&lt;10,O797&lt;23)</f>
        <v/>
      </c>
      <c r="AA797">
        <f>OR(P797&lt;10,Q797&lt;23)</f>
        <v/>
      </c>
      <c r="AB797">
        <f>OR((C797+D797)&lt;66,(E797+F797)&lt;66,G797&lt;33,(H797+I797)&lt;66,Y797,Z797,AA797,R797&lt;8.25)</f>
        <v/>
      </c>
      <c r="AC797">
        <f>IF(C797+D797&lt;66,0,IF((C797+D797)/2&gt;=80,5,IF((C797+D797)/2&gt;=70,4,IF((C797+D797)/2&gt;=60,3.5,IF((C797+D797)/2&gt;=50,3,IF((C797+D797)/2&gt;=40,2,IF((C797+D797)/2&gt;=33,1,0)))))))</f>
        <v/>
      </c>
      <c r="AD797">
        <f>IF(E797+F797&lt;66,0,IF((E797+F797)/2&gt;=80,5,IF((E797+F797)/2&gt;=70,4,IF((E797+F797)/2&gt;=60,3.5,IF((E797+F797)/2&gt;=50,3,IF((E797+F797)/2&gt;=40,2,IF((E797+F797)/2&gt;=33,1,0)))))))</f>
        <v/>
      </c>
      <c r="AE797">
        <f>IF(G797&lt;33,0,IF(G797&gt;=80,5,IF(G797&gt;=70,4,IF(G797&gt;=60,3.5,IF(G797&gt;=50,3,IF(G797&gt;=40,2,IF(G797&gt;=33,1,0)))))))</f>
        <v/>
      </c>
      <c r="AF797">
        <f>IF(H797+I797&lt;66,0,IF((H797+I797)/2&gt;=80,5,IF((H797+I797)/2&gt;=70,4,IF((H797+I797)/2&gt;=60,3.5,IF((H797+I797)/2&gt;=50,3,IF((H797+I797)/2&gt;=40,2,IF((H797+I797)/2&gt;=33,1,0)))))))</f>
        <v/>
      </c>
      <c r="AG797">
        <f>IF(Y797,0,IF((J797+K797+L797+M797)/2&gt;=80,5,IF((J797+K797+L797+M797)/2&gt;=70,4,IF((J797+K797+L797+M797)/2&gt;=60,3.5,IF((J797+K797+L797+M797)/2&gt;=50,3,IF((J797+K797+L797+M797)/2&gt;=40,2,IF((J797+K797+L797+M797)/2&gt;=33,1,0)))))))</f>
        <v/>
      </c>
      <c r="AH797">
        <f>IF(Z797,0,IF(N797+O797&gt;=80,5,IF(N797+O797&gt;=70,4,IF(N797+O797&gt;=60,3.5,IF(N797+O797&gt;=50,3,IF(N797+O797&gt;=40,2,IF(N797+O797&gt;=33,1,0)))))))</f>
        <v/>
      </c>
      <c r="AI797">
        <f>IF(AA797,0,IF(P797+Q797&gt;=80,5,IF(P797+Q797&gt;=70,4,IF(P797+Q797&gt;=60,3.5,IF(P797+Q797&gt;=50,3,IF(P797+Q797&gt;=40,2,IF(P797+Q797&gt;=33,1,0)))))))</f>
        <v/>
      </c>
      <c r="AJ797">
        <f>IF(R797&lt;8.25,0,IF(R797*2&gt;=80,5,IF(R797*2&gt;=70,4,IF(R797*2&gt;=60,3.5,IF(R797*2&gt;=50,3,IF(R797*2&gt;=40,2,IF(R797*2&gt;=33,1,0)))))))</f>
        <v/>
      </c>
      <c r="AK797">
        <f>IF(S797&lt;33,0,IF(S797&gt;=80,5,IF(S797&gt;=70,4,IF(S797&gt;=60,3.5,IF(S797&gt;=50,3,IF(S797&gt;=40,2,IF(S797&gt;=33,1,0)))))))</f>
        <v/>
      </c>
      <c r="AL797">
        <f>(AC797+AD797+AE797+AF797+AG797+AH797+AI797+AJ797)/8</f>
        <v/>
      </c>
      <c r="AM797">
        <f>IF(AK797&gt;=2,(AK797-2)/8,0)</f>
        <v/>
      </c>
    </row>
    <row r="798">
      <c r="T798">
        <f>SUM(C798:R798)</f>
        <v/>
      </c>
      <c r="U798" s="6">
        <f>ROUND(T798/11.5,2)</f>
        <v/>
      </c>
      <c r="V798" s="7">
        <f>IF(B798="","",IF(AB798,0,ROUND(AL798,2)))</f>
        <v/>
      </c>
      <c r="W798" s="7">
        <f>IF(B798="","",IF(AB798,0,MIN(5,ROUND(AL798+AM798,2))))</f>
        <v/>
      </c>
      <c r="X798" s="8">
        <f>IF(B798="","",IF(W798&gt;=5,"A+",IF(W798&gt;=4,"A",IF(W798&gt;=3.5,"A-",IF(W798&gt;=3,"B",IF(W798&gt;=2,"C",IF(W798&gt;=1,"D","F")))))))</f>
        <v/>
      </c>
      <c r="Y798">
        <f>NOT(OR(AND(J798&gt;=10,K798&gt;=23,L798&gt;=10,M798&gt;=23),AND(J798+L798&gt;=20,K798+M798&gt;=46)))</f>
        <v/>
      </c>
      <c r="Z798">
        <f>OR(N798&lt;10,O798&lt;23)</f>
        <v/>
      </c>
      <c r="AA798">
        <f>OR(P798&lt;10,Q798&lt;23)</f>
        <v/>
      </c>
      <c r="AB798">
        <f>OR((C798+D798)&lt;66,(E798+F798)&lt;66,G798&lt;33,(H798+I798)&lt;66,Y798,Z798,AA798,R798&lt;8.25)</f>
        <v/>
      </c>
      <c r="AC798">
        <f>IF(C798+D798&lt;66,0,IF((C798+D798)/2&gt;=80,5,IF((C798+D798)/2&gt;=70,4,IF((C798+D798)/2&gt;=60,3.5,IF((C798+D798)/2&gt;=50,3,IF((C798+D798)/2&gt;=40,2,IF((C798+D798)/2&gt;=33,1,0)))))))</f>
        <v/>
      </c>
      <c r="AD798">
        <f>IF(E798+F798&lt;66,0,IF((E798+F798)/2&gt;=80,5,IF((E798+F798)/2&gt;=70,4,IF((E798+F798)/2&gt;=60,3.5,IF((E798+F798)/2&gt;=50,3,IF((E798+F798)/2&gt;=40,2,IF((E798+F798)/2&gt;=33,1,0)))))))</f>
        <v/>
      </c>
      <c r="AE798">
        <f>IF(G798&lt;33,0,IF(G798&gt;=80,5,IF(G798&gt;=70,4,IF(G798&gt;=60,3.5,IF(G798&gt;=50,3,IF(G798&gt;=40,2,IF(G798&gt;=33,1,0)))))))</f>
        <v/>
      </c>
      <c r="AF798">
        <f>IF(H798+I798&lt;66,0,IF((H798+I798)/2&gt;=80,5,IF((H798+I798)/2&gt;=70,4,IF((H798+I798)/2&gt;=60,3.5,IF((H798+I798)/2&gt;=50,3,IF((H798+I798)/2&gt;=40,2,IF((H798+I798)/2&gt;=33,1,0)))))))</f>
        <v/>
      </c>
      <c r="AG798">
        <f>IF(Y798,0,IF((J798+K798+L798+M798)/2&gt;=80,5,IF((J798+K798+L798+M798)/2&gt;=70,4,IF((J798+K798+L798+M798)/2&gt;=60,3.5,IF((J798+K798+L798+M798)/2&gt;=50,3,IF((J798+K798+L798+M798)/2&gt;=40,2,IF((J798+K798+L798+M798)/2&gt;=33,1,0)))))))</f>
        <v/>
      </c>
      <c r="AH798">
        <f>IF(Z798,0,IF(N798+O798&gt;=80,5,IF(N798+O798&gt;=70,4,IF(N798+O798&gt;=60,3.5,IF(N798+O798&gt;=50,3,IF(N798+O798&gt;=40,2,IF(N798+O798&gt;=33,1,0)))))))</f>
        <v/>
      </c>
      <c r="AI798">
        <f>IF(AA798,0,IF(P798+Q798&gt;=80,5,IF(P798+Q798&gt;=70,4,IF(P798+Q798&gt;=60,3.5,IF(P798+Q798&gt;=50,3,IF(P798+Q798&gt;=40,2,IF(P798+Q798&gt;=33,1,0)))))))</f>
        <v/>
      </c>
      <c r="AJ798">
        <f>IF(R798&lt;8.25,0,IF(R798*2&gt;=80,5,IF(R798*2&gt;=70,4,IF(R798*2&gt;=60,3.5,IF(R798*2&gt;=50,3,IF(R798*2&gt;=40,2,IF(R798*2&gt;=33,1,0)))))))</f>
        <v/>
      </c>
      <c r="AK798">
        <f>IF(S798&lt;33,0,IF(S798&gt;=80,5,IF(S798&gt;=70,4,IF(S798&gt;=60,3.5,IF(S798&gt;=50,3,IF(S798&gt;=40,2,IF(S798&gt;=33,1,0)))))))</f>
        <v/>
      </c>
      <c r="AL798">
        <f>(AC798+AD798+AE798+AF798+AG798+AH798+AI798+AJ798)/8</f>
        <v/>
      </c>
      <c r="AM798">
        <f>IF(AK798&gt;=2,(AK798-2)/8,0)</f>
        <v/>
      </c>
    </row>
    <row r="799">
      <c r="T799">
        <f>SUM(C799:R799)</f>
        <v/>
      </c>
      <c r="U799" s="6">
        <f>ROUND(T799/11.5,2)</f>
        <v/>
      </c>
      <c r="V799" s="7">
        <f>IF(B799="","",IF(AB799,0,ROUND(AL799,2)))</f>
        <v/>
      </c>
      <c r="W799" s="7">
        <f>IF(B799="","",IF(AB799,0,MIN(5,ROUND(AL799+AM799,2))))</f>
        <v/>
      </c>
      <c r="X799" s="8">
        <f>IF(B799="","",IF(W799&gt;=5,"A+",IF(W799&gt;=4,"A",IF(W799&gt;=3.5,"A-",IF(W799&gt;=3,"B",IF(W799&gt;=2,"C",IF(W799&gt;=1,"D","F")))))))</f>
        <v/>
      </c>
      <c r="Y799">
        <f>NOT(OR(AND(J799&gt;=10,K799&gt;=23,L799&gt;=10,M799&gt;=23),AND(J799+L799&gt;=20,K799+M799&gt;=46)))</f>
        <v/>
      </c>
      <c r="Z799">
        <f>OR(N799&lt;10,O799&lt;23)</f>
        <v/>
      </c>
      <c r="AA799">
        <f>OR(P799&lt;10,Q799&lt;23)</f>
        <v/>
      </c>
      <c r="AB799">
        <f>OR((C799+D799)&lt;66,(E799+F799)&lt;66,G799&lt;33,(H799+I799)&lt;66,Y799,Z799,AA799,R799&lt;8.25)</f>
        <v/>
      </c>
      <c r="AC799">
        <f>IF(C799+D799&lt;66,0,IF((C799+D799)/2&gt;=80,5,IF((C799+D799)/2&gt;=70,4,IF((C799+D799)/2&gt;=60,3.5,IF((C799+D799)/2&gt;=50,3,IF((C799+D799)/2&gt;=40,2,IF((C799+D799)/2&gt;=33,1,0)))))))</f>
        <v/>
      </c>
      <c r="AD799">
        <f>IF(E799+F799&lt;66,0,IF((E799+F799)/2&gt;=80,5,IF((E799+F799)/2&gt;=70,4,IF((E799+F799)/2&gt;=60,3.5,IF((E799+F799)/2&gt;=50,3,IF((E799+F799)/2&gt;=40,2,IF((E799+F799)/2&gt;=33,1,0)))))))</f>
        <v/>
      </c>
      <c r="AE799">
        <f>IF(G799&lt;33,0,IF(G799&gt;=80,5,IF(G799&gt;=70,4,IF(G799&gt;=60,3.5,IF(G799&gt;=50,3,IF(G799&gt;=40,2,IF(G799&gt;=33,1,0)))))))</f>
        <v/>
      </c>
      <c r="AF799">
        <f>IF(H799+I799&lt;66,0,IF((H799+I799)/2&gt;=80,5,IF((H799+I799)/2&gt;=70,4,IF((H799+I799)/2&gt;=60,3.5,IF((H799+I799)/2&gt;=50,3,IF((H799+I799)/2&gt;=40,2,IF((H799+I799)/2&gt;=33,1,0)))))))</f>
        <v/>
      </c>
      <c r="AG799">
        <f>IF(Y799,0,IF((J799+K799+L799+M799)/2&gt;=80,5,IF((J799+K799+L799+M799)/2&gt;=70,4,IF((J799+K799+L799+M799)/2&gt;=60,3.5,IF((J799+K799+L799+M799)/2&gt;=50,3,IF((J799+K799+L799+M799)/2&gt;=40,2,IF((J799+K799+L799+M799)/2&gt;=33,1,0)))))))</f>
        <v/>
      </c>
      <c r="AH799">
        <f>IF(Z799,0,IF(N799+O799&gt;=80,5,IF(N799+O799&gt;=70,4,IF(N799+O799&gt;=60,3.5,IF(N799+O799&gt;=50,3,IF(N799+O799&gt;=40,2,IF(N799+O799&gt;=33,1,0)))))))</f>
        <v/>
      </c>
      <c r="AI799">
        <f>IF(AA799,0,IF(P799+Q799&gt;=80,5,IF(P799+Q799&gt;=70,4,IF(P799+Q799&gt;=60,3.5,IF(P799+Q799&gt;=50,3,IF(P799+Q799&gt;=40,2,IF(P799+Q799&gt;=33,1,0)))))))</f>
        <v/>
      </c>
      <c r="AJ799">
        <f>IF(R799&lt;8.25,0,IF(R799*2&gt;=80,5,IF(R799*2&gt;=70,4,IF(R799*2&gt;=60,3.5,IF(R799*2&gt;=50,3,IF(R799*2&gt;=40,2,IF(R799*2&gt;=33,1,0)))))))</f>
        <v/>
      </c>
      <c r="AK799">
        <f>IF(S799&lt;33,0,IF(S799&gt;=80,5,IF(S799&gt;=70,4,IF(S799&gt;=60,3.5,IF(S799&gt;=50,3,IF(S799&gt;=40,2,IF(S799&gt;=33,1,0)))))))</f>
        <v/>
      </c>
      <c r="AL799">
        <f>(AC799+AD799+AE799+AF799+AG799+AH799+AI799+AJ799)/8</f>
        <v/>
      </c>
      <c r="AM799">
        <f>IF(AK799&gt;=2,(AK799-2)/8,0)</f>
        <v/>
      </c>
    </row>
    <row r="800">
      <c r="T800">
        <f>SUM(C800:R800)</f>
        <v/>
      </c>
      <c r="U800" s="6">
        <f>ROUND(T800/11.5,2)</f>
        <v/>
      </c>
      <c r="V800" s="7">
        <f>IF(B800="","",IF(AB800,0,ROUND(AL800,2)))</f>
        <v/>
      </c>
      <c r="W800" s="7">
        <f>IF(B800="","",IF(AB800,0,MIN(5,ROUND(AL800+AM800,2))))</f>
        <v/>
      </c>
      <c r="X800" s="8">
        <f>IF(B800="","",IF(W800&gt;=5,"A+",IF(W800&gt;=4,"A",IF(W800&gt;=3.5,"A-",IF(W800&gt;=3,"B",IF(W800&gt;=2,"C",IF(W800&gt;=1,"D","F")))))))</f>
        <v/>
      </c>
      <c r="Y800">
        <f>NOT(OR(AND(J800&gt;=10,K800&gt;=23,L800&gt;=10,M800&gt;=23),AND(J800+L800&gt;=20,K800+M800&gt;=46)))</f>
        <v/>
      </c>
      <c r="Z800">
        <f>OR(N800&lt;10,O800&lt;23)</f>
        <v/>
      </c>
      <c r="AA800">
        <f>OR(P800&lt;10,Q800&lt;23)</f>
        <v/>
      </c>
      <c r="AB800">
        <f>OR((C800+D800)&lt;66,(E800+F800)&lt;66,G800&lt;33,(H800+I800)&lt;66,Y800,Z800,AA800,R800&lt;8.25)</f>
        <v/>
      </c>
      <c r="AC800">
        <f>IF(C800+D800&lt;66,0,IF((C800+D800)/2&gt;=80,5,IF((C800+D800)/2&gt;=70,4,IF((C800+D800)/2&gt;=60,3.5,IF((C800+D800)/2&gt;=50,3,IF((C800+D800)/2&gt;=40,2,IF((C800+D800)/2&gt;=33,1,0)))))))</f>
        <v/>
      </c>
      <c r="AD800">
        <f>IF(E800+F800&lt;66,0,IF((E800+F800)/2&gt;=80,5,IF((E800+F800)/2&gt;=70,4,IF((E800+F800)/2&gt;=60,3.5,IF((E800+F800)/2&gt;=50,3,IF((E800+F800)/2&gt;=40,2,IF((E800+F800)/2&gt;=33,1,0)))))))</f>
        <v/>
      </c>
      <c r="AE800">
        <f>IF(G800&lt;33,0,IF(G800&gt;=80,5,IF(G800&gt;=70,4,IF(G800&gt;=60,3.5,IF(G800&gt;=50,3,IF(G800&gt;=40,2,IF(G800&gt;=33,1,0)))))))</f>
        <v/>
      </c>
      <c r="AF800">
        <f>IF(H800+I800&lt;66,0,IF((H800+I800)/2&gt;=80,5,IF((H800+I800)/2&gt;=70,4,IF((H800+I800)/2&gt;=60,3.5,IF((H800+I800)/2&gt;=50,3,IF((H800+I800)/2&gt;=40,2,IF((H800+I800)/2&gt;=33,1,0)))))))</f>
        <v/>
      </c>
      <c r="AG800">
        <f>IF(Y800,0,IF((J800+K800+L800+M800)/2&gt;=80,5,IF((J800+K800+L800+M800)/2&gt;=70,4,IF((J800+K800+L800+M800)/2&gt;=60,3.5,IF((J800+K800+L800+M800)/2&gt;=50,3,IF((J800+K800+L800+M800)/2&gt;=40,2,IF((J800+K800+L800+M800)/2&gt;=33,1,0)))))))</f>
        <v/>
      </c>
      <c r="AH800">
        <f>IF(Z800,0,IF(N800+O800&gt;=80,5,IF(N800+O800&gt;=70,4,IF(N800+O800&gt;=60,3.5,IF(N800+O800&gt;=50,3,IF(N800+O800&gt;=40,2,IF(N800+O800&gt;=33,1,0)))))))</f>
        <v/>
      </c>
      <c r="AI800">
        <f>IF(AA800,0,IF(P800+Q800&gt;=80,5,IF(P800+Q800&gt;=70,4,IF(P800+Q800&gt;=60,3.5,IF(P800+Q800&gt;=50,3,IF(P800+Q800&gt;=40,2,IF(P800+Q800&gt;=33,1,0)))))))</f>
        <v/>
      </c>
      <c r="AJ800">
        <f>IF(R800&lt;8.25,0,IF(R800*2&gt;=80,5,IF(R800*2&gt;=70,4,IF(R800*2&gt;=60,3.5,IF(R800*2&gt;=50,3,IF(R800*2&gt;=40,2,IF(R800*2&gt;=33,1,0)))))))</f>
        <v/>
      </c>
      <c r="AK800">
        <f>IF(S800&lt;33,0,IF(S800&gt;=80,5,IF(S800&gt;=70,4,IF(S800&gt;=60,3.5,IF(S800&gt;=50,3,IF(S800&gt;=40,2,IF(S800&gt;=33,1,0)))))))</f>
        <v/>
      </c>
      <c r="AL800">
        <f>(AC800+AD800+AE800+AF800+AG800+AH800+AI800+AJ800)/8</f>
        <v/>
      </c>
      <c r="AM800">
        <f>IF(AK800&gt;=2,(AK800-2)/8,0)</f>
        <v/>
      </c>
    </row>
    <row r="801">
      <c r="T801">
        <f>SUM(C801:R801)</f>
        <v/>
      </c>
      <c r="U801" s="6">
        <f>ROUND(T801/11.5,2)</f>
        <v/>
      </c>
      <c r="V801" s="7">
        <f>IF(B801="","",IF(AB801,0,ROUND(AL801,2)))</f>
        <v/>
      </c>
      <c r="W801" s="7">
        <f>IF(B801="","",IF(AB801,0,MIN(5,ROUND(AL801+AM801,2))))</f>
        <v/>
      </c>
      <c r="X801" s="8">
        <f>IF(B801="","",IF(W801&gt;=5,"A+",IF(W801&gt;=4,"A",IF(W801&gt;=3.5,"A-",IF(W801&gt;=3,"B",IF(W801&gt;=2,"C",IF(W801&gt;=1,"D","F")))))))</f>
        <v/>
      </c>
      <c r="Y801">
        <f>NOT(OR(AND(J801&gt;=10,K801&gt;=23,L801&gt;=10,M801&gt;=23),AND(J801+L801&gt;=20,K801+M801&gt;=46)))</f>
        <v/>
      </c>
      <c r="Z801">
        <f>OR(N801&lt;10,O801&lt;23)</f>
        <v/>
      </c>
      <c r="AA801">
        <f>OR(P801&lt;10,Q801&lt;23)</f>
        <v/>
      </c>
      <c r="AB801">
        <f>OR((C801+D801)&lt;66,(E801+F801)&lt;66,G801&lt;33,(H801+I801)&lt;66,Y801,Z801,AA801,R801&lt;8.25)</f>
        <v/>
      </c>
      <c r="AC801">
        <f>IF(C801+D801&lt;66,0,IF((C801+D801)/2&gt;=80,5,IF((C801+D801)/2&gt;=70,4,IF((C801+D801)/2&gt;=60,3.5,IF((C801+D801)/2&gt;=50,3,IF((C801+D801)/2&gt;=40,2,IF((C801+D801)/2&gt;=33,1,0)))))))</f>
        <v/>
      </c>
      <c r="AD801">
        <f>IF(E801+F801&lt;66,0,IF((E801+F801)/2&gt;=80,5,IF((E801+F801)/2&gt;=70,4,IF((E801+F801)/2&gt;=60,3.5,IF((E801+F801)/2&gt;=50,3,IF((E801+F801)/2&gt;=40,2,IF((E801+F801)/2&gt;=33,1,0)))))))</f>
        <v/>
      </c>
      <c r="AE801">
        <f>IF(G801&lt;33,0,IF(G801&gt;=80,5,IF(G801&gt;=70,4,IF(G801&gt;=60,3.5,IF(G801&gt;=50,3,IF(G801&gt;=40,2,IF(G801&gt;=33,1,0)))))))</f>
        <v/>
      </c>
      <c r="AF801">
        <f>IF(H801+I801&lt;66,0,IF((H801+I801)/2&gt;=80,5,IF((H801+I801)/2&gt;=70,4,IF((H801+I801)/2&gt;=60,3.5,IF((H801+I801)/2&gt;=50,3,IF((H801+I801)/2&gt;=40,2,IF((H801+I801)/2&gt;=33,1,0)))))))</f>
        <v/>
      </c>
      <c r="AG801">
        <f>IF(Y801,0,IF((J801+K801+L801+M801)/2&gt;=80,5,IF((J801+K801+L801+M801)/2&gt;=70,4,IF((J801+K801+L801+M801)/2&gt;=60,3.5,IF((J801+K801+L801+M801)/2&gt;=50,3,IF((J801+K801+L801+M801)/2&gt;=40,2,IF((J801+K801+L801+M801)/2&gt;=33,1,0)))))))</f>
        <v/>
      </c>
      <c r="AH801">
        <f>IF(Z801,0,IF(N801+O801&gt;=80,5,IF(N801+O801&gt;=70,4,IF(N801+O801&gt;=60,3.5,IF(N801+O801&gt;=50,3,IF(N801+O801&gt;=40,2,IF(N801+O801&gt;=33,1,0)))))))</f>
        <v/>
      </c>
      <c r="AI801">
        <f>IF(AA801,0,IF(P801+Q801&gt;=80,5,IF(P801+Q801&gt;=70,4,IF(P801+Q801&gt;=60,3.5,IF(P801+Q801&gt;=50,3,IF(P801+Q801&gt;=40,2,IF(P801+Q801&gt;=33,1,0)))))))</f>
        <v/>
      </c>
      <c r="AJ801">
        <f>IF(R801&lt;8.25,0,IF(R801*2&gt;=80,5,IF(R801*2&gt;=70,4,IF(R801*2&gt;=60,3.5,IF(R801*2&gt;=50,3,IF(R801*2&gt;=40,2,IF(R801*2&gt;=33,1,0)))))))</f>
        <v/>
      </c>
      <c r="AK801">
        <f>IF(S801&lt;33,0,IF(S801&gt;=80,5,IF(S801&gt;=70,4,IF(S801&gt;=60,3.5,IF(S801&gt;=50,3,IF(S801&gt;=40,2,IF(S801&gt;=33,1,0)))))))</f>
        <v/>
      </c>
      <c r="AL801">
        <f>(AC801+AD801+AE801+AF801+AG801+AH801+AI801+AJ801)/8</f>
        <v/>
      </c>
      <c r="AM801">
        <f>IF(AK801&gt;=2,(AK801-2)/8,0)</f>
        <v/>
      </c>
    </row>
    <row r="802">
      <c r="T802">
        <f>SUM(C802:R802)</f>
        <v/>
      </c>
      <c r="U802" s="6">
        <f>ROUND(T802/11.5,2)</f>
        <v/>
      </c>
      <c r="V802" s="7">
        <f>IF(B802="","",IF(AB802,0,ROUND(AL802,2)))</f>
        <v/>
      </c>
      <c r="W802" s="7">
        <f>IF(B802="","",IF(AB802,0,MIN(5,ROUND(AL802+AM802,2))))</f>
        <v/>
      </c>
      <c r="X802" s="8">
        <f>IF(B802="","",IF(W802&gt;=5,"A+",IF(W802&gt;=4,"A",IF(W802&gt;=3.5,"A-",IF(W802&gt;=3,"B",IF(W802&gt;=2,"C",IF(W802&gt;=1,"D","F")))))))</f>
        <v/>
      </c>
      <c r="Y802">
        <f>NOT(OR(AND(J802&gt;=10,K802&gt;=23,L802&gt;=10,M802&gt;=23),AND(J802+L802&gt;=20,K802+M802&gt;=46)))</f>
        <v/>
      </c>
      <c r="Z802">
        <f>OR(N802&lt;10,O802&lt;23)</f>
        <v/>
      </c>
      <c r="AA802">
        <f>OR(P802&lt;10,Q802&lt;23)</f>
        <v/>
      </c>
      <c r="AB802">
        <f>OR((C802+D802)&lt;66,(E802+F802)&lt;66,G802&lt;33,(H802+I802)&lt;66,Y802,Z802,AA802,R802&lt;8.25)</f>
        <v/>
      </c>
      <c r="AC802">
        <f>IF(C802+D802&lt;66,0,IF((C802+D802)/2&gt;=80,5,IF((C802+D802)/2&gt;=70,4,IF((C802+D802)/2&gt;=60,3.5,IF((C802+D802)/2&gt;=50,3,IF((C802+D802)/2&gt;=40,2,IF((C802+D802)/2&gt;=33,1,0)))))))</f>
        <v/>
      </c>
      <c r="AD802">
        <f>IF(E802+F802&lt;66,0,IF((E802+F802)/2&gt;=80,5,IF((E802+F802)/2&gt;=70,4,IF((E802+F802)/2&gt;=60,3.5,IF((E802+F802)/2&gt;=50,3,IF((E802+F802)/2&gt;=40,2,IF((E802+F802)/2&gt;=33,1,0)))))))</f>
        <v/>
      </c>
      <c r="AE802">
        <f>IF(G802&lt;33,0,IF(G802&gt;=80,5,IF(G802&gt;=70,4,IF(G802&gt;=60,3.5,IF(G802&gt;=50,3,IF(G802&gt;=40,2,IF(G802&gt;=33,1,0)))))))</f>
        <v/>
      </c>
      <c r="AF802">
        <f>IF(H802+I802&lt;66,0,IF((H802+I802)/2&gt;=80,5,IF((H802+I802)/2&gt;=70,4,IF((H802+I802)/2&gt;=60,3.5,IF((H802+I802)/2&gt;=50,3,IF((H802+I802)/2&gt;=40,2,IF((H802+I802)/2&gt;=33,1,0)))))))</f>
        <v/>
      </c>
      <c r="AG802">
        <f>IF(Y802,0,IF((J802+K802+L802+M802)/2&gt;=80,5,IF((J802+K802+L802+M802)/2&gt;=70,4,IF((J802+K802+L802+M802)/2&gt;=60,3.5,IF((J802+K802+L802+M802)/2&gt;=50,3,IF((J802+K802+L802+M802)/2&gt;=40,2,IF((J802+K802+L802+M802)/2&gt;=33,1,0)))))))</f>
        <v/>
      </c>
      <c r="AH802">
        <f>IF(Z802,0,IF(N802+O802&gt;=80,5,IF(N802+O802&gt;=70,4,IF(N802+O802&gt;=60,3.5,IF(N802+O802&gt;=50,3,IF(N802+O802&gt;=40,2,IF(N802+O802&gt;=33,1,0)))))))</f>
        <v/>
      </c>
      <c r="AI802">
        <f>IF(AA802,0,IF(P802+Q802&gt;=80,5,IF(P802+Q802&gt;=70,4,IF(P802+Q802&gt;=60,3.5,IF(P802+Q802&gt;=50,3,IF(P802+Q802&gt;=40,2,IF(P802+Q802&gt;=33,1,0)))))))</f>
        <v/>
      </c>
      <c r="AJ802">
        <f>IF(R802&lt;8.25,0,IF(R802*2&gt;=80,5,IF(R802*2&gt;=70,4,IF(R802*2&gt;=60,3.5,IF(R802*2&gt;=50,3,IF(R802*2&gt;=40,2,IF(R802*2&gt;=33,1,0)))))))</f>
        <v/>
      </c>
      <c r="AK802">
        <f>IF(S802&lt;33,0,IF(S802&gt;=80,5,IF(S802&gt;=70,4,IF(S802&gt;=60,3.5,IF(S802&gt;=50,3,IF(S802&gt;=40,2,IF(S802&gt;=33,1,0)))))))</f>
        <v/>
      </c>
      <c r="AL802">
        <f>(AC802+AD802+AE802+AF802+AG802+AH802+AI802+AJ802)/8</f>
        <v/>
      </c>
      <c r="AM802">
        <f>IF(AK802&gt;=2,(AK802-2)/8,0)</f>
        <v/>
      </c>
    </row>
    <row r="803">
      <c r="T803">
        <f>SUM(C803:R803)</f>
        <v/>
      </c>
      <c r="U803" s="6">
        <f>ROUND(T803/11.5,2)</f>
        <v/>
      </c>
      <c r="V803" s="7">
        <f>IF(B803="","",IF(AB803,0,ROUND(AL803,2)))</f>
        <v/>
      </c>
      <c r="W803" s="7">
        <f>IF(B803="","",IF(AB803,0,MIN(5,ROUND(AL803+AM803,2))))</f>
        <v/>
      </c>
      <c r="X803" s="8">
        <f>IF(B803="","",IF(W803&gt;=5,"A+",IF(W803&gt;=4,"A",IF(W803&gt;=3.5,"A-",IF(W803&gt;=3,"B",IF(W803&gt;=2,"C",IF(W803&gt;=1,"D","F")))))))</f>
        <v/>
      </c>
      <c r="Y803">
        <f>NOT(OR(AND(J803&gt;=10,K803&gt;=23,L803&gt;=10,M803&gt;=23),AND(J803+L803&gt;=20,K803+M803&gt;=46)))</f>
        <v/>
      </c>
      <c r="Z803">
        <f>OR(N803&lt;10,O803&lt;23)</f>
        <v/>
      </c>
      <c r="AA803">
        <f>OR(P803&lt;10,Q803&lt;23)</f>
        <v/>
      </c>
      <c r="AB803">
        <f>OR((C803+D803)&lt;66,(E803+F803)&lt;66,G803&lt;33,(H803+I803)&lt;66,Y803,Z803,AA803,R803&lt;8.25)</f>
        <v/>
      </c>
      <c r="AC803">
        <f>IF(C803+D803&lt;66,0,IF((C803+D803)/2&gt;=80,5,IF((C803+D803)/2&gt;=70,4,IF((C803+D803)/2&gt;=60,3.5,IF((C803+D803)/2&gt;=50,3,IF((C803+D803)/2&gt;=40,2,IF((C803+D803)/2&gt;=33,1,0)))))))</f>
        <v/>
      </c>
      <c r="AD803">
        <f>IF(E803+F803&lt;66,0,IF((E803+F803)/2&gt;=80,5,IF((E803+F803)/2&gt;=70,4,IF((E803+F803)/2&gt;=60,3.5,IF((E803+F803)/2&gt;=50,3,IF((E803+F803)/2&gt;=40,2,IF((E803+F803)/2&gt;=33,1,0)))))))</f>
        <v/>
      </c>
      <c r="AE803">
        <f>IF(G803&lt;33,0,IF(G803&gt;=80,5,IF(G803&gt;=70,4,IF(G803&gt;=60,3.5,IF(G803&gt;=50,3,IF(G803&gt;=40,2,IF(G803&gt;=33,1,0)))))))</f>
        <v/>
      </c>
      <c r="AF803">
        <f>IF(H803+I803&lt;66,0,IF((H803+I803)/2&gt;=80,5,IF((H803+I803)/2&gt;=70,4,IF((H803+I803)/2&gt;=60,3.5,IF((H803+I803)/2&gt;=50,3,IF((H803+I803)/2&gt;=40,2,IF((H803+I803)/2&gt;=33,1,0)))))))</f>
        <v/>
      </c>
      <c r="AG803">
        <f>IF(Y803,0,IF((J803+K803+L803+M803)/2&gt;=80,5,IF((J803+K803+L803+M803)/2&gt;=70,4,IF((J803+K803+L803+M803)/2&gt;=60,3.5,IF((J803+K803+L803+M803)/2&gt;=50,3,IF((J803+K803+L803+M803)/2&gt;=40,2,IF((J803+K803+L803+M803)/2&gt;=33,1,0)))))))</f>
        <v/>
      </c>
      <c r="AH803">
        <f>IF(Z803,0,IF(N803+O803&gt;=80,5,IF(N803+O803&gt;=70,4,IF(N803+O803&gt;=60,3.5,IF(N803+O803&gt;=50,3,IF(N803+O803&gt;=40,2,IF(N803+O803&gt;=33,1,0)))))))</f>
        <v/>
      </c>
      <c r="AI803">
        <f>IF(AA803,0,IF(P803+Q803&gt;=80,5,IF(P803+Q803&gt;=70,4,IF(P803+Q803&gt;=60,3.5,IF(P803+Q803&gt;=50,3,IF(P803+Q803&gt;=40,2,IF(P803+Q803&gt;=33,1,0)))))))</f>
        <v/>
      </c>
      <c r="AJ803">
        <f>IF(R803&lt;8.25,0,IF(R803*2&gt;=80,5,IF(R803*2&gt;=70,4,IF(R803*2&gt;=60,3.5,IF(R803*2&gt;=50,3,IF(R803*2&gt;=40,2,IF(R803*2&gt;=33,1,0)))))))</f>
        <v/>
      </c>
      <c r="AK803">
        <f>IF(S803&lt;33,0,IF(S803&gt;=80,5,IF(S803&gt;=70,4,IF(S803&gt;=60,3.5,IF(S803&gt;=50,3,IF(S803&gt;=40,2,IF(S803&gt;=33,1,0)))))))</f>
        <v/>
      </c>
      <c r="AL803">
        <f>(AC803+AD803+AE803+AF803+AG803+AH803+AI803+AJ803)/8</f>
        <v/>
      </c>
      <c r="AM803">
        <f>IF(AK803&gt;=2,(AK803-2)/8,0)</f>
        <v/>
      </c>
    </row>
    <row r="804">
      <c r="T804">
        <f>SUM(C804:R804)</f>
        <v/>
      </c>
      <c r="U804" s="6">
        <f>ROUND(T804/11.5,2)</f>
        <v/>
      </c>
      <c r="V804" s="7">
        <f>IF(B804="","",IF(AB804,0,ROUND(AL804,2)))</f>
        <v/>
      </c>
      <c r="W804" s="7">
        <f>IF(B804="","",IF(AB804,0,MIN(5,ROUND(AL804+AM804,2))))</f>
        <v/>
      </c>
      <c r="X804" s="8">
        <f>IF(B804="","",IF(W804&gt;=5,"A+",IF(W804&gt;=4,"A",IF(W804&gt;=3.5,"A-",IF(W804&gt;=3,"B",IF(W804&gt;=2,"C",IF(W804&gt;=1,"D","F")))))))</f>
        <v/>
      </c>
      <c r="Y804">
        <f>NOT(OR(AND(J804&gt;=10,K804&gt;=23,L804&gt;=10,M804&gt;=23),AND(J804+L804&gt;=20,K804+M804&gt;=46)))</f>
        <v/>
      </c>
      <c r="Z804">
        <f>OR(N804&lt;10,O804&lt;23)</f>
        <v/>
      </c>
      <c r="AA804">
        <f>OR(P804&lt;10,Q804&lt;23)</f>
        <v/>
      </c>
      <c r="AB804">
        <f>OR((C804+D804)&lt;66,(E804+F804)&lt;66,G804&lt;33,(H804+I804)&lt;66,Y804,Z804,AA804,R804&lt;8.25)</f>
        <v/>
      </c>
      <c r="AC804">
        <f>IF(C804+D804&lt;66,0,IF((C804+D804)/2&gt;=80,5,IF((C804+D804)/2&gt;=70,4,IF((C804+D804)/2&gt;=60,3.5,IF((C804+D804)/2&gt;=50,3,IF((C804+D804)/2&gt;=40,2,IF((C804+D804)/2&gt;=33,1,0)))))))</f>
        <v/>
      </c>
      <c r="AD804">
        <f>IF(E804+F804&lt;66,0,IF((E804+F804)/2&gt;=80,5,IF((E804+F804)/2&gt;=70,4,IF((E804+F804)/2&gt;=60,3.5,IF((E804+F804)/2&gt;=50,3,IF((E804+F804)/2&gt;=40,2,IF((E804+F804)/2&gt;=33,1,0)))))))</f>
        <v/>
      </c>
      <c r="AE804">
        <f>IF(G804&lt;33,0,IF(G804&gt;=80,5,IF(G804&gt;=70,4,IF(G804&gt;=60,3.5,IF(G804&gt;=50,3,IF(G804&gt;=40,2,IF(G804&gt;=33,1,0)))))))</f>
        <v/>
      </c>
      <c r="AF804">
        <f>IF(H804+I804&lt;66,0,IF((H804+I804)/2&gt;=80,5,IF((H804+I804)/2&gt;=70,4,IF((H804+I804)/2&gt;=60,3.5,IF((H804+I804)/2&gt;=50,3,IF((H804+I804)/2&gt;=40,2,IF((H804+I804)/2&gt;=33,1,0)))))))</f>
        <v/>
      </c>
      <c r="AG804">
        <f>IF(Y804,0,IF((J804+K804+L804+M804)/2&gt;=80,5,IF((J804+K804+L804+M804)/2&gt;=70,4,IF((J804+K804+L804+M804)/2&gt;=60,3.5,IF((J804+K804+L804+M804)/2&gt;=50,3,IF((J804+K804+L804+M804)/2&gt;=40,2,IF((J804+K804+L804+M804)/2&gt;=33,1,0)))))))</f>
        <v/>
      </c>
      <c r="AH804">
        <f>IF(Z804,0,IF(N804+O804&gt;=80,5,IF(N804+O804&gt;=70,4,IF(N804+O804&gt;=60,3.5,IF(N804+O804&gt;=50,3,IF(N804+O804&gt;=40,2,IF(N804+O804&gt;=33,1,0)))))))</f>
        <v/>
      </c>
      <c r="AI804">
        <f>IF(AA804,0,IF(P804+Q804&gt;=80,5,IF(P804+Q804&gt;=70,4,IF(P804+Q804&gt;=60,3.5,IF(P804+Q804&gt;=50,3,IF(P804+Q804&gt;=40,2,IF(P804+Q804&gt;=33,1,0)))))))</f>
        <v/>
      </c>
      <c r="AJ804">
        <f>IF(R804&lt;8.25,0,IF(R804*2&gt;=80,5,IF(R804*2&gt;=70,4,IF(R804*2&gt;=60,3.5,IF(R804*2&gt;=50,3,IF(R804*2&gt;=40,2,IF(R804*2&gt;=33,1,0)))))))</f>
        <v/>
      </c>
      <c r="AK804">
        <f>IF(S804&lt;33,0,IF(S804&gt;=80,5,IF(S804&gt;=70,4,IF(S804&gt;=60,3.5,IF(S804&gt;=50,3,IF(S804&gt;=40,2,IF(S804&gt;=33,1,0)))))))</f>
        <v/>
      </c>
      <c r="AL804">
        <f>(AC804+AD804+AE804+AF804+AG804+AH804+AI804+AJ804)/8</f>
        <v/>
      </c>
      <c r="AM804">
        <f>IF(AK804&gt;=2,(AK804-2)/8,0)</f>
        <v/>
      </c>
    </row>
    <row r="805">
      <c r="T805">
        <f>SUM(C805:R805)</f>
        <v/>
      </c>
      <c r="U805" s="6">
        <f>ROUND(T805/11.5,2)</f>
        <v/>
      </c>
      <c r="V805" s="7">
        <f>IF(B805="","",IF(AB805,0,ROUND(AL805,2)))</f>
        <v/>
      </c>
      <c r="W805" s="7">
        <f>IF(B805="","",IF(AB805,0,MIN(5,ROUND(AL805+AM805,2))))</f>
        <v/>
      </c>
      <c r="X805" s="8">
        <f>IF(B805="","",IF(W805&gt;=5,"A+",IF(W805&gt;=4,"A",IF(W805&gt;=3.5,"A-",IF(W805&gt;=3,"B",IF(W805&gt;=2,"C",IF(W805&gt;=1,"D","F")))))))</f>
        <v/>
      </c>
      <c r="Y805">
        <f>NOT(OR(AND(J805&gt;=10,K805&gt;=23,L805&gt;=10,M805&gt;=23),AND(J805+L805&gt;=20,K805+M805&gt;=46)))</f>
        <v/>
      </c>
      <c r="Z805">
        <f>OR(N805&lt;10,O805&lt;23)</f>
        <v/>
      </c>
      <c r="AA805">
        <f>OR(P805&lt;10,Q805&lt;23)</f>
        <v/>
      </c>
      <c r="AB805">
        <f>OR((C805+D805)&lt;66,(E805+F805)&lt;66,G805&lt;33,(H805+I805)&lt;66,Y805,Z805,AA805,R805&lt;8.25)</f>
        <v/>
      </c>
      <c r="AC805">
        <f>IF(C805+D805&lt;66,0,IF((C805+D805)/2&gt;=80,5,IF((C805+D805)/2&gt;=70,4,IF((C805+D805)/2&gt;=60,3.5,IF((C805+D805)/2&gt;=50,3,IF((C805+D805)/2&gt;=40,2,IF((C805+D805)/2&gt;=33,1,0)))))))</f>
        <v/>
      </c>
      <c r="AD805">
        <f>IF(E805+F805&lt;66,0,IF((E805+F805)/2&gt;=80,5,IF((E805+F805)/2&gt;=70,4,IF((E805+F805)/2&gt;=60,3.5,IF((E805+F805)/2&gt;=50,3,IF((E805+F805)/2&gt;=40,2,IF((E805+F805)/2&gt;=33,1,0)))))))</f>
        <v/>
      </c>
      <c r="AE805">
        <f>IF(G805&lt;33,0,IF(G805&gt;=80,5,IF(G805&gt;=70,4,IF(G805&gt;=60,3.5,IF(G805&gt;=50,3,IF(G805&gt;=40,2,IF(G805&gt;=33,1,0)))))))</f>
        <v/>
      </c>
      <c r="AF805">
        <f>IF(H805+I805&lt;66,0,IF((H805+I805)/2&gt;=80,5,IF((H805+I805)/2&gt;=70,4,IF((H805+I805)/2&gt;=60,3.5,IF((H805+I805)/2&gt;=50,3,IF((H805+I805)/2&gt;=40,2,IF((H805+I805)/2&gt;=33,1,0)))))))</f>
        <v/>
      </c>
      <c r="AG805">
        <f>IF(Y805,0,IF((J805+K805+L805+M805)/2&gt;=80,5,IF((J805+K805+L805+M805)/2&gt;=70,4,IF((J805+K805+L805+M805)/2&gt;=60,3.5,IF((J805+K805+L805+M805)/2&gt;=50,3,IF((J805+K805+L805+M805)/2&gt;=40,2,IF((J805+K805+L805+M805)/2&gt;=33,1,0)))))))</f>
        <v/>
      </c>
      <c r="AH805">
        <f>IF(Z805,0,IF(N805+O805&gt;=80,5,IF(N805+O805&gt;=70,4,IF(N805+O805&gt;=60,3.5,IF(N805+O805&gt;=50,3,IF(N805+O805&gt;=40,2,IF(N805+O805&gt;=33,1,0)))))))</f>
        <v/>
      </c>
      <c r="AI805">
        <f>IF(AA805,0,IF(P805+Q805&gt;=80,5,IF(P805+Q805&gt;=70,4,IF(P805+Q805&gt;=60,3.5,IF(P805+Q805&gt;=50,3,IF(P805+Q805&gt;=40,2,IF(P805+Q805&gt;=33,1,0)))))))</f>
        <v/>
      </c>
      <c r="AJ805">
        <f>IF(R805&lt;8.25,0,IF(R805*2&gt;=80,5,IF(R805*2&gt;=70,4,IF(R805*2&gt;=60,3.5,IF(R805*2&gt;=50,3,IF(R805*2&gt;=40,2,IF(R805*2&gt;=33,1,0)))))))</f>
        <v/>
      </c>
      <c r="AK805">
        <f>IF(S805&lt;33,0,IF(S805&gt;=80,5,IF(S805&gt;=70,4,IF(S805&gt;=60,3.5,IF(S805&gt;=50,3,IF(S805&gt;=40,2,IF(S805&gt;=33,1,0)))))))</f>
        <v/>
      </c>
      <c r="AL805">
        <f>(AC805+AD805+AE805+AF805+AG805+AH805+AI805+AJ805)/8</f>
        <v/>
      </c>
      <c r="AM805">
        <f>IF(AK805&gt;=2,(AK805-2)/8,0)</f>
        <v/>
      </c>
    </row>
    <row r="806">
      <c r="T806">
        <f>SUM(C806:R806)</f>
        <v/>
      </c>
      <c r="U806" s="6">
        <f>ROUND(T806/11.5,2)</f>
        <v/>
      </c>
      <c r="V806" s="7">
        <f>IF(B806="","",IF(AB806,0,ROUND(AL806,2)))</f>
        <v/>
      </c>
      <c r="W806" s="7">
        <f>IF(B806="","",IF(AB806,0,MIN(5,ROUND(AL806+AM806,2))))</f>
        <v/>
      </c>
      <c r="X806" s="8">
        <f>IF(B806="","",IF(W806&gt;=5,"A+",IF(W806&gt;=4,"A",IF(W806&gt;=3.5,"A-",IF(W806&gt;=3,"B",IF(W806&gt;=2,"C",IF(W806&gt;=1,"D","F")))))))</f>
        <v/>
      </c>
      <c r="Y806">
        <f>NOT(OR(AND(J806&gt;=10,K806&gt;=23,L806&gt;=10,M806&gt;=23),AND(J806+L806&gt;=20,K806+M806&gt;=46)))</f>
        <v/>
      </c>
      <c r="Z806">
        <f>OR(N806&lt;10,O806&lt;23)</f>
        <v/>
      </c>
      <c r="AA806">
        <f>OR(P806&lt;10,Q806&lt;23)</f>
        <v/>
      </c>
      <c r="AB806">
        <f>OR((C806+D806)&lt;66,(E806+F806)&lt;66,G806&lt;33,(H806+I806)&lt;66,Y806,Z806,AA806,R806&lt;8.25)</f>
        <v/>
      </c>
      <c r="AC806">
        <f>IF(C806+D806&lt;66,0,IF((C806+D806)/2&gt;=80,5,IF((C806+D806)/2&gt;=70,4,IF((C806+D806)/2&gt;=60,3.5,IF((C806+D806)/2&gt;=50,3,IF((C806+D806)/2&gt;=40,2,IF((C806+D806)/2&gt;=33,1,0)))))))</f>
        <v/>
      </c>
      <c r="AD806">
        <f>IF(E806+F806&lt;66,0,IF((E806+F806)/2&gt;=80,5,IF((E806+F806)/2&gt;=70,4,IF((E806+F806)/2&gt;=60,3.5,IF((E806+F806)/2&gt;=50,3,IF((E806+F806)/2&gt;=40,2,IF((E806+F806)/2&gt;=33,1,0)))))))</f>
        <v/>
      </c>
      <c r="AE806">
        <f>IF(G806&lt;33,0,IF(G806&gt;=80,5,IF(G806&gt;=70,4,IF(G806&gt;=60,3.5,IF(G806&gt;=50,3,IF(G806&gt;=40,2,IF(G806&gt;=33,1,0)))))))</f>
        <v/>
      </c>
      <c r="AF806">
        <f>IF(H806+I806&lt;66,0,IF((H806+I806)/2&gt;=80,5,IF((H806+I806)/2&gt;=70,4,IF((H806+I806)/2&gt;=60,3.5,IF((H806+I806)/2&gt;=50,3,IF((H806+I806)/2&gt;=40,2,IF((H806+I806)/2&gt;=33,1,0)))))))</f>
        <v/>
      </c>
      <c r="AG806">
        <f>IF(Y806,0,IF((J806+K806+L806+M806)/2&gt;=80,5,IF((J806+K806+L806+M806)/2&gt;=70,4,IF((J806+K806+L806+M806)/2&gt;=60,3.5,IF((J806+K806+L806+M806)/2&gt;=50,3,IF((J806+K806+L806+M806)/2&gt;=40,2,IF((J806+K806+L806+M806)/2&gt;=33,1,0)))))))</f>
        <v/>
      </c>
      <c r="AH806">
        <f>IF(Z806,0,IF(N806+O806&gt;=80,5,IF(N806+O806&gt;=70,4,IF(N806+O806&gt;=60,3.5,IF(N806+O806&gt;=50,3,IF(N806+O806&gt;=40,2,IF(N806+O806&gt;=33,1,0)))))))</f>
        <v/>
      </c>
      <c r="AI806">
        <f>IF(AA806,0,IF(P806+Q806&gt;=80,5,IF(P806+Q806&gt;=70,4,IF(P806+Q806&gt;=60,3.5,IF(P806+Q806&gt;=50,3,IF(P806+Q806&gt;=40,2,IF(P806+Q806&gt;=33,1,0)))))))</f>
        <v/>
      </c>
      <c r="AJ806">
        <f>IF(R806&lt;8.25,0,IF(R806*2&gt;=80,5,IF(R806*2&gt;=70,4,IF(R806*2&gt;=60,3.5,IF(R806*2&gt;=50,3,IF(R806*2&gt;=40,2,IF(R806*2&gt;=33,1,0)))))))</f>
        <v/>
      </c>
      <c r="AK806">
        <f>IF(S806&lt;33,0,IF(S806&gt;=80,5,IF(S806&gt;=70,4,IF(S806&gt;=60,3.5,IF(S806&gt;=50,3,IF(S806&gt;=40,2,IF(S806&gt;=33,1,0)))))))</f>
        <v/>
      </c>
      <c r="AL806">
        <f>(AC806+AD806+AE806+AF806+AG806+AH806+AI806+AJ806)/8</f>
        <v/>
      </c>
      <c r="AM806">
        <f>IF(AK806&gt;=2,(AK806-2)/8,0)</f>
        <v/>
      </c>
    </row>
    <row r="807">
      <c r="T807">
        <f>SUM(C807:R807)</f>
        <v/>
      </c>
      <c r="U807" s="6">
        <f>ROUND(T807/11.5,2)</f>
        <v/>
      </c>
      <c r="V807" s="7">
        <f>IF(B807="","",IF(AB807,0,ROUND(AL807,2)))</f>
        <v/>
      </c>
      <c r="W807" s="7">
        <f>IF(B807="","",IF(AB807,0,MIN(5,ROUND(AL807+AM807,2))))</f>
        <v/>
      </c>
      <c r="X807" s="8">
        <f>IF(B807="","",IF(W807&gt;=5,"A+",IF(W807&gt;=4,"A",IF(W807&gt;=3.5,"A-",IF(W807&gt;=3,"B",IF(W807&gt;=2,"C",IF(W807&gt;=1,"D","F")))))))</f>
        <v/>
      </c>
      <c r="Y807">
        <f>NOT(OR(AND(J807&gt;=10,K807&gt;=23,L807&gt;=10,M807&gt;=23),AND(J807+L807&gt;=20,K807+M807&gt;=46)))</f>
        <v/>
      </c>
      <c r="Z807">
        <f>OR(N807&lt;10,O807&lt;23)</f>
        <v/>
      </c>
      <c r="AA807">
        <f>OR(P807&lt;10,Q807&lt;23)</f>
        <v/>
      </c>
      <c r="AB807">
        <f>OR((C807+D807)&lt;66,(E807+F807)&lt;66,G807&lt;33,(H807+I807)&lt;66,Y807,Z807,AA807,R807&lt;8.25)</f>
        <v/>
      </c>
      <c r="AC807">
        <f>IF(C807+D807&lt;66,0,IF((C807+D807)/2&gt;=80,5,IF((C807+D807)/2&gt;=70,4,IF((C807+D807)/2&gt;=60,3.5,IF((C807+D807)/2&gt;=50,3,IF((C807+D807)/2&gt;=40,2,IF((C807+D807)/2&gt;=33,1,0)))))))</f>
        <v/>
      </c>
      <c r="AD807">
        <f>IF(E807+F807&lt;66,0,IF((E807+F807)/2&gt;=80,5,IF((E807+F807)/2&gt;=70,4,IF((E807+F807)/2&gt;=60,3.5,IF((E807+F807)/2&gt;=50,3,IF((E807+F807)/2&gt;=40,2,IF((E807+F807)/2&gt;=33,1,0)))))))</f>
        <v/>
      </c>
      <c r="AE807">
        <f>IF(G807&lt;33,0,IF(G807&gt;=80,5,IF(G807&gt;=70,4,IF(G807&gt;=60,3.5,IF(G807&gt;=50,3,IF(G807&gt;=40,2,IF(G807&gt;=33,1,0)))))))</f>
        <v/>
      </c>
      <c r="AF807">
        <f>IF(H807+I807&lt;66,0,IF((H807+I807)/2&gt;=80,5,IF((H807+I807)/2&gt;=70,4,IF((H807+I807)/2&gt;=60,3.5,IF((H807+I807)/2&gt;=50,3,IF((H807+I807)/2&gt;=40,2,IF((H807+I807)/2&gt;=33,1,0)))))))</f>
        <v/>
      </c>
      <c r="AG807">
        <f>IF(Y807,0,IF((J807+K807+L807+M807)/2&gt;=80,5,IF((J807+K807+L807+M807)/2&gt;=70,4,IF((J807+K807+L807+M807)/2&gt;=60,3.5,IF((J807+K807+L807+M807)/2&gt;=50,3,IF((J807+K807+L807+M807)/2&gt;=40,2,IF((J807+K807+L807+M807)/2&gt;=33,1,0)))))))</f>
        <v/>
      </c>
      <c r="AH807">
        <f>IF(Z807,0,IF(N807+O807&gt;=80,5,IF(N807+O807&gt;=70,4,IF(N807+O807&gt;=60,3.5,IF(N807+O807&gt;=50,3,IF(N807+O807&gt;=40,2,IF(N807+O807&gt;=33,1,0)))))))</f>
        <v/>
      </c>
      <c r="AI807">
        <f>IF(AA807,0,IF(P807+Q807&gt;=80,5,IF(P807+Q807&gt;=70,4,IF(P807+Q807&gt;=60,3.5,IF(P807+Q807&gt;=50,3,IF(P807+Q807&gt;=40,2,IF(P807+Q807&gt;=33,1,0)))))))</f>
        <v/>
      </c>
      <c r="AJ807">
        <f>IF(R807&lt;8.25,0,IF(R807*2&gt;=80,5,IF(R807*2&gt;=70,4,IF(R807*2&gt;=60,3.5,IF(R807*2&gt;=50,3,IF(R807*2&gt;=40,2,IF(R807*2&gt;=33,1,0)))))))</f>
        <v/>
      </c>
      <c r="AK807">
        <f>IF(S807&lt;33,0,IF(S807&gt;=80,5,IF(S807&gt;=70,4,IF(S807&gt;=60,3.5,IF(S807&gt;=50,3,IF(S807&gt;=40,2,IF(S807&gt;=33,1,0)))))))</f>
        <v/>
      </c>
      <c r="AL807">
        <f>(AC807+AD807+AE807+AF807+AG807+AH807+AI807+AJ807)/8</f>
        <v/>
      </c>
      <c r="AM807">
        <f>IF(AK807&gt;=2,(AK807-2)/8,0)</f>
        <v/>
      </c>
    </row>
    <row r="808">
      <c r="T808">
        <f>SUM(C808:R808)</f>
        <v/>
      </c>
      <c r="U808" s="6">
        <f>ROUND(T808/11.5,2)</f>
        <v/>
      </c>
      <c r="V808" s="7">
        <f>IF(B808="","",IF(AB808,0,ROUND(AL808,2)))</f>
        <v/>
      </c>
      <c r="W808" s="7">
        <f>IF(B808="","",IF(AB808,0,MIN(5,ROUND(AL808+AM808,2))))</f>
        <v/>
      </c>
      <c r="X808" s="8">
        <f>IF(B808="","",IF(W808&gt;=5,"A+",IF(W808&gt;=4,"A",IF(W808&gt;=3.5,"A-",IF(W808&gt;=3,"B",IF(W808&gt;=2,"C",IF(W808&gt;=1,"D","F")))))))</f>
        <v/>
      </c>
      <c r="Y808">
        <f>NOT(OR(AND(J808&gt;=10,K808&gt;=23,L808&gt;=10,M808&gt;=23),AND(J808+L808&gt;=20,K808+M808&gt;=46)))</f>
        <v/>
      </c>
      <c r="Z808">
        <f>OR(N808&lt;10,O808&lt;23)</f>
        <v/>
      </c>
      <c r="AA808">
        <f>OR(P808&lt;10,Q808&lt;23)</f>
        <v/>
      </c>
      <c r="AB808">
        <f>OR((C808+D808)&lt;66,(E808+F808)&lt;66,G808&lt;33,(H808+I808)&lt;66,Y808,Z808,AA808,R808&lt;8.25)</f>
        <v/>
      </c>
      <c r="AC808">
        <f>IF(C808+D808&lt;66,0,IF((C808+D808)/2&gt;=80,5,IF((C808+D808)/2&gt;=70,4,IF((C808+D808)/2&gt;=60,3.5,IF((C808+D808)/2&gt;=50,3,IF((C808+D808)/2&gt;=40,2,IF((C808+D808)/2&gt;=33,1,0)))))))</f>
        <v/>
      </c>
      <c r="AD808">
        <f>IF(E808+F808&lt;66,0,IF((E808+F808)/2&gt;=80,5,IF((E808+F808)/2&gt;=70,4,IF((E808+F808)/2&gt;=60,3.5,IF((E808+F808)/2&gt;=50,3,IF((E808+F808)/2&gt;=40,2,IF((E808+F808)/2&gt;=33,1,0)))))))</f>
        <v/>
      </c>
      <c r="AE808">
        <f>IF(G808&lt;33,0,IF(G808&gt;=80,5,IF(G808&gt;=70,4,IF(G808&gt;=60,3.5,IF(G808&gt;=50,3,IF(G808&gt;=40,2,IF(G808&gt;=33,1,0)))))))</f>
        <v/>
      </c>
      <c r="AF808">
        <f>IF(H808+I808&lt;66,0,IF((H808+I808)/2&gt;=80,5,IF((H808+I808)/2&gt;=70,4,IF((H808+I808)/2&gt;=60,3.5,IF((H808+I808)/2&gt;=50,3,IF((H808+I808)/2&gt;=40,2,IF((H808+I808)/2&gt;=33,1,0)))))))</f>
        <v/>
      </c>
      <c r="AG808">
        <f>IF(Y808,0,IF((J808+K808+L808+M808)/2&gt;=80,5,IF((J808+K808+L808+M808)/2&gt;=70,4,IF((J808+K808+L808+M808)/2&gt;=60,3.5,IF((J808+K808+L808+M808)/2&gt;=50,3,IF((J808+K808+L808+M808)/2&gt;=40,2,IF((J808+K808+L808+M808)/2&gt;=33,1,0)))))))</f>
        <v/>
      </c>
      <c r="AH808">
        <f>IF(Z808,0,IF(N808+O808&gt;=80,5,IF(N808+O808&gt;=70,4,IF(N808+O808&gt;=60,3.5,IF(N808+O808&gt;=50,3,IF(N808+O808&gt;=40,2,IF(N808+O808&gt;=33,1,0)))))))</f>
        <v/>
      </c>
      <c r="AI808">
        <f>IF(AA808,0,IF(P808+Q808&gt;=80,5,IF(P808+Q808&gt;=70,4,IF(P808+Q808&gt;=60,3.5,IF(P808+Q808&gt;=50,3,IF(P808+Q808&gt;=40,2,IF(P808+Q808&gt;=33,1,0)))))))</f>
        <v/>
      </c>
      <c r="AJ808">
        <f>IF(R808&lt;8.25,0,IF(R808*2&gt;=80,5,IF(R808*2&gt;=70,4,IF(R808*2&gt;=60,3.5,IF(R808*2&gt;=50,3,IF(R808*2&gt;=40,2,IF(R808*2&gt;=33,1,0)))))))</f>
        <v/>
      </c>
      <c r="AK808">
        <f>IF(S808&lt;33,0,IF(S808&gt;=80,5,IF(S808&gt;=70,4,IF(S808&gt;=60,3.5,IF(S808&gt;=50,3,IF(S808&gt;=40,2,IF(S808&gt;=33,1,0)))))))</f>
        <v/>
      </c>
      <c r="AL808">
        <f>(AC808+AD808+AE808+AF808+AG808+AH808+AI808+AJ808)/8</f>
        <v/>
      </c>
      <c r="AM808">
        <f>IF(AK808&gt;=2,(AK808-2)/8,0)</f>
        <v/>
      </c>
    </row>
    <row r="809">
      <c r="T809">
        <f>SUM(C809:R809)</f>
        <v/>
      </c>
      <c r="U809" s="6">
        <f>ROUND(T809/11.5,2)</f>
        <v/>
      </c>
      <c r="V809" s="7">
        <f>IF(B809="","",IF(AB809,0,ROUND(AL809,2)))</f>
        <v/>
      </c>
      <c r="W809" s="7">
        <f>IF(B809="","",IF(AB809,0,MIN(5,ROUND(AL809+AM809,2))))</f>
        <v/>
      </c>
      <c r="X809" s="8">
        <f>IF(B809="","",IF(W809&gt;=5,"A+",IF(W809&gt;=4,"A",IF(W809&gt;=3.5,"A-",IF(W809&gt;=3,"B",IF(W809&gt;=2,"C",IF(W809&gt;=1,"D","F")))))))</f>
        <v/>
      </c>
      <c r="Y809">
        <f>NOT(OR(AND(J809&gt;=10,K809&gt;=23,L809&gt;=10,M809&gt;=23),AND(J809+L809&gt;=20,K809+M809&gt;=46)))</f>
        <v/>
      </c>
      <c r="Z809">
        <f>OR(N809&lt;10,O809&lt;23)</f>
        <v/>
      </c>
      <c r="AA809">
        <f>OR(P809&lt;10,Q809&lt;23)</f>
        <v/>
      </c>
      <c r="AB809">
        <f>OR((C809+D809)&lt;66,(E809+F809)&lt;66,G809&lt;33,(H809+I809)&lt;66,Y809,Z809,AA809,R809&lt;8.25)</f>
        <v/>
      </c>
      <c r="AC809">
        <f>IF(C809+D809&lt;66,0,IF((C809+D809)/2&gt;=80,5,IF((C809+D809)/2&gt;=70,4,IF((C809+D809)/2&gt;=60,3.5,IF((C809+D809)/2&gt;=50,3,IF((C809+D809)/2&gt;=40,2,IF((C809+D809)/2&gt;=33,1,0)))))))</f>
        <v/>
      </c>
      <c r="AD809">
        <f>IF(E809+F809&lt;66,0,IF((E809+F809)/2&gt;=80,5,IF((E809+F809)/2&gt;=70,4,IF((E809+F809)/2&gt;=60,3.5,IF((E809+F809)/2&gt;=50,3,IF((E809+F809)/2&gt;=40,2,IF((E809+F809)/2&gt;=33,1,0)))))))</f>
        <v/>
      </c>
      <c r="AE809">
        <f>IF(G809&lt;33,0,IF(G809&gt;=80,5,IF(G809&gt;=70,4,IF(G809&gt;=60,3.5,IF(G809&gt;=50,3,IF(G809&gt;=40,2,IF(G809&gt;=33,1,0)))))))</f>
        <v/>
      </c>
      <c r="AF809">
        <f>IF(H809+I809&lt;66,0,IF((H809+I809)/2&gt;=80,5,IF((H809+I809)/2&gt;=70,4,IF((H809+I809)/2&gt;=60,3.5,IF((H809+I809)/2&gt;=50,3,IF((H809+I809)/2&gt;=40,2,IF((H809+I809)/2&gt;=33,1,0)))))))</f>
        <v/>
      </c>
      <c r="AG809">
        <f>IF(Y809,0,IF((J809+K809+L809+M809)/2&gt;=80,5,IF((J809+K809+L809+M809)/2&gt;=70,4,IF((J809+K809+L809+M809)/2&gt;=60,3.5,IF((J809+K809+L809+M809)/2&gt;=50,3,IF((J809+K809+L809+M809)/2&gt;=40,2,IF((J809+K809+L809+M809)/2&gt;=33,1,0)))))))</f>
        <v/>
      </c>
      <c r="AH809">
        <f>IF(Z809,0,IF(N809+O809&gt;=80,5,IF(N809+O809&gt;=70,4,IF(N809+O809&gt;=60,3.5,IF(N809+O809&gt;=50,3,IF(N809+O809&gt;=40,2,IF(N809+O809&gt;=33,1,0)))))))</f>
        <v/>
      </c>
      <c r="AI809">
        <f>IF(AA809,0,IF(P809+Q809&gt;=80,5,IF(P809+Q809&gt;=70,4,IF(P809+Q809&gt;=60,3.5,IF(P809+Q809&gt;=50,3,IF(P809+Q809&gt;=40,2,IF(P809+Q809&gt;=33,1,0)))))))</f>
        <v/>
      </c>
      <c r="AJ809">
        <f>IF(R809&lt;8.25,0,IF(R809*2&gt;=80,5,IF(R809*2&gt;=70,4,IF(R809*2&gt;=60,3.5,IF(R809*2&gt;=50,3,IF(R809*2&gt;=40,2,IF(R809*2&gt;=33,1,0)))))))</f>
        <v/>
      </c>
      <c r="AK809">
        <f>IF(S809&lt;33,0,IF(S809&gt;=80,5,IF(S809&gt;=70,4,IF(S809&gt;=60,3.5,IF(S809&gt;=50,3,IF(S809&gt;=40,2,IF(S809&gt;=33,1,0)))))))</f>
        <v/>
      </c>
      <c r="AL809">
        <f>(AC809+AD809+AE809+AF809+AG809+AH809+AI809+AJ809)/8</f>
        <v/>
      </c>
      <c r="AM809">
        <f>IF(AK809&gt;=2,(AK809-2)/8,0)</f>
        <v/>
      </c>
    </row>
    <row r="810">
      <c r="T810">
        <f>SUM(C810:R810)</f>
        <v/>
      </c>
      <c r="U810" s="6">
        <f>ROUND(T810/11.5,2)</f>
        <v/>
      </c>
      <c r="V810" s="7">
        <f>IF(B810="","",IF(AB810,0,ROUND(AL810,2)))</f>
        <v/>
      </c>
      <c r="W810" s="7">
        <f>IF(B810="","",IF(AB810,0,MIN(5,ROUND(AL810+AM810,2))))</f>
        <v/>
      </c>
      <c r="X810" s="8">
        <f>IF(B810="","",IF(W810&gt;=5,"A+",IF(W810&gt;=4,"A",IF(W810&gt;=3.5,"A-",IF(W810&gt;=3,"B",IF(W810&gt;=2,"C",IF(W810&gt;=1,"D","F")))))))</f>
        <v/>
      </c>
      <c r="Y810">
        <f>NOT(OR(AND(J810&gt;=10,K810&gt;=23,L810&gt;=10,M810&gt;=23),AND(J810+L810&gt;=20,K810+M810&gt;=46)))</f>
        <v/>
      </c>
      <c r="Z810">
        <f>OR(N810&lt;10,O810&lt;23)</f>
        <v/>
      </c>
      <c r="AA810">
        <f>OR(P810&lt;10,Q810&lt;23)</f>
        <v/>
      </c>
      <c r="AB810">
        <f>OR((C810+D810)&lt;66,(E810+F810)&lt;66,G810&lt;33,(H810+I810)&lt;66,Y810,Z810,AA810,R810&lt;8.25)</f>
        <v/>
      </c>
      <c r="AC810">
        <f>IF(C810+D810&lt;66,0,IF((C810+D810)/2&gt;=80,5,IF((C810+D810)/2&gt;=70,4,IF((C810+D810)/2&gt;=60,3.5,IF((C810+D810)/2&gt;=50,3,IF((C810+D810)/2&gt;=40,2,IF((C810+D810)/2&gt;=33,1,0)))))))</f>
        <v/>
      </c>
      <c r="AD810">
        <f>IF(E810+F810&lt;66,0,IF((E810+F810)/2&gt;=80,5,IF((E810+F810)/2&gt;=70,4,IF((E810+F810)/2&gt;=60,3.5,IF((E810+F810)/2&gt;=50,3,IF((E810+F810)/2&gt;=40,2,IF((E810+F810)/2&gt;=33,1,0)))))))</f>
        <v/>
      </c>
      <c r="AE810">
        <f>IF(G810&lt;33,0,IF(G810&gt;=80,5,IF(G810&gt;=70,4,IF(G810&gt;=60,3.5,IF(G810&gt;=50,3,IF(G810&gt;=40,2,IF(G810&gt;=33,1,0)))))))</f>
        <v/>
      </c>
      <c r="AF810">
        <f>IF(H810+I810&lt;66,0,IF((H810+I810)/2&gt;=80,5,IF((H810+I810)/2&gt;=70,4,IF((H810+I810)/2&gt;=60,3.5,IF((H810+I810)/2&gt;=50,3,IF((H810+I810)/2&gt;=40,2,IF((H810+I810)/2&gt;=33,1,0)))))))</f>
        <v/>
      </c>
      <c r="AG810">
        <f>IF(Y810,0,IF((J810+K810+L810+M810)/2&gt;=80,5,IF((J810+K810+L810+M810)/2&gt;=70,4,IF((J810+K810+L810+M810)/2&gt;=60,3.5,IF((J810+K810+L810+M810)/2&gt;=50,3,IF((J810+K810+L810+M810)/2&gt;=40,2,IF((J810+K810+L810+M810)/2&gt;=33,1,0)))))))</f>
        <v/>
      </c>
      <c r="AH810">
        <f>IF(Z810,0,IF(N810+O810&gt;=80,5,IF(N810+O810&gt;=70,4,IF(N810+O810&gt;=60,3.5,IF(N810+O810&gt;=50,3,IF(N810+O810&gt;=40,2,IF(N810+O810&gt;=33,1,0)))))))</f>
        <v/>
      </c>
      <c r="AI810">
        <f>IF(AA810,0,IF(P810+Q810&gt;=80,5,IF(P810+Q810&gt;=70,4,IF(P810+Q810&gt;=60,3.5,IF(P810+Q810&gt;=50,3,IF(P810+Q810&gt;=40,2,IF(P810+Q810&gt;=33,1,0)))))))</f>
        <v/>
      </c>
      <c r="AJ810">
        <f>IF(R810&lt;8.25,0,IF(R810*2&gt;=80,5,IF(R810*2&gt;=70,4,IF(R810*2&gt;=60,3.5,IF(R810*2&gt;=50,3,IF(R810*2&gt;=40,2,IF(R810*2&gt;=33,1,0)))))))</f>
        <v/>
      </c>
      <c r="AK810">
        <f>IF(S810&lt;33,0,IF(S810&gt;=80,5,IF(S810&gt;=70,4,IF(S810&gt;=60,3.5,IF(S810&gt;=50,3,IF(S810&gt;=40,2,IF(S810&gt;=33,1,0)))))))</f>
        <v/>
      </c>
      <c r="AL810">
        <f>(AC810+AD810+AE810+AF810+AG810+AH810+AI810+AJ810)/8</f>
        <v/>
      </c>
      <c r="AM810">
        <f>IF(AK810&gt;=2,(AK810-2)/8,0)</f>
        <v/>
      </c>
    </row>
    <row r="811">
      <c r="T811">
        <f>SUM(C811:R811)</f>
        <v/>
      </c>
      <c r="U811" s="6">
        <f>ROUND(T811/11.5,2)</f>
        <v/>
      </c>
      <c r="V811" s="7">
        <f>IF(B811="","",IF(AB811,0,ROUND(AL811,2)))</f>
        <v/>
      </c>
      <c r="W811" s="7">
        <f>IF(B811="","",IF(AB811,0,MIN(5,ROUND(AL811+AM811,2))))</f>
        <v/>
      </c>
      <c r="X811" s="8">
        <f>IF(B811="","",IF(W811&gt;=5,"A+",IF(W811&gt;=4,"A",IF(W811&gt;=3.5,"A-",IF(W811&gt;=3,"B",IF(W811&gt;=2,"C",IF(W811&gt;=1,"D","F")))))))</f>
        <v/>
      </c>
      <c r="Y811">
        <f>NOT(OR(AND(J811&gt;=10,K811&gt;=23,L811&gt;=10,M811&gt;=23),AND(J811+L811&gt;=20,K811+M811&gt;=46)))</f>
        <v/>
      </c>
      <c r="Z811">
        <f>OR(N811&lt;10,O811&lt;23)</f>
        <v/>
      </c>
      <c r="AA811">
        <f>OR(P811&lt;10,Q811&lt;23)</f>
        <v/>
      </c>
      <c r="AB811">
        <f>OR((C811+D811)&lt;66,(E811+F811)&lt;66,G811&lt;33,(H811+I811)&lt;66,Y811,Z811,AA811,R811&lt;8.25)</f>
        <v/>
      </c>
      <c r="AC811">
        <f>IF(C811+D811&lt;66,0,IF((C811+D811)/2&gt;=80,5,IF((C811+D811)/2&gt;=70,4,IF((C811+D811)/2&gt;=60,3.5,IF((C811+D811)/2&gt;=50,3,IF((C811+D811)/2&gt;=40,2,IF((C811+D811)/2&gt;=33,1,0)))))))</f>
        <v/>
      </c>
      <c r="AD811">
        <f>IF(E811+F811&lt;66,0,IF((E811+F811)/2&gt;=80,5,IF((E811+F811)/2&gt;=70,4,IF((E811+F811)/2&gt;=60,3.5,IF((E811+F811)/2&gt;=50,3,IF((E811+F811)/2&gt;=40,2,IF((E811+F811)/2&gt;=33,1,0)))))))</f>
        <v/>
      </c>
      <c r="AE811">
        <f>IF(G811&lt;33,0,IF(G811&gt;=80,5,IF(G811&gt;=70,4,IF(G811&gt;=60,3.5,IF(G811&gt;=50,3,IF(G811&gt;=40,2,IF(G811&gt;=33,1,0)))))))</f>
        <v/>
      </c>
      <c r="AF811">
        <f>IF(H811+I811&lt;66,0,IF((H811+I811)/2&gt;=80,5,IF((H811+I811)/2&gt;=70,4,IF((H811+I811)/2&gt;=60,3.5,IF((H811+I811)/2&gt;=50,3,IF((H811+I811)/2&gt;=40,2,IF((H811+I811)/2&gt;=33,1,0)))))))</f>
        <v/>
      </c>
      <c r="AG811">
        <f>IF(Y811,0,IF((J811+K811+L811+M811)/2&gt;=80,5,IF((J811+K811+L811+M811)/2&gt;=70,4,IF((J811+K811+L811+M811)/2&gt;=60,3.5,IF((J811+K811+L811+M811)/2&gt;=50,3,IF((J811+K811+L811+M811)/2&gt;=40,2,IF((J811+K811+L811+M811)/2&gt;=33,1,0)))))))</f>
        <v/>
      </c>
      <c r="AH811">
        <f>IF(Z811,0,IF(N811+O811&gt;=80,5,IF(N811+O811&gt;=70,4,IF(N811+O811&gt;=60,3.5,IF(N811+O811&gt;=50,3,IF(N811+O811&gt;=40,2,IF(N811+O811&gt;=33,1,0)))))))</f>
        <v/>
      </c>
      <c r="AI811">
        <f>IF(AA811,0,IF(P811+Q811&gt;=80,5,IF(P811+Q811&gt;=70,4,IF(P811+Q811&gt;=60,3.5,IF(P811+Q811&gt;=50,3,IF(P811+Q811&gt;=40,2,IF(P811+Q811&gt;=33,1,0)))))))</f>
        <v/>
      </c>
      <c r="AJ811">
        <f>IF(R811&lt;8.25,0,IF(R811*2&gt;=80,5,IF(R811*2&gt;=70,4,IF(R811*2&gt;=60,3.5,IF(R811*2&gt;=50,3,IF(R811*2&gt;=40,2,IF(R811*2&gt;=33,1,0)))))))</f>
        <v/>
      </c>
      <c r="AK811">
        <f>IF(S811&lt;33,0,IF(S811&gt;=80,5,IF(S811&gt;=70,4,IF(S811&gt;=60,3.5,IF(S811&gt;=50,3,IF(S811&gt;=40,2,IF(S811&gt;=33,1,0)))))))</f>
        <v/>
      </c>
      <c r="AL811">
        <f>(AC811+AD811+AE811+AF811+AG811+AH811+AI811+AJ811)/8</f>
        <v/>
      </c>
      <c r="AM811">
        <f>IF(AK811&gt;=2,(AK811-2)/8,0)</f>
        <v/>
      </c>
    </row>
    <row r="812">
      <c r="T812">
        <f>SUM(C812:R812)</f>
        <v/>
      </c>
      <c r="U812" s="6">
        <f>ROUND(T812/11.5,2)</f>
        <v/>
      </c>
      <c r="V812" s="7">
        <f>IF(B812="","",IF(AB812,0,ROUND(AL812,2)))</f>
        <v/>
      </c>
      <c r="W812" s="7">
        <f>IF(B812="","",IF(AB812,0,MIN(5,ROUND(AL812+AM812,2))))</f>
        <v/>
      </c>
      <c r="X812" s="8">
        <f>IF(B812="","",IF(W812&gt;=5,"A+",IF(W812&gt;=4,"A",IF(W812&gt;=3.5,"A-",IF(W812&gt;=3,"B",IF(W812&gt;=2,"C",IF(W812&gt;=1,"D","F")))))))</f>
        <v/>
      </c>
      <c r="Y812">
        <f>NOT(OR(AND(J812&gt;=10,K812&gt;=23,L812&gt;=10,M812&gt;=23),AND(J812+L812&gt;=20,K812+M812&gt;=46)))</f>
        <v/>
      </c>
      <c r="Z812">
        <f>OR(N812&lt;10,O812&lt;23)</f>
        <v/>
      </c>
      <c r="AA812">
        <f>OR(P812&lt;10,Q812&lt;23)</f>
        <v/>
      </c>
      <c r="AB812">
        <f>OR((C812+D812)&lt;66,(E812+F812)&lt;66,G812&lt;33,(H812+I812)&lt;66,Y812,Z812,AA812,R812&lt;8.25)</f>
        <v/>
      </c>
      <c r="AC812">
        <f>IF(C812+D812&lt;66,0,IF((C812+D812)/2&gt;=80,5,IF((C812+D812)/2&gt;=70,4,IF((C812+D812)/2&gt;=60,3.5,IF((C812+D812)/2&gt;=50,3,IF((C812+D812)/2&gt;=40,2,IF((C812+D812)/2&gt;=33,1,0)))))))</f>
        <v/>
      </c>
      <c r="AD812">
        <f>IF(E812+F812&lt;66,0,IF((E812+F812)/2&gt;=80,5,IF((E812+F812)/2&gt;=70,4,IF((E812+F812)/2&gt;=60,3.5,IF((E812+F812)/2&gt;=50,3,IF((E812+F812)/2&gt;=40,2,IF((E812+F812)/2&gt;=33,1,0)))))))</f>
        <v/>
      </c>
      <c r="AE812">
        <f>IF(G812&lt;33,0,IF(G812&gt;=80,5,IF(G812&gt;=70,4,IF(G812&gt;=60,3.5,IF(G812&gt;=50,3,IF(G812&gt;=40,2,IF(G812&gt;=33,1,0)))))))</f>
        <v/>
      </c>
      <c r="AF812">
        <f>IF(H812+I812&lt;66,0,IF((H812+I812)/2&gt;=80,5,IF((H812+I812)/2&gt;=70,4,IF((H812+I812)/2&gt;=60,3.5,IF((H812+I812)/2&gt;=50,3,IF((H812+I812)/2&gt;=40,2,IF((H812+I812)/2&gt;=33,1,0)))))))</f>
        <v/>
      </c>
      <c r="AG812">
        <f>IF(Y812,0,IF((J812+K812+L812+M812)/2&gt;=80,5,IF((J812+K812+L812+M812)/2&gt;=70,4,IF((J812+K812+L812+M812)/2&gt;=60,3.5,IF((J812+K812+L812+M812)/2&gt;=50,3,IF((J812+K812+L812+M812)/2&gt;=40,2,IF((J812+K812+L812+M812)/2&gt;=33,1,0)))))))</f>
        <v/>
      </c>
      <c r="AH812">
        <f>IF(Z812,0,IF(N812+O812&gt;=80,5,IF(N812+O812&gt;=70,4,IF(N812+O812&gt;=60,3.5,IF(N812+O812&gt;=50,3,IF(N812+O812&gt;=40,2,IF(N812+O812&gt;=33,1,0)))))))</f>
        <v/>
      </c>
      <c r="AI812">
        <f>IF(AA812,0,IF(P812+Q812&gt;=80,5,IF(P812+Q812&gt;=70,4,IF(P812+Q812&gt;=60,3.5,IF(P812+Q812&gt;=50,3,IF(P812+Q812&gt;=40,2,IF(P812+Q812&gt;=33,1,0)))))))</f>
        <v/>
      </c>
      <c r="AJ812">
        <f>IF(R812&lt;8.25,0,IF(R812*2&gt;=80,5,IF(R812*2&gt;=70,4,IF(R812*2&gt;=60,3.5,IF(R812*2&gt;=50,3,IF(R812*2&gt;=40,2,IF(R812*2&gt;=33,1,0)))))))</f>
        <v/>
      </c>
      <c r="AK812">
        <f>IF(S812&lt;33,0,IF(S812&gt;=80,5,IF(S812&gt;=70,4,IF(S812&gt;=60,3.5,IF(S812&gt;=50,3,IF(S812&gt;=40,2,IF(S812&gt;=33,1,0)))))))</f>
        <v/>
      </c>
      <c r="AL812">
        <f>(AC812+AD812+AE812+AF812+AG812+AH812+AI812+AJ812)/8</f>
        <v/>
      </c>
      <c r="AM812">
        <f>IF(AK812&gt;=2,(AK812-2)/8,0)</f>
        <v/>
      </c>
    </row>
    <row r="813">
      <c r="T813">
        <f>SUM(C813:R813)</f>
        <v/>
      </c>
      <c r="U813" s="6">
        <f>ROUND(T813/11.5,2)</f>
        <v/>
      </c>
      <c r="V813" s="7">
        <f>IF(B813="","",IF(AB813,0,ROUND(AL813,2)))</f>
        <v/>
      </c>
      <c r="W813" s="7">
        <f>IF(B813="","",IF(AB813,0,MIN(5,ROUND(AL813+AM813,2))))</f>
        <v/>
      </c>
      <c r="X813" s="8">
        <f>IF(B813="","",IF(W813&gt;=5,"A+",IF(W813&gt;=4,"A",IF(W813&gt;=3.5,"A-",IF(W813&gt;=3,"B",IF(W813&gt;=2,"C",IF(W813&gt;=1,"D","F")))))))</f>
        <v/>
      </c>
      <c r="Y813">
        <f>NOT(OR(AND(J813&gt;=10,K813&gt;=23,L813&gt;=10,M813&gt;=23),AND(J813+L813&gt;=20,K813+M813&gt;=46)))</f>
        <v/>
      </c>
      <c r="Z813">
        <f>OR(N813&lt;10,O813&lt;23)</f>
        <v/>
      </c>
      <c r="AA813">
        <f>OR(P813&lt;10,Q813&lt;23)</f>
        <v/>
      </c>
      <c r="AB813">
        <f>OR((C813+D813)&lt;66,(E813+F813)&lt;66,G813&lt;33,(H813+I813)&lt;66,Y813,Z813,AA813,R813&lt;8.25)</f>
        <v/>
      </c>
      <c r="AC813">
        <f>IF(C813+D813&lt;66,0,IF((C813+D813)/2&gt;=80,5,IF((C813+D813)/2&gt;=70,4,IF((C813+D813)/2&gt;=60,3.5,IF((C813+D813)/2&gt;=50,3,IF((C813+D813)/2&gt;=40,2,IF((C813+D813)/2&gt;=33,1,0)))))))</f>
        <v/>
      </c>
      <c r="AD813">
        <f>IF(E813+F813&lt;66,0,IF((E813+F813)/2&gt;=80,5,IF((E813+F813)/2&gt;=70,4,IF((E813+F813)/2&gt;=60,3.5,IF((E813+F813)/2&gt;=50,3,IF((E813+F813)/2&gt;=40,2,IF((E813+F813)/2&gt;=33,1,0)))))))</f>
        <v/>
      </c>
      <c r="AE813">
        <f>IF(G813&lt;33,0,IF(G813&gt;=80,5,IF(G813&gt;=70,4,IF(G813&gt;=60,3.5,IF(G813&gt;=50,3,IF(G813&gt;=40,2,IF(G813&gt;=33,1,0)))))))</f>
        <v/>
      </c>
      <c r="AF813">
        <f>IF(H813+I813&lt;66,0,IF((H813+I813)/2&gt;=80,5,IF((H813+I813)/2&gt;=70,4,IF((H813+I813)/2&gt;=60,3.5,IF((H813+I813)/2&gt;=50,3,IF((H813+I813)/2&gt;=40,2,IF((H813+I813)/2&gt;=33,1,0)))))))</f>
        <v/>
      </c>
      <c r="AG813">
        <f>IF(Y813,0,IF((J813+K813+L813+M813)/2&gt;=80,5,IF((J813+K813+L813+M813)/2&gt;=70,4,IF((J813+K813+L813+M813)/2&gt;=60,3.5,IF((J813+K813+L813+M813)/2&gt;=50,3,IF((J813+K813+L813+M813)/2&gt;=40,2,IF((J813+K813+L813+M813)/2&gt;=33,1,0)))))))</f>
        <v/>
      </c>
      <c r="AH813">
        <f>IF(Z813,0,IF(N813+O813&gt;=80,5,IF(N813+O813&gt;=70,4,IF(N813+O813&gt;=60,3.5,IF(N813+O813&gt;=50,3,IF(N813+O813&gt;=40,2,IF(N813+O813&gt;=33,1,0)))))))</f>
        <v/>
      </c>
      <c r="AI813">
        <f>IF(AA813,0,IF(P813+Q813&gt;=80,5,IF(P813+Q813&gt;=70,4,IF(P813+Q813&gt;=60,3.5,IF(P813+Q813&gt;=50,3,IF(P813+Q813&gt;=40,2,IF(P813+Q813&gt;=33,1,0)))))))</f>
        <v/>
      </c>
      <c r="AJ813">
        <f>IF(R813&lt;8.25,0,IF(R813*2&gt;=80,5,IF(R813*2&gt;=70,4,IF(R813*2&gt;=60,3.5,IF(R813*2&gt;=50,3,IF(R813*2&gt;=40,2,IF(R813*2&gt;=33,1,0)))))))</f>
        <v/>
      </c>
      <c r="AK813">
        <f>IF(S813&lt;33,0,IF(S813&gt;=80,5,IF(S813&gt;=70,4,IF(S813&gt;=60,3.5,IF(S813&gt;=50,3,IF(S813&gt;=40,2,IF(S813&gt;=33,1,0)))))))</f>
        <v/>
      </c>
      <c r="AL813">
        <f>(AC813+AD813+AE813+AF813+AG813+AH813+AI813+AJ813)/8</f>
        <v/>
      </c>
      <c r="AM813">
        <f>IF(AK813&gt;=2,(AK813-2)/8,0)</f>
        <v/>
      </c>
    </row>
    <row r="814">
      <c r="T814">
        <f>SUM(C814:R814)</f>
        <v/>
      </c>
      <c r="U814" s="6">
        <f>ROUND(T814/11.5,2)</f>
        <v/>
      </c>
      <c r="V814" s="7">
        <f>IF(B814="","",IF(AB814,0,ROUND(AL814,2)))</f>
        <v/>
      </c>
      <c r="W814" s="7">
        <f>IF(B814="","",IF(AB814,0,MIN(5,ROUND(AL814+AM814,2))))</f>
        <v/>
      </c>
      <c r="X814" s="8">
        <f>IF(B814="","",IF(W814&gt;=5,"A+",IF(W814&gt;=4,"A",IF(W814&gt;=3.5,"A-",IF(W814&gt;=3,"B",IF(W814&gt;=2,"C",IF(W814&gt;=1,"D","F")))))))</f>
        <v/>
      </c>
      <c r="Y814">
        <f>NOT(OR(AND(J814&gt;=10,K814&gt;=23,L814&gt;=10,M814&gt;=23),AND(J814+L814&gt;=20,K814+M814&gt;=46)))</f>
        <v/>
      </c>
      <c r="Z814">
        <f>OR(N814&lt;10,O814&lt;23)</f>
        <v/>
      </c>
      <c r="AA814">
        <f>OR(P814&lt;10,Q814&lt;23)</f>
        <v/>
      </c>
      <c r="AB814">
        <f>OR((C814+D814)&lt;66,(E814+F814)&lt;66,G814&lt;33,(H814+I814)&lt;66,Y814,Z814,AA814,R814&lt;8.25)</f>
        <v/>
      </c>
      <c r="AC814">
        <f>IF(C814+D814&lt;66,0,IF((C814+D814)/2&gt;=80,5,IF((C814+D814)/2&gt;=70,4,IF((C814+D814)/2&gt;=60,3.5,IF((C814+D814)/2&gt;=50,3,IF((C814+D814)/2&gt;=40,2,IF((C814+D814)/2&gt;=33,1,0)))))))</f>
        <v/>
      </c>
      <c r="AD814">
        <f>IF(E814+F814&lt;66,0,IF((E814+F814)/2&gt;=80,5,IF((E814+F814)/2&gt;=70,4,IF((E814+F814)/2&gt;=60,3.5,IF((E814+F814)/2&gt;=50,3,IF((E814+F814)/2&gt;=40,2,IF((E814+F814)/2&gt;=33,1,0)))))))</f>
        <v/>
      </c>
      <c r="AE814">
        <f>IF(G814&lt;33,0,IF(G814&gt;=80,5,IF(G814&gt;=70,4,IF(G814&gt;=60,3.5,IF(G814&gt;=50,3,IF(G814&gt;=40,2,IF(G814&gt;=33,1,0)))))))</f>
        <v/>
      </c>
      <c r="AF814">
        <f>IF(H814+I814&lt;66,0,IF((H814+I814)/2&gt;=80,5,IF((H814+I814)/2&gt;=70,4,IF((H814+I814)/2&gt;=60,3.5,IF((H814+I814)/2&gt;=50,3,IF((H814+I814)/2&gt;=40,2,IF((H814+I814)/2&gt;=33,1,0)))))))</f>
        <v/>
      </c>
      <c r="AG814">
        <f>IF(Y814,0,IF((J814+K814+L814+M814)/2&gt;=80,5,IF((J814+K814+L814+M814)/2&gt;=70,4,IF((J814+K814+L814+M814)/2&gt;=60,3.5,IF((J814+K814+L814+M814)/2&gt;=50,3,IF((J814+K814+L814+M814)/2&gt;=40,2,IF((J814+K814+L814+M814)/2&gt;=33,1,0)))))))</f>
        <v/>
      </c>
      <c r="AH814">
        <f>IF(Z814,0,IF(N814+O814&gt;=80,5,IF(N814+O814&gt;=70,4,IF(N814+O814&gt;=60,3.5,IF(N814+O814&gt;=50,3,IF(N814+O814&gt;=40,2,IF(N814+O814&gt;=33,1,0)))))))</f>
        <v/>
      </c>
      <c r="AI814">
        <f>IF(AA814,0,IF(P814+Q814&gt;=80,5,IF(P814+Q814&gt;=70,4,IF(P814+Q814&gt;=60,3.5,IF(P814+Q814&gt;=50,3,IF(P814+Q814&gt;=40,2,IF(P814+Q814&gt;=33,1,0)))))))</f>
        <v/>
      </c>
      <c r="AJ814">
        <f>IF(R814&lt;8.25,0,IF(R814*2&gt;=80,5,IF(R814*2&gt;=70,4,IF(R814*2&gt;=60,3.5,IF(R814*2&gt;=50,3,IF(R814*2&gt;=40,2,IF(R814*2&gt;=33,1,0)))))))</f>
        <v/>
      </c>
      <c r="AK814">
        <f>IF(S814&lt;33,0,IF(S814&gt;=80,5,IF(S814&gt;=70,4,IF(S814&gt;=60,3.5,IF(S814&gt;=50,3,IF(S814&gt;=40,2,IF(S814&gt;=33,1,0)))))))</f>
        <v/>
      </c>
      <c r="AL814">
        <f>(AC814+AD814+AE814+AF814+AG814+AH814+AI814+AJ814)/8</f>
        <v/>
      </c>
      <c r="AM814">
        <f>IF(AK814&gt;=2,(AK814-2)/8,0)</f>
        <v/>
      </c>
    </row>
    <row r="815">
      <c r="T815">
        <f>SUM(C815:R815)</f>
        <v/>
      </c>
      <c r="U815" s="6">
        <f>ROUND(T815/11.5,2)</f>
        <v/>
      </c>
      <c r="V815" s="7">
        <f>IF(B815="","",IF(AB815,0,ROUND(AL815,2)))</f>
        <v/>
      </c>
      <c r="W815" s="7">
        <f>IF(B815="","",IF(AB815,0,MIN(5,ROUND(AL815+AM815,2))))</f>
        <v/>
      </c>
      <c r="X815" s="8">
        <f>IF(B815="","",IF(W815&gt;=5,"A+",IF(W815&gt;=4,"A",IF(W815&gt;=3.5,"A-",IF(W815&gt;=3,"B",IF(W815&gt;=2,"C",IF(W815&gt;=1,"D","F")))))))</f>
        <v/>
      </c>
      <c r="Y815">
        <f>NOT(OR(AND(J815&gt;=10,K815&gt;=23,L815&gt;=10,M815&gt;=23),AND(J815+L815&gt;=20,K815+M815&gt;=46)))</f>
        <v/>
      </c>
      <c r="Z815">
        <f>OR(N815&lt;10,O815&lt;23)</f>
        <v/>
      </c>
      <c r="AA815">
        <f>OR(P815&lt;10,Q815&lt;23)</f>
        <v/>
      </c>
      <c r="AB815">
        <f>OR((C815+D815)&lt;66,(E815+F815)&lt;66,G815&lt;33,(H815+I815)&lt;66,Y815,Z815,AA815,R815&lt;8.25)</f>
        <v/>
      </c>
      <c r="AC815">
        <f>IF(C815+D815&lt;66,0,IF((C815+D815)/2&gt;=80,5,IF((C815+D815)/2&gt;=70,4,IF((C815+D815)/2&gt;=60,3.5,IF((C815+D815)/2&gt;=50,3,IF((C815+D815)/2&gt;=40,2,IF((C815+D815)/2&gt;=33,1,0)))))))</f>
        <v/>
      </c>
      <c r="AD815">
        <f>IF(E815+F815&lt;66,0,IF((E815+F815)/2&gt;=80,5,IF((E815+F815)/2&gt;=70,4,IF((E815+F815)/2&gt;=60,3.5,IF((E815+F815)/2&gt;=50,3,IF((E815+F815)/2&gt;=40,2,IF((E815+F815)/2&gt;=33,1,0)))))))</f>
        <v/>
      </c>
      <c r="AE815">
        <f>IF(G815&lt;33,0,IF(G815&gt;=80,5,IF(G815&gt;=70,4,IF(G815&gt;=60,3.5,IF(G815&gt;=50,3,IF(G815&gt;=40,2,IF(G815&gt;=33,1,0)))))))</f>
        <v/>
      </c>
      <c r="AF815">
        <f>IF(H815+I815&lt;66,0,IF((H815+I815)/2&gt;=80,5,IF((H815+I815)/2&gt;=70,4,IF((H815+I815)/2&gt;=60,3.5,IF((H815+I815)/2&gt;=50,3,IF((H815+I815)/2&gt;=40,2,IF((H815+I815)/2&gt;=33,1,0)))))))</f>
        <v/>
      </c>
      <c r="AG815">
        <f>IF(Y815,0,IF((J815+K815+L815+M815)/2&gt;=80,5,IF((J815+K815+L815+M815)/2&gt;=70,4,IF((J815+K815+L815+M815)/2&gt;=60,3.5,IF((J815+K815+L815+M815)/2&gt;=50,3,IF((J815+K815+L815+M815)/2&gt;=40,2,IF((J815+K815+L815+M815)/2&gt;=33,1,0)))))))</f>
        <v/>
      </c>
      <c r="AH815">
        <f>IF(Z815,0,IF(N815+O815&gt;=80,5,IF(N815+O815&gt;=70,4,IF(N815+O815&gt;=60,3.5,IF(N815+O815&gt;=50,3,IF(N815+O815&gt;=40,2,IF(N815+O815&gt;=33,1,0)))))))</f>
        <v/>
      </c>
      <c r="AI815">
        <f>IF(AA815,0,IF(P815+Q815&gt;=80,5,IF(P815+Q815&gt;=70,4,IF(P815+Q815&gt;=60,3.5,IF(P815+Q815&gt;=50,3,IF(P815+Q815&gt;=40,2,IF(P815+Q815&gt;=33,1,0)))))))</f>
        <v/>
      </c>
      <c r="AJ815">
        <f>IF(R815&lt;8.25,0,IF(R815*2&gt;=80,5,IF(R815*2&gt;=70,4,IF(R815*2&gt;=60,3.5,IF(R815*2&gt;=50,3,IF(R815*2&gt;=40,2,IF(R815*2&gt;=33,1,0)))))))</f>
        <v/>
      </c>
      <c r="AK815">
        <f>IF(S815&lt;33,0,IF(S815&gt;=80,5,IF(S815&gt;=70,4,IF(S815&gt;=60,3.5,IF(S815&gt;=50,3,IF(S815&gt;=40,2,IF(S815&gt;=33,1,0)))))))</f>
        <v/>
      </c>
      <c r="AL815">
        <f>(AC815+AD815+AE815+AF815+AG815+AH815+AI815+AJ815)/8</f>
        <v/>
      </c>
      <c r="AM815">
        <f>IF(AK815&gt;=2,(AK815-2)/8,0)</f>
        <v/>
      </c>
    </row>
    <row r="816">
      <c r="T816">
        <f>SUM(C816:R816)</f>
        <v/>
      </c>
      <c r="U816" s="6">
        <f>ROUND(T816/11.5,2)</f>
        <v/>
      </c>
      <c r="V816" s="7">
        <f>IF(B816="","",IF(AB816,0,ROUND(AL816,2)))</f>
        <v/>
      </c>
      <c r="W816" s="7">
        <f>IF(B816="","",IF(AB816,0,MIN(5,ROUND(AL816+AM816,2))))</f>
        <v/>
      </c>
      <c r="X816" s="8">
        <f>IF(B816="","",IF(W816&gt;=5,"A+",IF(W816&gt;=4,"A",IF(W816&gt;=3.5,"A-",IF(W816&gt;=3,"B",IF(W816&gt;=2,"C",IF(W816&gt;=1,"D","F")))))))</f>
        <v/>
      </c>
      <c r="Y816">
        <f>NOT(OR(AND(J816&gt;=10,K816&gt;=23,L816&gt;=10,M816&gt;=23),AND(J816+L816&gt;=20,K816+M816&gt;=46)))</f>
        <v/>
      </c>
      <c r="Z816">
        <f>OR(N816&lt;10,O816&lt;23)</f>
        <v/>
      </c>
      <c r="AA816">
        <f>OR(P816&lt;10,Q816&lt;23)</f>
        <v/>
      </c>
      <c r="AB816">
        <f>OR((C816+D816)&lt;66,(E816+F816)&lt;66,G816&lt;33,(H816+I816)&lt;66,Y816,Z816,AA816,R816&lt;8.25)</f>
        <v/>
      </c>
      <c r="AC816">
        <f>IF(C816+D816&lt;66,0,IF((C816+D816)/2&gt;=80,5,IF((C816+D816)/2&gt;=70,4,IF((C816+D816)/2&gt;=60,3.5,IF((C816+D816)/2&gt;=50,3,IF((C816+D816)/2&gt;=40,2,IF((C816+D816)/2&gt;=33,1,0)))))))</f>
        <v/>
      </c>
      <c r="AD816">
        <f>IF(E816+F816&lt;66,0,IF((E816+F816)/2&gt;=80,5,IF((E816+F816)/2&gt;=70,4,IF((E816+F816)/2&gt;=60,3.5,IF((E816+F816)/2&gt;=50,3,IF((E816+F816)/2&gt;=40,2,IF((E816+F816)/2&gt;=33,1,0)))))))</f>
        <v/>
      </c>
      <c r="AE816">
        <f>IF(G816&lt;33,0,IF(G816&gt;=80,5,IF(G816&gt;=70,4,IF(G816&gt;=60,3.5,IF(G816&gt;=50,3,IF(G816&gt;=40,2,IF(G816&gt;=33,1,0)))))))</f>
        <v/>
      </c>
      <c r="AF816">
        <f>IF(H816+I816&lt;66,0,IF((H816+I816)/2&gt;=80,5,IF((H816+I816)/2&gt;=70,4,IF((H816+I816)/2&gt;=60,3.5,IF((H816+I816)/2&gt;=50,3,IF((H816+I816)/2&gt;=40,2,IF((H816+I816)/2&gt;=33,1,0)))))))</f>
        <v/>
      </c>
      <c r="AG816">
        <f>IF(Y816,0,IF((J816+K816+L816+M816)/2&gt;=80,5,IF((J816+K816+L816+M816)/2&gt;=70,4,IF((J816+K816+L816+M816)/2&gt;=60,3.5,IF((J816+K816+L816+M816)/2&gt;=50,3,IF((J816+K816+L816+M816)/2&gt;=40,2,IF((J816+K816+L816+M816)/2&gt;=33,1,0)))))))</f>
        <v/>
      </c>
      <c r="AH816">
        <f>IF(Z816,0,IF(N816+O816&gt;=80,5,IF(N816+O816&gt;=70,4,IF(N816+O816&gt;=60,3.5,IF(N816+O816&gt;=50,3,IF(N816+O816&gt;=40,2,IF(N816+O816&gt;=33,1,0)))))))</f>
        <v/>
      </c>
      <c r="AI816">
        <f>IF(AA816,0,IF(P816+Q816&gt;=80,5,IF(P816+Q816&gt;=70,4,IF(P816+Q816&gt;=60,3.5,IF(P816+Q816&gt;=50,3,IF(P816+Q816&gt;=40,2,IF(P816+Q816&gt;=33,1,0)))))))</f>
        <v/>
      </c>
      <c r="AJ816">
        <f>IF(R816&lt;8.25,0,IF(R816*2&gt;=80,5,IF(R816*2&gt;=70,4,IF(R816*2&gt;=60,3.5,IF(R816*2&gt;=50,3,IF(R816*2&gt;=40,2,IF(R816*2&gt;=33,1,0)))))))</f>
        <v/>
      </c>
      <c r="AK816">
        <f>IF(S816&lt;33,0,IF(S816&gt;=80,5,IF(S816&gt;=70,4,IF(S816&gt;=60,3.5,IF(S816&gt;=50,3,IF(S816&gt;=40,2,IF(S816&gt;=33,1,0)))))))</f>
        <v/>
      </c>
      <c r="AL816">
        <f>(AC816+AD816+AE816+AF816+AG816+AH816+AI816+AJ816)/8</f>
        <v/>
      </c>
      <c r="AM816">
        <f>IF(AK816&gt;=2,(AK816-2)/8,0)</f>
        <v/>
      </c>
    </row>
    <row r="817">
      <c r="T817">
        <f>SUM(C817:R817)</f>
        <v/>
      </c>
      <c r="U817" s="6">
        <f>ROUND(T817/11.5,2)</f>
        <v/>
      </c>
      <c r="V817" s="7">
        <f>IF(B817="","",IF(AB817,0,ROUND(AL817,2)))</f>
        <v/>
      </c>
      <c r="W817" s="7">
        <f>IF(B817="","",IF(AB817,0,MIN(5,ROUND(AL817+AM817,2))))</f>
        <v/>
      </c>
      <c r="X817" s="8">
        <f>IF(B817="","",IF(W817&gt;=5,"A+",IF(W817&gt;=4,"A",IF(W817&gt;=3.5,"A-",IF(W817&gt;=3,"B",IF(W817&gt;=2,"C",IF(W817&gt;=1,"D","F")))))))</f>
        <v/>
      </c>
      <c r="Y817">
        <f>NOT(OR(AND(J817&gt;=10,K817&gt;=23,L817&gt;=10,M817&gt;=23),AND(J817+L817&gt;=20,K817+M817&gt;=46)))</f>
        <v/>
      </c>
      <c r="Z817">
        <f>OR(N817&lt;10,O817&lt;23)</f>
        <v/>
      </c>
      <c r="AA817">
        <f>OR(P817&lt;10,Q817&lt;23)</f>
        <v/>
      </c>
      <c r="AB817">
        <f>OR((C817+D817)&lt;66,(E817+F817)&lt;66,G817&lt;33,(H817+I817)&lt;66,Y817,Z817,AA817,R817&lt;8.25)</f>
        <v/>
      </c>
      <c r="AC817">
        <f>IF(C817+D817&lt;66,0,IF((C817+D817)/2&gt;=80,5,IF((C817+D817)/2&gt;=70,4,IF((C817+D817)/2&gt;=60,3.5,IF((C817+D817)/2&gt;=50,3,IF((C817+D817)/2&gt;=40,2,IF((C817+D817)/2&gt;=33,1,0)))))))</f>
        <v/>
      </c>
      <c r="AD817">
        <f>IF(E817+F817&lt;66,0,IF((E817+F817)/2&gt;=80,5,IF((E817+F817)/2&gt;=70,4,IF((E817+F817)/2&gt;=60,3.5,IF((E817+F817)/2&gt;=50,3,IF((E817+F817)/2&gt;=40,2,IF((E817+F817)/2&gt;=33,1,0)))))))</f>
        <v/>
      </c>
      <c r="AE817">
        <f>IF(G817&lt;33,0,IF(G817&gt;=80,5,IF(G817&gt;=70,4,IF(G817&gt;=60,3.5,IF(G817&gt;=50,3,IF(G817&gt;=40,2,IF(G817&gt;=33,1,0)))))))</f>
        <v/>
      </c>
      <c r="AF817">
        <f>IF(H817+I817&lt;66,0,IF((H817+I817)/2&gt;=80,5,IF((H817+I817)/2&gt;=70,4,IF((H817+I817)/2&gt;=60,3.5,IF((H817+I817)/2&gt;=50,3,IF((H817+I817)/2&gt;=40,2,IF((H817+I817)/2&gt;=33,1,0)))))))</f>
        <v/>
      </c>
      <c r="AG817">
        <f>IF(Y817,0,IF((J817+K817+L817+M817)/2&gt;=80,5,IF((J817+K817+L817+M817)/2&gt;=70,4,IF((J817+K817+L817+M817)/2&gt;=60,3.5,IF((J817+K817+L817+M817)/2&gt;=50,3,IF((J817+K817+L817+M817)/2&gt;=40,2,IF((J817+K817+L817+M817)/2&gt;=33,1,0)))))))</f>
        <v/>
      </c>
      <c r="AH817">
        <f>IF(Z817,0,IF(N817+O817&gt;=80,5,IF(N817+O817&gt;=70,4,IF(N817+O817&gt;=60,3.5,IF(N817+O817&gt;=50,3,IF(N817+O817&gt;=40,2,IF(N817+O817&gt;=33,1,0)))))))</f>
        <v/>
      </c>
      <c r="AI817">
        <f>IF(AA817,0,IF(P817+Q817&gt;=80,5,IF(P817+Q817&gt;=70,4,IF(P817+Q817&gt;=60,3.5,IF(P817+Q817&gt;=50,3,IF(P817+Q817&gt;=40,2,IF(P817+Q817&gt;=33,1,0)))))))</f>
        <v/>
      </c>
      <c r="AJ817">
        <f>IF(R817&lt;8.25,0,IF(R817*2&gt;=80,5,IF(R817*2&gt;=70,4,IF(R817*2&gt;=60,3.5,IF(R817*2&gt;=50,3,IF(R817*2&gt;=40,2,IF(R817*2&gt;=33,1,0)))))))</f>
        <v/>
      </c>
      <c r="AK817">
        <f>IF(S817&lt;33,0,IF(S817&gt;=80,5,IF(S817&gt;=70,4,IF(S817&gt;=60,3.5,IF(S817&gt;=50,3,IF(S817&gt;=40,2,IF(S817&gt;=33,1,0)))))))</f>
        <v/>
      </c>
      <c r="AL817">
        <f>(AC817+AD817+AE817+AF817+AG817+AH817+AI817+AJ817)/8</f>
        <v/>
      </c>
      <c r="AM817">
        <f>IF(AK817&gt;=2,(AK817-2)/8,0)</f>
        <v/>
      </c>
    </row>
    <row r="818">
      <c r="T818">
        <f>SUM(C818:R818)</f>
        <v/>
      </c>
      <c r="U818" s="6">
        <f>ROUND(T818/11.5,2)</f>
        <v/>
      </c>
      <c r="V818" s="7">
        <f>IF(B818="","",IF(AB818,0,ROUND(AL818,2)))</f>
        <v/>
      </c>
      <c r="W818" s="7">
        <f>IF(B818="","",IF(AB818,0,MIN(5,ROUND(AL818+AM818,2))))</f>
        <v/>
      </c>
      <c r="X818" s="8">
        <f>IF(B818="","",IF(W818&gt;=5,"A+",IF(W818&gt;=4,"A",IF(W818&gt;=3.5,"A-",IF(W818&gt;=3,"B",IF(W818&gt;=2,"C",IF(W818&gt;=1,"D","F")))))))</f>
        <v/>
      </c>
      <c r="Y818">
        <f>NOT(OR(AND(J818&gt;=10,K818&gt;=23,L818&gt;=10,M818&gt;=23),AND(J818+L818&gt;=20,K818+M818&gt;=46)))</f>
        <v/>
      </c>
      <c r="Z818">
        <f>OR(N818&lt;10,O818&lt;23)</f>
        <v/>
      </c>
      <c r="AA818">
        <f>OR(P818&lt;10,Q818&lt;23)</f>
        <v/>
      </c>
      <c r="AB818">
        <f>OR((C818+D818)&lt;66,(E818+F818)&lt;66,G818&lt;33,(H818+I818)&lt;66,Y818,Z818,AA818,R818&lt;8.25)</f>
        <v/>
      </c>
      <c r="AC818">
        <f>IF(C818+D818&lt;66,0,IF((C818+D818)/2&gt;=80,5,IF((C818+D818)/2&gt;=70,4,IF((C818+D818)/2&gt;=60,3.5,IF((C818+D818)/2&gt;=50,3,IF((C818+D818)/2&gt;=40,2,IF((C818+D818)/2&gt;=33,1,0)))))))</f>
        <v/>
      </c>
      <c r="AD818">
        <f>IF(E818+F818&lt;66,0,IF((E818+F818)/2&gt;=80,5,IF((E818+F818)/2&gt;=70,4,IF((E818+F818)/2&gt;=60,3.5,IF((E818+F818)/2&gt;=50,3,IF((E818+F818)/2&gt;=40,2,IF((E818+F818)/2&gt;=33,1,0)))))))</f>
        <v/>
      </c>
      <c r="AE818">
        <f>IF(G818&lt;33,0,IF(G818&gt;=80,5,IF(G818&gt;=70,4,IF(G818&gt;=60,3.5,IF(G818&gt;=50,3,IF(G818&gt;=40,2,IF(G818&gt;=33,1,0)))))))</f>
        <v/>
      </c>
      <c r="AF818">
        <f>IF(H818+I818&lt;66,0,IF((H818+I818)/2&gt;=80,5,IF((H818+I818)/2&gt;=70,4,IF((H818+I818)/2&gt;=60,3.5,IF((H818+I818)/2&gt;=50,3,IF((H818+I818)/2&gt;=40,2,IF((H818+I818)/2&gt;=33,1,0)))))))</f>
        <v/>
      </c>
      <c r="AG818">
        <f>IF(Y818,0,IF((J818+K818+L818+M818)/2&gt;=80,5,IF((J818+K818+L818+M818)/2&gt;=70,4,IF((J818+K818+L818+M818)/2&gt;=60,3.5,IF((J818+K818+L818+M818)/2&gt;=50,3,IF((J818+K818+L818+M818)/2&gt;=40,2,IF((J818+K818+L818+M818)/2&gt;=33,1,0)))))))</f>
        <v/>
      </c>
      <c r="AH818">
        <f>IF(Z818,0,IF(N818+O818&gt;=80,5,IF(N818+O818&gt;=70,4,IF(N818+O818&gt;=60,3.5,IF(N818+O818&gt;=50,3,IF(N818+O818&gt;=40,2,IF(N818+O818&gt;=33,1,0)))))))</f>
        <v/>
      </c>
      <c r="AI818">
        <f>IF(AA818,0,IF(P818+Q818&gt;=80,5,IF(P818+Q818&gt;=70,4,IF(P818+Q818&gt;=60,3.5,IF(P818+Q818&gt;=50,3,IF(P818+Q818&gt;=40,2,IF(P818+Q818&gt;=33,1,0)))))))</f>
        <v/>
      </c>
      <c r="AJ818">
        <f>IF(R818&lt;8.25,0,IF(R818*2&gt;=80,5,IF(R818*2&gt;=70,4,IF(R818*2&gt;=60,3.5,IF(R818*2&gt;=50,3,IF(R818*2&gt;=40,2,IF(R818*2&gt;=33,1,0)))))))</f>
        <v/>
      </c>
      <c r="AK818">
        <f>IF(S818&lt;33,0,IF(S818&gt;=80,5,IF(S818&gt;=70,4,IF(S818&gt;=60,3.5,IF(S818&gt;=50,3,IF(S818&gt;=40,2,IF(S818&gt;=33,1,0)))))))</f>
        <v/>
      </c>
      <c r="AL818">
        <f>(AC818+AD818+AE818+AF818+AG818+AH818+AI818+AJ818)/8</f>
        <v/>
      </c>
      <c r="AM818">
        <f>IF(AK818&gt;=2,(AK818-2)/8,0)</f>
        <v/>
      </c>
    </row>
    <row r="819">
      <c r="T819">
        <f>SUM(C819:R819)</f>
        <v/>
      </c>
      <c r="U819" s="6">
        <f>ROUND(T819/11.5,2)</f>
        <v/>
      </c>
      <c r="V819" s="7">
        <f>IF(B819="","",IF(AB819,0,ROUND(AL819,2)))</f>
        <v/>
      </c>
      <c r="W819" s="7">
        <f>IF(B819="","",IF(AB819,0,MIN(5,ROUND(AL819+AM819,2))))</f>
        <v/>
      </c>
      <c r="X819" s="8">
        <f>IF(B819="","",IF(W819&gt;=5,"A+",IF(W819&gt;=4,"A",IF(W819&gt;=3.5,"A-",IF(W819&gt;=3,"B",IF(W819&gt;=2,"C",IF(W819&gt;=1,"D","F")))))))</f>
        <v/>
      </c>
      <c r="Y819">
        <f>NOT(OR(AND(J819&gt;=10,K819&gt;=23,L819&gt;=10,M819&gt;=23),AND(J819+L819&gt;=20,K819+M819&gt;=46)))</f>
        <v/>
      </c>
      <c r="Z819">
        <f>OR(N819&lt;10,O819&lt;23)</f>
        <v/>
      </c>
      <c r="AA819">
        <f>OR(P819&lt;10,Q819&lt;23)</f>
        <v/>
      </c>
      <c r="AB819">
        <f>OR((C819+D819)&lt;66,(E819+F819)&lt;66,G819&lt;33,(H819+I819)&lt;66,Y819,Z819,AA819,R819&lt;8.25)</f>
        <v/>
      </c>
      <c r="AC819">
        <f>IF(C819+D819&lt;66,0,IF((C819+D819)/2&gt;=80,5,IF((C819+D819)/2&gt;=70,4,IF((C819+D819)/2&gt;=60,3.5,IF((C819+D819)/2&gt;=50,3,IF((C819+D819)/2&gt;=40,2,IF((C819+D819)/2&gt;=33,1,0)))))))</f>
        <v/>
      </c>
      <c r="AD819">
        <f>IF(E819+F819&lt;66,0,IF((E819+F819)/2&gt;=80,5,IF((E819+F819)/2&gt;=70,4,IF((E819+F819)/2&gt;=60,3.5,IF((E819+F819)/2&gt;=50,3,IF((E819+F819)/2&gt;=40,2,IF((E819+F819)/2&gt;=33,1,0)))))))</f>
        <v/>
      </c>
      <c r="AE819">
        <f>IF(G819&lt;33,0,IF(G819&gt;=80,5,IF(G819&gt;=70,4,IF(G819&gt;=60,3.5,IF(G819&gt;=50,3,IF(G819&gt;=40,2,IF(G819&gt;=33,1,0)))))))</f>
        <v/>
      </c>
      <c r="AF819">
        <f>IF(H819+I819&lt;66,0,IF((H819+I819)/2&gt;=80,5,IF((H819+I819)/2&gt;=70,4,IF((H819+I819)/2&gt;=60,3.5,IF((H819+I819)/2&gt;=50,3,IF((H819+I819)/2&gt;=40,2,IF((H819+I819)/2&gt;=33,1,0)))))))</f>
        <v/>
      </c>
      <c r="AG819">
        <f>IF(Y819,0,IF((J819+K819+L819+M819)/2&gt;=80,5,IF((J819+K819+L819+M819)/2&gt;=70,4,IF((J819+K819+L819+M819)/2&gt;=60,3.5,IF((J819+K819+L819+M819)/2&gt;=50,3,IF((J819+K819+L819+M819)/2&gt;=40,2,IF((J819+K819+L819+M819)/2&gt;=33,1,0)))))))</f>
        <v/>
      </c>
      <c r="AH819">
        <f>IF(Z819,0,IF(N819+O819&gt;=80,5,IF(N819+O819&gt;=70,4,IF(N819+O819&gt;=60,3.5,IF(N819+O819&gt;=50,3,IF(N819+O819&gt;=40,2,IF(N819+O819&gt;=33,1,0)))))))</f>
        <v/>
      </c>
      <c r="AI819">
        <f>IF(AA819,0,IF(P819+Q819&gt;=80,5,IF(P819+Q819&gt;=70,4,IF(P819+Q819&gt;=60,3.5,IF(P819+Q819&gt;=50,3,IF(P819+Q819&gt;=40,2,IF(P819+Q819&gt;=33,1,0)))))))</f>
        <v/>
      </c>
      <c r="AJ819">
        <f>IF(R819&lt;8.25,0,IF(R819*2&gt;=80,5,IF(R819*2&gt;=70,4,IF(R819*2&gt;=60,3.5,IF(R819*2&gt;=50,3,IF(R819*2&gt;=40,2,IF(R819*2&gt;=33,1,0)))))))</f>
        <v/>
      </c>
      <c r="AK819">
        <f>IF(S819&lt;33,0,IF(S819&gt;=80,5,IF(S819&gt;=70,4,IF(S819&gt;=60,3.5,IF(S819&gt;=50,3,IF(S819&gt;=40,2,IF(S819&gt;=33,1,0)))))))</f>
        <v/>
      </c>
      <c r="AL819">
        <f>(AC819+AD819+AE819+AF819+AG819+AH819+AI819+AJ819)/8</f>
        <v/>
      </c>
      <c r="AM819">
        <f>IF(AK819&gt;=2,(AK819-2)/8,0)</f>
        <v/>
      </c>
    </row>
    <row r="820">
      <c r="T820">
        <f>SUM(C820:R820)</f>
        <v/>
      </c>
      <c r="U820" s="6">
        <f>ROUND(T820/11.5,2)</f>
        <v/>
      </c>
      <c r="V820" s="7">
        <f>IF(B820="","",IF(AB820,0,ROUND(AL820,2)))</f>
        <v/>
      </c>
      <c r="W820" s="7">
        <f>IF(B820="","",IF(AB820,0,MIN(5,ROUND(AL820+AM820,2))))</f>
        <v/>
      </c>
      <c r="X820" s="8">
        <f>IF(B820="","",IF(W820&gt;=5,"A+",IF(W820&gt;=4,"A",IF(W820&gt;=3.5,"A-",IF(W820&gt;=3,"B",IF(W820&gt;=2,"C",IF(W820&gt;=1,"D","F")))))))</f>
        <v/>
      </c>
      <c r="Y820">
        <f>NOT(OR(AND(J820&gt;=10,K820&gt;=23,L820&gt;=10,M820&gt;=23),AND(J820+L820&gt;=20,K820+M820&gt;=46)))</f>
        <v/>
      </c>
      <c r="Z820">
        <f>OR(N820&lt;10,O820&lt;23)</f>
        <v/>
      </c>
      <c r="AA820">
        <f>OR(P820&lt;10,Q820&lt;23)</f>
        <v/>
      </c>
      <c r="AB820">
        <f>OR((C820+D820)&lt;66,(E820+F820)&lt;66,G820&lt;33,(H820+I820)&lt;66,Y820,Z820,AA820,R820&lt;8.25)</f>
        <v/>
      </c>
      <c r="AC820">
        <f>IF(C820+D820&lt;66,0,IF((C820+D820)/2&gt;=80,5,IF((C820+D820)/2&gt;=70,4,IF((C820+D820)/2&gt;=60,3.5,IF((C820+D820)/2&gt;=50,3,IF((C820+D820)/2&gt;=40,2,IF((C820+D820)/2&gt;=33,1,0)))))))</f>
        <v/>
      </c>
      <c r="AD820">
        <f>IF(E820+F820&lt;66,0,IF((E820+F820)/2&gt;=80,5,IF((E820+F820)/2&gt;=70,4,IF((E820+F820)/2&gt;=60,3.5,IF((E820+F820)/2&gt;=50,3,IF((E820+F820)/2&gt;=40,2,IF((E820+F820)/2&gt;=33,1,0)))))))</f>
        <v/>
      </c>
      <c r="AE820">
        <f>IF(G820&lt;33,0,IF(G820&gt;=80,5,IF(G820&gt;=70,4,IF(G820&gt;=60,3.5,IF(G820&gt;=50,3,IF(G820&gt;=40,2,IF(G820&gt;=33,1,0)))))))</f>
        <v/>
      </c>
      <c r="AF820">
        <f>IF(H820+I820&lt;66,0,IF((H820+I820)/2&gt;=80,5,IF((H820+I820)/2&gt;=70,4,IF((H820+I820)/2&gt;=60,3.5,IF((H820+I820)/2&gt;=50,3,IF((H820+I820)/2&gt;=40,2,IF((H820+I820)/2&gt;=33,1,0)))))))</f>
        <v/>
      </c>
      <c r="AG820">
        <f>IF(Y820,0,IF((J820+K820+L820+M820)/2&gt;=80,5,IF((J820+K820+L820+M820)/2&gt;=70,4,IF((J820+K820+L820+M820)/2&gt;=60,3.5,IF((J820+K820+L820+M820)/2&gt;=50,3,IF((J820+K820+L820+M820)/2&gt;=40,2,IF((J820+K820+L820+M820)/2&gt;=33,1,0)))))))</f>
        <v/>
      </c>
      <c r="AH820">
        <f>IF(Z820,0,IF(N820+O820&gt;=80,5,IF(N820+O820&gt;=70,4,IF(N820+O820&gt;=60,3.5,IF(N820+O820&gt;=50,3,IF(N820+O820&gt;=40,2,IF(N820+O820&gt;=33,1,0)))))))</f>
        <v/>
      </c>
      <c r="AI820">
        <f>IF(AA820,0,IF(P820+Q820&gt;=80,5,IF(P820+Q820&gt;=70,4,IF(P820+Q820&gt;=60,3.5,IF(P820+Q820&gt;=50,3,IF(P820+Q820&gt;=40,2,IF(P820+Q820&gt;=33,1,0)))))))</f>
        <v/>
      </c>
      <c r="AJ820">
        <f>IF(R820&lt;8.25,0,IF(R820*2&gt;=80,5,IF(R820*2&gt;=70,4,IF(R820*2&gt;=60,3.5,IF(R820*2&gt;=50,3,IF(R820*2&gt;=40,2,IF(R820*2&gt;=33,1,0)))))))</f>
        <v/>
      </c>
      <c r="AK820">
        <f>IF(S820&lt;33,0,IF(S820&gt;=80,5,IF(S820&gt;=70,4,IF(S820&gt;=60,3.5,IF(S820&gt;=50,3,IF(S820&gt;=40,2,IF(S820&gt;=33,1,0)))))))</f>
        <v/>
      </c>
      <c r="AL820">
        <f>(AC820+AD820+AE820+AF820+AG820+AH820+AI820+AJ820)/8</f>
        <v/>
      </c>
      <c r="AM820">
        <f>IF(AK820&gt;=2,(AK820-2)/8,0)</f>
        <v/>
      </c>
    </row>
    <row r="821">
      <c r="T821">
        <f>SUM(C821:R821)</f>
        <v/>
      </c>
      <c r="U821" s="6">
        <f>ROUND(T821/11.5,2)</f>
        <v/>
      </c>
      <c r="V821" s="7">
        <f>IF(B821="","",IF(AB821,0,ROUND(AL821,2)))</f>
        <v/>
      </c>
      <c r="W821" s="7">
        <f>IF(B821="","",IF(AB821,0,MIN(5,ROUND(AL821+AM821,2))))</f>
        <v/>
      </c>
      <c r="X821" s="8">
        <f>IF(B821="","",IF(W821&gt;=5,"A+",IF(W821&gt;=4,"A",IF(W821&gt;=3.5,"A-",IF(W821&gt;=3,"B",IF(W821&gt;=2,"C",IF(W821&gt;=1,"D","F")))))))</f>
        <v/>
      </c>
      <c r="Y821">
        <f>NOT(OR(AND(J821&gt;=10,K821&gt;=23,L821&gt;=10,M821&gt;=23),AND(J821+L821&gt;=20,K821+M821&gt;=46)))</f>
        <v/>
      </c>
      <c r="Z821">
        <f>OR(N821&lt;10,O821&lt;23)</f>
        <v/>
      </c>
      <c r="AA821">
        <f>OR(P821&lt;10,Q821&lt;23)</f>
        <v/>
      </c>
      <c r="AB821">
        <f>OR((C821+D821)&lt;66,(E821+F821)&lt;66,G821&lt;33,(H821+I821)&lt;66,Y821,Z821,AA821,R821&lt;8.25)</f>
        <v/>
      </c>
      <c r="AC821">
        <f>IF(C821+D821&lt;66,0,IF((C821+D821)/2&gt;=80,5,IF((C821+D821)/2&gt;=70,4,IF((C821+D821)/2&gt;=60,3.5,IF((C821+D821)/2&gt;=50,3,IF((C821+D821)/2&gt;=40,2,IF((C821+D821)/2&gt;=33,1,0)))))))</f>
        <v/>
      </c>
      <c r="AD821">
        <f>IF(E821+F821&lt;66,0,IF((E821+F821)/2&gt;=80,5,IF((E821+F821)/2&gt;=70,4,IF((E821+F821)/2&gt;=60,3.5,IF((E821+F821)/2&gt;=50,3,IF((E821+F821)/2&gt;=40,2,IF((E821+F821)/2&gt;=33,1,0)))))))</f>
        <v/>
      </c>
      <c r="AE821">
        <f>IF(G821&lt;33,0,IF(G821&gt;=80,5,IF(G821&gt;=70,4,IF(G821&gt;=60,3.5,IF(G821&gt;=50,3,IF(G821&gt;=40,2,IF(G821&gt;=33,1,0)))))))</f>
        <v/>
      </c>
      <c r="AF821">
        <f>IF(H821+I821&lt;66,0,IF((H821+I821)/2&gt;=80,5,IF((H821+I821)/2&gt;=70,4,IF((H821+I821)/2&gt;=60,3.5,IF((H821+I821)/2&gt;=50,3,IF((H821+I821)/2&gt;=40,2,IF((H821+I821)/2&gt;=33,1,0)))))))</f>
        <v/>
      </c>
      <c r="AG821">
        <f>IF(Y821,0,IF((J821+K821+L821+M821)/2&gt;=80,5,IF((J821+K821+L821+M821)/2&gt;=70,4,IF((J821+K821+L821+M821)/2&gt;=60,3.5,IF((J821+K821+L821+M821)/2&gt;=50,3,IF((J821+K821+L821+M821)/2&gt;=40,2,IF((J821+K821+L821+M821)/2&gt;=33,1,0)))))))</f>
        <v/>
      </c>
      <c r="AH821">
        <f>IF(Z821,0,IF(N821+O821&gt;=80,5,IF(N821+O821&gt;=70,4,IF(N821+O821&gt;=60,3.5,IF(N821+O821&gt;=50,3,IF(N821+O821&gt;=40,2,IF(N821+O821&gt;=33,1,0)))))))</f>
        <v/>
      </c>
      <c r="AI821">
        <f>IF(AA821,0,IF(P821+Q821&gt;=80,5,IF(P821+Q821&gt;=70,4,IF(P821+Q821&gt;=60,3.5,IF(P821+Q821&gt;=50,3,IF(P821+Q821&gt;=40,2,IF(P821+Q821&gt;=33,1,0)))))))</f>
        <v/>
      </c>
      <c r="AJ821">
        <f>IF(R821&lt;8.25,0,IF(R821*2&gt;=80,5,IF(R821*2&gt;=70,4,IF(R821*2&gt;=60,3.5,IF(R821*2&gt;=50,3,IF(R821*2&gt;=40,2,IF(R821*2&gt;=33,1,0)))))))</f>
        <v/>
      </c>
      <c r="AK821">
        <f>IF(S821&lt;33,0,IF(S821&gt;=80,5,IF(S821&gt;=70,4,IF(S821&gt;=60,3.5,IF(S821&gt;=50,3,IF(S821&gt;=40,2,IF(S821&gt;=33,1,0)))))))</f>
        <v/>
      </c>
      <c r="AL821">
        <f>(AC821+AD821+AE821+AF821+AG821+AH821+AI821+AJ821)/8</f>
        <v/>
      </c>
      <c r="AM821">
        <f>IF(AK821&gt;=2,(AK821-2)/8,0)</f>
        <v/>
      </c>
    </row>
    <row r="822">
      <c r="T822">
        <f>SUM(C822:R822)</f>
        <v/>
      </c>
      <c r="U822" s="6">
        <f>ROUND(T822/11.5,2)</f>
        <v/>
      </c>
      <c r="V822" s="7">
        <f>IF(B822="","",IF(AB822,0,ROUND(AL822,2)))</f>
        <v/>
      </c>
      <c r="W822" s="7">
        <f>IF(B822="","",IF(AB822,0,MIN(5,ROUND(AL822+AM822,2))))</f>
        <v/>
      </c>
      <c r="X822" s="8">
        <f>IF(B822="","",IF(W822&gt;=5,"A+",IF(W822&gt;=4,"A",IF(W822&gt;=3.5,"A-",IF(W822&gt;=3,"B",IF(W822&gt;=2,"C",IF(W822&gt;=1,"D","F")))))))</f>
        <v/>
      </c>
      <c r="Y822">
        <f>NOT(OR(AND(J822&gt;=10,K822&gt;=23,L822&gt;=10,M822&gt;=23),AND(J822+L822&gt;=20,K822+M822&gt;=46)))</f>
        <v/>
      </c>
      <c r="Z822">
        <f>OR(N822&lt;10,O822&lt;23)</f>
        <v/>
      </c>
      <c r="AA822">
        <f>OR(P822&lt;10,Q822&lt;23)</f>
        <v/>
      </c>
      <c r="AB822">
        <f>OR((C822+D822)&lt;66,(E822+F822)&lt;66,G822&lt;33,(H822+I822)&lt;66,Y822,Z822,AA822,R822&lt;8.25)</f>
        <v/>
      </c>
      <c r="AC822">
        <f>IF(C822+D822&lt;66,0,IF((C822+D822)/2&gt;=80,5,IF((C822+D822)/2&gt;=70,4,IF((C822+D822)/2&gt;=60,3.5,IF((C822+D822)/2&gt;=50,3,IF((C822+D822)/2&gt;=40,2,IF((C822+D822)/2&gt;=33,1,0)))))))</f>
        <v/>
      </c>
      <c r="AD822">
        <f>IF(E822+F822&lt;66,0,IF((E822+F822)/2&gt;=80,5,IF((E822+F822)/2&gt;=70,4,IF((E822+F822)/2&gt;=60,3.5,IF((E822+F822)/2&gt;=50,3,IF((E822+F822)/2&gt;=40,2,IF((E822+F822)/2&gt;=33,1,0)))))))</f>
        <v/>
      </c>
      <c r="AE822">
        <f>IF(G822&lt;33,0,IF(G822&gt;=80,5,IF(G822&gt;=70,4,IF(G822&gt;=60,3.5,IF(G822&gt;=50,3,IF(G822&gt;=40,2,IF(G822&gt;=33,1,0)))))))</f>
        <v/>
      </c>
      <c r="AF822">
        <f>IF(H822+I822&lt;66,0,IF((H822+I822)/2&gt;=80,5,IF((H822+I822)/2&gt;=70,4,IF((H822+I822)/2&gt;=60,3.5,IF((H822+I822)/2&gt;=50,3,IF((H822+I822)/2&gt;=40,2,IF((H822+I822)/2&gt;=33,1,0)))))))</f>
        <v/>
      </c>
      <c r="AG822">
        <f>IF(Y822,0,IF((J822+K822+L822+M822)/2&gt;=80,5,IF((J822+K822+L822+M822)/2&gt;=70,4,IF((J822+K822+L822+M822)/2&gt;=60,3.5,IF((J822+K822+L822+M822)/2&gt;=50,3,IF((J822+K822+L822+M822)/2&gt;=40,2,IF((J822+K822+L822+M822)/2&gt;=33,1,0)))))))</f>
        <v/>
      </c>
      <c r="AH822">
        <f>IF(Z822,0,IF(N822+O822&gt;=80,5,IF(N822+O822&gt;=70,4,IF(N822+O822&gt;=60,3.5,IF(N822+O822&gt;=50,3,IF(N822+O822&gt;=40,2,IF(N822+O822&gt;=33,1,0)))))))</f>
        <v/>
      </c>
      <c r="AI822">
        <f>IF(AA822,0,IF(P822+Q822&gt;=80,5,IF(P822+Q822&gt;=70,4,IF(P822+Q822&gt;=60,3.5,IF(P822+Q822&gt;=50,3,IF(P822+Q822&gt;=40,2,IF(P822+Q822&gt;=33,1,0)))))))</f>
        <v/>
      </c>
      <c r="AJ822">
        <f>IF(R822&lt;8.25,0,IF(R822*2&gt;=80,5,IF(R822*2&gt;=70,4,IF(R822*2&gt;=60,3.5,IF(R822*2&gt;=50,3,IF(R822*2&gt;=40,2,IF(R822*2&gt;=33,1,0)))))))</f>
        <v/>
      </c>
      <c r="AK822">
        <f>IF(S822&lt;33,0,IF(S822&gt;=80,5,IF(S822&gt;=70,4,IF(S822&gt;=60,3.5,IF(S822&gt;=50,3,IF(S822&gt;=40,2,IF(S822&gt;=33,1,0)))))))</f>
        <v/>
      </c>
      <c r="AL822">
        <f>(AC822+AD822+AE822+AF822+AG822+AH822+AI822+AJ822)/8</f>
        <v/>
      </c>
      <c r="AM822">
        <f>IF(AK822&gt;=2,(AK822-2)/8,0)</f>
        <v/>
      </c>
    </row>
    <row r="823">
      <c r="T823">
        <f>SUM(C823:R823)</f>
        <v/>
      </c>
      <c r="U823" s="6">
        <f>ROUND(T823/11.5,2)</f>
        <v/>
      </c>
      <c r="V823" s="7">
        <f>IF(B823="","",IF(AB823,0,ROUND(AL823,2)))</f>
        <v/>
      </c>
      <c r="W823" s="7">
        <f>IF(B823="","",IF(AB823,0,MIN(5,ROUND(AL823+AM823,2))))</f>
        <v/>
      </c>
      <c r="X823" s="8">
        <f>IF(B823="","",IF(W823&gt;=5,"A+",IF(W823&gt;=4,"A",IF(W823&gt;=3.5,"A-",IF(W823&gt;=3,"B",IF(W823&gt;=2,"C",IF(W823&gt;=1,"D","F")))))))</f>
        <v/>
      </c>
      <c r="Y823">
        <f>NOT(OR(AND(J823&gt;=10,K823&gt;=23,L823&gt;=10,M823&gt;=23),AND(J823+L823&gt;=20,K823+M823&gt;=46)))</f>
        <v/>
      </c>
      <c r="Z823">
        <f>OR(N823&lt;10,O823&lt;23)</f>
        <v/>
      </c>
      <c r="AA823">
        <f>OR(P823&lt;10,Q823&lt;23)</f>
        <v/>
      </c>
      <c r="AB823">
        <f>OR((C823+D823)&lt;66,(E823+F823)&lt;66,G823&lt;33,(H823+I823)&lt;66,Y823,Z823,AA823,R823&lt;8.25)</f>
        <v/>
      </c>
      <c r="AC823">
        <f>IF(C823+D823&lt;66,0,IF((C823+D823)/2&gt;=80,5,IF((C823+D823)/2&gt;=70,4,IF((C823+D823)/2&gt;=60,3.5,IF((C823+D823)/2&gt;=50,3,IF((C823+D823)/2&gt;=40,2,IF((C823+D823)/2&gt;=33,1,0)))))))</f>
        <v/>
      </c>
      <c r="AD823">
        <f>IF(E823+F823&lt;66,0,IF((E823+F823)/2&gt;=80,5,IF((E823+F823)/2&gt;=70,4,IF((E823+F823)/2&gt;=60,3.5,IF((E823+F823)/2&gt;=50,3,IF((E823+F823)/2&gt;=40,2,IF((E823+F823)/2&gt;=33,1,0)))))))</f>
        <v/>
      </c>
      <c r="AE823">
        <f>IF(G823&lt;33,0,IF(G823&gt;=80,5,IF(G823&gt;=70,4,IF(G823&gt;=60,3.5,IF(G823&gt;=50,3,IF(G823&gt;=40,2,IF(G823&gt;=33,1,0)))))))</f>
        <v/>
      </c>
      <c r="AF823">
        <f>IF(H823+I823&lt;66,0,IF((H823+I823)/2&gt;=80,5,IF((H823+I823)/2&gt;=70,4,IF((H823+I823)/2&gt;=60,3.5,IF((H823+I823)/2&gt;=50,3,IF((H823+I823)/2&gt;=40,2,IF((H823+I823)/2&gt;=33,1,0)))))))</f>
        <v/>
      </c>
      <c r="AG823">
        <f>IF(Y823,0,IF((J823+K823+L823+M823)/2&gt;=80,5,IF((J823+K823+L823+M823)/2&gt;=70,4,IF((J823+K823+L823+M823)/2&gt;=60,3.5,IF((J823+K823+L823+M823)/2&gt;=50,3,IF((J823+K823+L823+M823)/2&gt;=40,2,IF((J823+K823+L823+M823)/2&gt;=33,1,0)))))))</f>
        <v/>
      </c>
      <c r="AH823">
        <f>IF(Z823,0,IF(N823+O823&gt;=80,5,IF(N823+O823&gt;=70,4,IF(N823+O823&gt;=60,3.5,IF(N823+O823&gt;=50,3,IF(N823+O823&gt;=40,2,IF(N823+O823&gt;=33,1,0)))))))</f>
        <v/>
      </c>
      <c r="AI823">
        <f>IF(AA823,0,IF(P823+Q823&gt;=80,5,IF(P823+Q823&gt;=70,4,IF(P823+Q823&gt;=60,3.5,IF(P823+Q823&gt;=50,3,IF(P823+Q823&gt;=40,2,IF(P823+Q823&gt;=33,1,0)))))))</f>
        <v/>
      </c>
      <c r="AJ823">
        <f>IF(R823&lt;8.25,0,IF(R823*2&gt;=80,5,IF(R823*2&gt;=70,4,IF(R823*2&gt;=60,3.5,IF(R823*2&gt;=50,3,IF(R823*2&gt;=40,2,IF(R823*2&gt;=33,1,0)))))))</f>
        <v/>
      </c>
      <c r="AK823">
        <f>IF(S823&lt;33,0,IF(S823&gt;=80,5,IF(S823&gt;=70,4,IF(S823&gt;=60,3.5,IF(S823&gt;=50,3,IF(S823&gt;=40,2,IF(S823&gt;=33,1,0)))))))</f>
        <v/>
      </c>
      <c r="AL823">
        <f>(AC823+AD823+AE823+AF823+AG823+AH823+AI823+AJ823)/8</f>
        <v/>
      </c>
      <c r="AM823">
        <f>IF(AK823&gt;=2,(AK823-2)/8,0)</f>
        <v/>
      </c>
    </row>
    <row r="824">
      <c r="T824">
        <f>SUM(C824:R824)</f>
        <v/>
      </c>
      <c r="U824" s="6">
        <f>ROUND(T824/11.5,2)</f>
        <v/>
      </c>
      <c r="V824" s="7">
        <f>IF(B824="","",IF(AB824,0,ROUND(AL824,2)))</f>
        <v/>
      </c>
      <c r="W824" s="7">
        <f>IF(B824="","",IF(AB824,0,MIN(5,ROUND(AL824+AM824,2))))</f>
        <v/>
      </c>
      <c r="X824" s="8">
        <f>IF(B824="","",IF(W824&gt;=5,"A+",IF(W824&gt;=4,"A",IF(W824&gt;=3.5,"A-",IF(W824&gt;=3,"B",IF(W824&gt;=2,"C",IF(W824&gt;=1,"D","F")))))))</f>
        <v/>
      </c>
      <c r="Y824">
        <f>NOT(OR(AND(J824&gt;=10,K824&gt;=23,L824&gt;=10,M824&gt;=23),AND(J824+L824&gt;=20,K824+M824&gt;=46)))</f>
        <v/>
      </c>
      <c r="Z824">
        <f>OR(N824&lt;10,O824&lt;23)</f>
        <v/>
      </c>
      <c r="AA824">
        <f>OR(P824&lt;10,Q824&lt;23)</f>
        <v/>
      </c>
      <c r="AB824">
        <f>OR((C824+D824)&lt;66,(E824+F824)&lt;66,G824&lt;33,(H824+I824)&lt;66,Y824,Z824,AA824,R824&lt;8.25)</f>
        <v/>
      </c>
      <c r="AC824">
        <f>IF(C824+D824&lt;66,0,IF((C824+D824)/2&gt;=80,5,IF((C824+D824)/2&gt;=70,4,IF((C824+D824)/2&gt;=60,3.5,IF((C824+D824)/2&gt;=50,3,IF((C824+D824)/2&gt;=40,2,IF((C824+D824)/2&gt;=33,1,0)))))))</f>
        <v/>
      </c>
      <c r="AD824">
        <f>IF(E824+F824&lt;66,0,IF((E824+F824)/2&gt;=80,5,IF((E824+F824)/2&gt;=70,4,IF((E824+F824)/2&gt;=60,3.5,IF((E824+F824)/2&gt;=50,3,IF((E824+F824)/2&gt;=40,2,IF((E824+F824)/2&gt;=33,1,0)))))))</f>
        <v/>
      </c>
      <c r="AE824">
        <f>IF(G824&lt;33,0,IF(G824&gt;=80,5,IF(G824&gt;=70,4,IF(G824&gt;=60,3.5,IF(G824&gt;=50,3,IF(G824&gt;=40,2,IF(G824&gt;=33,1,0)))))))</f>
        <v/>
      </c>
      <c r="AF824">
        <f>IF(H824+I824&lt;66,0,IF((H824+I824)/2&gt;=80,5,IF((H824+I824)/2&gt;=70,4,IF((H824+I824)/2&gt;=60,3.5,IF((H824+I824)/2&gt;=50,3,IF((H824+I824)/2&gt;=40,2,IF((H824+I824)/2&gt;=33,1,0)))))))</f>
        <v/>
      </c>
      <c r="AG824">
        <f>IF(Y824,0,IF((J824+K824+L824+M824)/2&gt;=80,5,IF((J824+K824+L824+M824)/2&gt;=70,4,IF((J824+K824+L824+M824)/2&gt;=60,3.5,IF((J824+K824+L824+M824)/2&gt;=50,3,IF((J824+K824+L824+M824)/2&gt;=40,2,IF((J824+K824+L824+M824)/2&gt;=33,1,0)))))))</f>
        <v/>
      </c>
      <c r="AH824">
        <f>IF(Z824,0,IF(N824+O824&gt;=80,5,IF(N824+O824&gt;=70,4,IF(N824+O824&gt;=60,3.5,IF(N824+O824&gt;=50,3,IF(N824+O824&gt;=40,2,IF(N824+O824&gt;=33,1,0)))))))</f>
        <v/>
      </c>
      <c r="AI824">
        <f>IF(AA824,0,IF(P824+Q824&gt;=80,5,IF(P824+Q824&gt;=70,4,IF(P824+Q824&gt;=60,3.5,IF(P824+Q824&gt;=50,3,IF(P824+Q824&gt;=40,2,IF(P824+Q824&gt;=33,1,0)))))))</f>
        <v/>
      </c>
      <c r="AJ824">
        <f>IF(R824&lt;8.25,0,IF(R824*2&gt;=80,5,IF(R824*2&gt;=70,4,IF(R824*2&gt;=60,3.5,IF(R824*2&gt;=50,3,IF(R824*2&gt;=40,2,IF(R824*2&gt;=33,1,0)))))))</f>
        <v/>
      </c>
      <c r="AK824">
        <f>IF(S824&lt;33,0,IF(S824&gt;=80,5,IF(S824&gt;=70,4,IF(S824&gt;=60,3.5,IF(S824&gt;=50,3,IF(S824&gt;=40,2,IF(S824&gt;=33,1,0)))))))</f>
        <v/>
      </c>
      <c r="AL824">
        <f>(AC824+AD824+AE824+AF824+AG824+AH824+AI824+AJ824)/8</f>
        <v/>
      </c>
      <c r="AM824">
        <f>IF(AK824&gt;=2,(AK824-2)/8,0)</f>
        <v/>
      </c>
    </row>
    <row r="825">
      <c r="T825">
        <f>SUM(C825:R825)</f>
        <v/>
      </c>
      <c r="U825" s="6">
        <f>ROUND(T825/11.5,2)</f>
        <v/>
      </c>
      <c r="V825" s="7">
        <f>IF(B825="","",IF(AB825,0,ROUND(AL825,2)))</f>
        <v/>
      </c>
      <c r="W825" s="7">
        <f>IF(B825="","",IF(AB825,0,MIN(5,ROUND(AL825+AM825,2))))</f>
        <v/>
      </c>
      <c r="X825" s="8">
        <f>IF(B825="","",IF(W825&gt;=5,"A+",IF(W825&gt;=4,"A",IF(W825&gt;=3.5,"A-",IF(W825&gt;=3,"B",IF(W825&gt;=2,"C",IF(W825&gt;=1,"D","F")))))))</f>
        <v/>
      </c>
      <c r="Y825">
        <f>NOT(OR(AND(J825&gt;=10,K825&gt;=23,L825&gt;=10,M825&gt;=23),AND(J825+L825&gt;=20,K825+M825&gt;=46)))</f>
        <v/>
      </c>
      <c r="Z825">
        <f>OR(N825&lt;10,O825&lt;23)</f>
        <v/>
      </c>
      <c r="AA825">
        <f>OR(P825&lt;10,Q825&lt;23)</f>
        <v/>
      </c>
      <c r="AB825">
        <f>OR((C825+D825)&lt;66,(E825+F825)&lt;66,G825&lt;33,(H825+I825)&lt;66,Y825,Z825,AA825,R825&lt;8.25)</f>
        <v/>
      </c>
      <c r="AC825">
        <f>IF(C825+D825&lt;66,0,IF((C825+D825)/2&gt;=80,5,IF((C825+D825)/2&gt;=70,4,IF((C825+D825)/2&gt;=60,3.5,IF((C825+D825)/2&gt;=50,3,IF((C825+D825)/2&gt;=40,2,IF((C825+D825)/2&gt;=33,1,0)))))))</f>
        <v/>
      </c>
      <c r="AD825">
        <f>IF(E825+F825&lt;66,0,IF((E825+F825)/2&gt;=80,5,IF((E825+F825)/2&gt;=70,4,IF((E825+F825)/2&gt;=60,3.5,IF((E825+F825)/2&gt;=50,3,IF((E825+F825)/2&gt;=40,2,IF((E825+F825)/2&gt;=33,1,0)))))))</f>
        <v/>
      </c>
      <c r="AE825">
        <f>IF(G825&lt;33,0,IF(G825&gt;=80,5,IF(G825&gt;=70,4,IF(G825&gt;=60,3.5,IF(G825&gt;=50,3,IF(G825&gt;=40,2,IF(G825&gt;=33,1,0)))))))</f>
        <v/>
      </c>
      <c r="AF825">
        <f>IF(H825+I825&lt;66,0,IF((H825+I825)/2&gt;=80,5,IF((H825+I825)/2&gt;=70,4,IF((H825+I825)/2&gt;=60,3.5,IF((H825+I825)/2&gt;=50,3,IF((H825+I825)/2&gt;=40,2,IF((H825+I825)/2&gt;=33,1,0)))))))</f>
        <v/>
      </c>
      <c r="AG825">
        <f>IF(Y825,0,IF((J825+K825+L825+M825)/2&gt;=80,5,IF((J825+K825+L825+M825)/2&gt;=70,4,IF((J825+K825+L825+M825)/2&gt;=60,3.5,IF((J825+K825+L825+M825)/2&gt;=50,3,IF((J825+K825+L825+M825)/2&gt;=40,2,IF((J825+K825+L825+M825)/2&gt;=33,1,0)))))))</f>
        <v/>
      </c>
      <c r="AH825">
        <f>IF(Z825,0,IF(N825+O825&gt;=80,5,IF(N825+O825&gt;=70,4,IF(N825+O825&gt;=60,3.5,IF(N825+O825&gt;=50,3,IF(N825+O825&gt;=40,2,IF(N825+O825&gt;=33,1,0)))))))</f>
        <v/>
      </c>
      <c r="AI825">
        <f>IF(AA825,0,IF(P825+Q825&gt;=80,5,IF(P825+Q825&gt;=70,4,IF(P825+Q825&gt;=60,3.5,IF(P825+Q825&gt;=50,3,IF(P825+Q825&gt;=40,2,IF(P825+Q825&gt;=33,1,0)))))))</f>
        <v/>
      </c>
      <c r="AJ825">
        <f>IF(R825&lt;8.25,0,IF(R825*2&gt;=80,5,IF(R825*2&gt;=70,4,IF(R825*2&gt;=60,3.5,IF(R825*2&gt;=50,3,IF(R825*2&gt;=40,2,IF(R825*2&gt;=33,1,0)))))))</f>
        <v/>
      </c>
      <c r="AK825">
        <f>IF(S825&lt;33,0,IF(S825&gt;=80,5,IF(S825&gt;=70,4,IF(S825&gt;=60,3.5,IF(S825&gt;=50,3,IF(S825&gt;=40,2,IF(S825&gt;=33,1,0)))))))</f>
        <v/>
      </c>
      <c r="AL825">
        <f>(AC825+AD825+AE825+AF825+AG825+AH825+AI825+AJ825)/8</f>
        <v/>
      </c>
      <c r="AM825">
        <f>IF(AK825&gt;=2,(AK825-2)/8,0)</f>
        <v/>
      </c>
    </row>
    <row r="826">
      <c r="T826">
        <f>SUM(C826:R826)</f>
        <v/>
      </c>
      <c r="U826" s="6">
        <f>ROUND(T826/11.5,2)</f>
        <v/>
      </c>
      <c r="V826" s="7">
        <f>IF(B826="","",IF(AB826,0,ROUND(AL826,2)))</f>
        <v/>
      </c>
      <c r="W826" s="7">
        <f>IF(B826="","",IF(AB826,0,MIN(5,ROUND(AL826+AM826,2))))</f>
        <v/>
      </c>
      <c r="X826" s="8">
        <f>IF(B826="","",IF(W826&gt;=5,"A+",IF(W826&gt;=4,"A",IF(W826&gt;=3.5,"A-",IF(W826&gt;=3,"B",IF(W826&gt;=2,"C",IF(W826&gt;=1,"D","F")))))))</f>
        <v/>
      </c>
      <c r="Y826">
        <f>NOT(OR(AND(J826&gt;=10,K826&gt;=23,L826&gt;=10,M826&gt;=23),AND(J826+L826&gt;=20,K826+M826&gt;=46)))</f>
        <v/>
      </c>
      <c r="Z826">
        <f>OR(N826&lt;10,O826&lt;23)</f>
        <v/>
      </c>
      <c r="AA826">
        <f>OR(P826&lt;10,Q826&lt;23)</f>
        <v/>
      </c>
      <c r="AB826">
        <f>OR((C826+D826)&lt;66,(E826+F826)&lt;66,G826&lt;33,(H826+I826)&lt;66,Y826,Z826,AA826,R826&lt;8.25)</f>
        <v/>
      </c>
      <c r="AC826">
        <f>IF(C826+D826&lt;66,0,IF((C826+D826)/2&gt;=80,5,IF((C826+D826)/2&gt;=70,4,IF((C826+D826)/2&gt;=60,3.5,IF((C826+D826)/2&gt;=50,3,IF((C826+D826)/2&gt;=40,2,IF((C826+D826)/2&gt;=33,1,0)))))))</f>
        <v/>
      </c>
      <c r="AD826">
        <f>IF(E826+F826&lt;66,0,IF((E826+F826)/2&gt;=80,5,IF((E826+F826)/2&gt;=70,4,IF((E826+F826)/2&gt;=60,3.5,IF((E826+F826)/2&gt;=50,3,IF((E826+F826)/2&gt;=40,2,IF((E826+F826)/2&gt;=33,1,0)))))))</f>
        <v/>
      </c>
      <c r="AE826">
        <f>IF(G826&lt;33,0,IF(G826&gt;=80,5,IF(G826&gt;=70,4,IF(G826&gt;=60,3.5,IF(G826&gt;=50,3,IF(G826&gt;=40,2,IF(G826&gt;=33,1,0)))))))</f>
        <v/>
      </c>
      <c r="AF826">
        <f>IF(H826+I826&lt;66,0,IF((H826+I826)/2&gt;=80,5,IF((H826+I826)/2&gt;=70,4,IF((H826+I826)/2&gt;=60,3.5,IF((H826+I826)/2&gt;=50,3,IF((H826+I826)/2&gt;=40,2,IF((H826+I826)/2&gt;=33,1,0)))))))</f>
        <v/>
      </c>
      <c r="AG826">
        <f>IF(Y826,0,IF((J826+K826+L826+M826)/2&gt;=80,5,IF((J826+K826+L826+M826)/2&gt;=70,4,IF((J826+K826+L826+M826)/2&gt;=60,3.5,IF((J826+K826+L826+M826)/2&gt;=50,3,IF((J826+K826+L826+M826)/2&gt;=40,2,IF((J826+K826+L826+M826)/2&gt;=33,1,0)))))))</f>
        <v/>
      </c>
      <c r="AH826">
        <f>IF(Z826,0,IF(N826+O826&gt;=80,5,IF(N826+O826&gt;=70,4,IF(N826+O826&gt;=60,3.5,IF(N826+O826&gt;=50,3,IF(N826+O826&gt;=40,2,IF(N826+O826&gt;=33,1,0)))))))</f>
        <v/>
      </c>
      <c r="AI826">
        <f>IF(AA826,0,IF(P826+Q826&gt;=80,5,IF(P826+Q826&gt;=70,4,IF(P826+Q826&gt;=60,3.5,IF(P826+Q826&gt;=50,3,IF(P826+Q826&gt;=40,2,IF(P826+Q826&gt;=33,1,0)))))))</f>
        <v/>
      </c>
      <c r="AJ826">
        <f>IF(R826&lt;8.25,0,IF(R826*2&gt;=80,5,IF(R826*2&gt;=70,4,IF(R826*2&gt;=60,3.5,IF(R826*2&gt;=50,3,IF(R826*2&gt;=40,2,IF(R826*2&gt;=33,1,0)))))))</f>
        <v/>
      </c>
      <c r="AK826">
        <f>IF(S826&lt;33,0,IF(S826&gt;=80,5,IF(S826&gt;=70,4,IF(S826&gt;=60,3.5,IF(S826&gt;=50,3,IF(S826&gt;=40,2,IF(S826&gt;=33,1,0)))))))</f>
        <v/>
      </c>
      <c r="AL826">
        <f>(AC826+AD826+AE826+AF826+AG826+AH826+AI826+AJ826)/8</f>
        <v/>
      </c>
      <c r="AM826">
        <f>IF(AK826&gt;=2,(AK826-2)/8,0)</f>
        <v/>
      </c>
    </row>
    <row r="827">
      <c r="T827">
        <f>SUM(C827:R827)</f>
        <v/>
      </c>
      <c r="U827" s="6">
        <f>ROUND(T827/11.5,2)</f>
        <v/>
      </c>
      <c r="V827" s="7">
        <f>IF(B827="","",IF(AB827,0,ROUND(AL827,2)))</f>
        <v/>
      </c>
      <c r="W827" s="7">
        <f>IF(B827="","",IF(AB827,0,MIN(5,ROUND(AL827+AM827,2))))</f>
        <v/>
      </c>
      <c r="X827" s="8">
        <f>IF(B827="","",IF(W827&gt;=5,"A+",IF(W827&gt;=4,"A",IF(W827&gt;=3.5,"A-",IF(W827&gt;=3,"B",IF(W827&gt;=2,"C",IF(W827&gt;=1,"D","F")))))))</f>
        <v/>
      </c>
      <c r="Y827">
        <f>NOT(OR(AND(J827&gt;=10,K827&gt;=23,L827&gt;=10,M827&gt;=23),AND(J827+L827&gt;=20,K827+M827&gt;=46)))</f>
        <v/>
      </c>
      <c r="Z827">
        <f>OR(N827&lt;10,O827&lt;23)</f>
        <v/>
      </c>
      <c r="AA827">
        <f>OR(P827&lt;10,Q827&lt;23)</f>
        <v/>
      </c>
      <c r="AB827">
        <f>OR((C827+D827)&lt;66,(E827+F827)&lt;66,G827&lt;33,(H827+I827)&lt;66,Y827,Z827,AA827,R827&lt;8.25)</f>
        <v/>
      </c>
      <c r="AC827">
        <f>IF(C827+D827&lt;66,0,IF((C827+D827)/2&gt;=80,5,IF((C827+D827)/2&gt;=70,4,IF((C827+D827)/2&gt;=60,3.5,IF((C827+D827)/2&gt;=50,3,IF((C827+D827)/2&gt;=40,2,IF((C827+D827)/2&gt;=33,1,0)))))))</f>
        <v/>
      </c>
      <c r="AD827">
        <f>IF(E827+F827&lt;66,0,IF((E827+F827)/2&gt;=80,5,IF((E827+F827)/2&gt;=70,4,IF((E827+F827)/2&gt;=60,3.5,IF((E827+F827)/2&gt;=50,3,IF((E827+F827)/2&gt;=40,2,IF((E827+F827)/2&gt;=33,1,0)))))))</f>
        <v/>
      </c>
      <c r="AE827">
        <f>IF(G827&lt;33,0,IF(G827&gt;=80,5,IF(G827&gt;=70,4,IF(G827&gt;=60,3.5,IF(G827&gt;=50,3,IF(G827&gt;=40,2,IF(G827&gt;=33,1,0)))))))</f>
        <v/>
      </c>
      <c r="AF827">
        <f>IF(H827+I827&lt;66,0,IF((H827+I827)/2&gt;=80,5,IF((H827+I827)/2&gt;=70,4,IF((H827+I827)/2&gt;=60,3.5,IF((H827+I827)/2&gt;=50,3,IF((H827+I827)/2&gt;=40,2,IF((H827+I827)/2&gt;=33,1,0)))))))</f>
        <v/>
      </c>
      <c r="AG827">
        <f>IF(Y827,0,IF((J827+K827+L827+M827)/2&gt;=80,5,IF((J827+K827+L827+M827)/2&gt;=70,4,IF((J827+K827+L827+M827)/2&gt;=60,3.5,IF((J827+K827+L827+M827)/2&gt;=50,3,IF((J827+K827+L827+M827)/2&gt;=40,2,IF((J827+K827+L827+M827)/2&gt;=33,1,0)))))))</f>
        <v/>
      </c>
      <c r="AH827">
        <f>IF(Z827,0,IF(N827+O827&gt;=80,5,IF(N827+O827&gt;=70,4,IF(N827+O827&gt;=60,3.5,IF(N827+O827&gt;=50,3,IF(N827+O827&gt;=40,2,IF(N827+O827&gt;=33,1,0)))))))</f>
        <v/>
      </c>
      <c r="AI827">
        <f>IF(AA827,0,IF(P827+Q827&gt;=80,5,IF(P827+Q827&gt;=70,4,IF(P827+Q827&gt;=60,3.5,IF(P827+Q827&gt;=50,3,IF(P827+Q827&gt;=40,2,IF(P827+Q827&gt;=33,1,0)))))))</f>
        <v/>
      </c>
      <c r="AJ827">
        <f>IF(R827&lt;8.25,0,IF(R827*2&gt;=80,5,IF(R827*2&gt;=70,4,IF(R827*2&gt;=60,3.5,IF(R827*2&gt;=50,3,IF(R827*2&gt;=40,2,IF(R827*2&gt;=33,1,0)))))))</f>
        <v/>
      </c>
      <c r="AK827">
        <f>IF(S827&lt;33,0,IF(S827&gt;=80,5,IF(S827&gt;=70,4,IF(S827&gt;=60,3.5,IF(S827&gt;=50,3,IF(S827&gt;=40,2,IF(S827&gt;=33,1,0)))))))</f>
        <v/>
      </c>
      <c r="AL827">
        <f>(AC827+AD827+AE827+AF827+AG827+AH827+AI827+AJ827)/8</f>
        <v/>
      </c>
      <c r="AM827">
        <f>IF(AK827&gt;=2,(AK827-2)/8,0)</f>
        <v/>
      </c>
    </row>
    <row r="828">
      <c r="T828">
        <f>SUM(C828:R828)</f>
        <v/>
      </c>
      <c r="U828" s="6">
        <f>ROUND(T828/11.5,2)</f>
        <v/>
      </c>
      <c r="V828" s="7">
        <f>IF(B828="","",IF(AB828,0,ROUND(AL828,2)))</f>
        <v/>
      </c>
      <c r="W828" s="7">
        <f>IF(B828="","",IF(AB828,0,MIN(5,ROUND(AL828+AM828,2))))</f>
        <v/>
      </c>
      <c r="X828" s="8">
        <f>IF(B828="","",IF(W828&gt;=5,"A+",IF(W828&gt;=4,"A",IF(W828&gt;=3.5,"A-",IF(W828&gt;=3,"B",IF(W828&gt;=2,"C",IF(W828&gt;=1,"D","F")))))))</f>
        <v/>
      </c>
      <c r="Y828">
        <f>NOT(OR(AND(J828&gt;=10,K828&gt;=23,L828&gt;=10,M828&gt;=23),AND(J828+L828&gt;=20,K828+M828&gt;=46)))</f>
        <v/>
      </c>
      <c r="Z828">
        <f>OR(N828&lt;10,O828&lt;23)</f>
        <v/>
      </c>
      <c r="AA828">
        <f>OR(P828&lt;10,Q828&lt;23)</f>
        <v/>
      </c>
      <c r="AB828">
        <f>OR((C828+D828)&lt;66,(E828+F828)&lt;66,G828&lt;33,(H828+I828)&lt;66,Y828,Z828,AA828,R828&lt;8.25)</f>
        <v/>
      </c>
      <c r="AC828">
        <f>IF(C828+D828&lt;66,0,IF((C828+D828)/2&gt;=80,5,IF((C828+D828)/2&gt;=70,4,IF((C828+D828)/2&gt;=60,3.5,IF((C828+D828)/2&gt;=50,3,IF((C828+D828)/2&gt;=40,2,IF((C828+D828)/2&gt;=33,1,0)))))))</f>
        <v/>
      </c>
      <c r="AD828">
        <f>IF(E828+F828&lt;66,0,IF((E828+F828)/2&gt;=80,5,IF((E828+F828)/2&gt;=70,4,IF((E828+F828)/2&gt;=60,3.5,IF((E828+F828)/2&gt;=50,3,IF((E828+F828)/2&gt;=40,2,IF((E828+F828)/2&gt;=33,1,0)))))))</f>
        <v/>
      </c>
      <c r="AE828">
        <f>IF(G828&lt;33,0,IF(G828&gt;=80,5,IF(G828&gt;=70,4,IF(G828&gt;=60,3.5,IF(G828&gt;=50,3,IF(G828&gt;=40,2,IF(G828&gt;=33,1,0)))))))</f>
        <v/>
      </c>
      <c r="AF828">
        <f>IF(H828+I828&lt;66,0,IF((H828+I828)/2&gt;=80,5,IF((H828+I828)/2&gt;=70,4,IF((H828+I828)/2&gt;=60,3.5,IF((H828+I828)/2&gt;=50,3,IF((H828+I828)/2&gt;=40,2,IF((H828+I828)/2&gt;=33,1,0)))))))</f>
        <v/>
      </c>
      <c r="AG828">
        <f>IF(Y828,0,IF((J828+K828+L828+M828)/2&gt;=80,5,IF((J828+K828+L828+M828)/2&gt;=70,4,IF((J828+K828+L828+M828)/2&gt;=60,3.5,IF((J828+K828+L828+M828)/2&gt;=50,3,IF((J828+K828+L828+M828)/2&gt;=40,2,IF((J828+K828+L828+M828)/2&gt;=33,1,0)))))))</f>
        <v/>
      </c>
      <c r="AH828">
        <f>IF(Z828,0,IF(N828+O828&gt;=80,5,IF(N828+O828&gt;=70,4,IF(N828+O828&gt;=60,3.5,IF(N828+O828&gt;=50,3,IF(N828+O828&gt;=40,2,IF(N828+O828&gt;=33,1,0)))))))</f>
        <v/>
      </c>
      <c r="AI828">
        <f>IF(AA828,0,IF(P828+Q828&gt;=80,5,IF(P828+Q828&gt;=70,4,IF(P828+Q828&gt;=60,3.5,IF(P828+Q828&gt;=50,3,IF(P828+Q828&gt;=40,2,IF(P828+Q828&gt;=33,1,0)))))))</f>
        <v/>
      </c>
      <c r="AJ828">
        <f>IF(R828&lt;8.25,0,IF(R828*2&gt;=80,5,IF(R828*2&gt;=70,4,IF(R828*2&gt;=60,3.5,IF(R828*2&gt;=50,3,IF(R828*2&gt;=40,2,IF(R828*2&gt;=33,1,0)))))))</f>
        <v/>
      </c>
      <c r="AK828">
        <f>IF(S828&lt;33,0,IF(S828&gt;=80,5,IF(S828&gt;=70,4,IF(S828&gt;=60,3.5,IF(S828&gt;=50,3,IF(S828&gt;=40,2,IF(S828&gt;=33,1,0)))))))</f>
        <v/>
      </c>
      <c r="AL828">
        <f>(AC828+AD828+AE828+AF828+AG828+AH828+AI828+AJ828)/8</f>
        <v/>
      </c>
      <c r="AM828">
        <f>IF(AK828&gt;=2,(AK828-2)/8,0)</f>
        <v/>
      </c>
    </row>
    <row r="829">
      <c r="T829">
        <f>SUM(C829:R829)</f>
        <v/>
      </c>
      <c r="U829" s="6">
        <f>ROUND(T829/11.5,2)</f>
        <v/>
      </c>
      <c r="V829" s="7">
        <f>IF(B829="","",IF(AB829,0,ROUND(AL829,2)))</f>
        <v/>
      </c>
      <c r="W829" s="7">
        <f>IF(B829="","",IF(AB829,0,MIN(5,ROUND(AL829+AM829,2))))</f>
        <v/>
      </c>
      <c r="X829" s="8">
        <f>IF(B829="","",IF(W829&gt;=5,"A+",IF(W829&gt;=4,"A",IF(W829&gt;=3.5,"A-",IF(W829&gt;=3,"B",IF(W829&gt;=2,"C",IF(W829&gt;=1,"D","F")))))))</f>
        <v/>
      </c>
      <c r="Y829">
        <f>NOT(OR(AND(J829&gt;=10,K829&gt;=23,L829&gt;=10,M829&gt;=23),AND(J829+L829&gt;=20,K829+M829&gt;=46)))</f>
        <v/>
      </c>
      <c r="Z829">
        <f>OR(N829&lt;10,O829&lt;23)</f>
        <v/>
      </c>
      <c r="AA829">
        <f>OR(P829&lt;10,Q829&lt;23)</f>
        <v/>
      </c>
      <c r="AB829">
        <f>OR((C829+D829)&lt;66,(E829+F829)&lt;66,G829&lt;33,(H829+I829)&lt;66,Y829,Z829,AA829,R829&lt;8.25)</f>
        <v/>
      </c>
      <c r="AC829">
        <f>IF(C829+D829&lt;66,0,IF((C829+D829)/2&gt;=80,5,IF((C829+D829)/2&gt;=70,4,IF((C829+D829)/2&gt;=60,3.5,IF((C829+D829)/2&gt;=50,3,IF((C829+D829)/2&gt;=40,2,IF((C829+D829)/2&gt;=33,1,0)))))))</f>
        <v/>
      </c>
      <c r="AD829">
        <f>IF(E829+F829&lt;66,0,IF((E829+F829)/2&gt;=80,5,IF((E829+F829)/2&gt;=70,4,IF((E829+F829)/2&gt;=60,3.5,IF((E829+F829)/2&gt;=50,3,IF((E829+F829)/2&gt;=40,2,IF((E829+F829)/2&gt;=33,1,0)))))))</f>
        <v/>
      </c>
      <c r="AE829">
        <f>IF(G829&lt;33,0,IF(G829&gt;=80,5,IF(G829&gt;=70,4,IF(G829&gt;=60,3.5,IF(G829&gt;=50,3,IF(G829&gt;=40,2,IF(G829&gt;=33,1,0)))))))</f>
        <v/>
      </c>
      <c r="AF829">
        <f>IF(H829+I829&lt;66,0,IF((H829+I829)/2&gt;=80,5,IF((H829+I829)/2&gt;=70,4,IF((H829+I829)/2&gt;=60,3.5,IF((H829+I829)/2&gt;=50,3,IF((H829+I829)/2&gt;=40,2,IF((H829+I829)/2&gt;=33,1,0)))))))</f>
        <v/>
      </c>
      <c r="AG829">
        <f>IF(Y829,0,IF((J829+K829+L829+M829)/2&gt;=80,5,IF((J829+K829+L829+M829)/2&gt;=70,4,IF((J829+K829+L829+M829)/2&gt;=60,3.5,IF((J829+K829+L829+M829)/2&gt;=50,3,IF((J829+K829+L829+M829)/2&gt;=40,2,IF((J829+K829+L829+M829)/2&gt;=33,1,0)))))))</f>
        <v/>
      </c>
      <c r="AH829">
        <f>IF(Z829,0,IF(N829+O829&gt;=80,5,IF(N829+O829&gt;=70,4,IF(N829+O829&gt;=60,3.5,IF(N829+O829&gt;=50,3,IF(N829+O829&gt;=40,2,IF(N829+O829&gt;=33,1,0)))))))</f>
        <v/>
      </c>
      <c r="AI829">
        <f>IF(AA829,0,IF(P829+Q829&gt;=80,5,IF(P829+Q829&gt;=70,4,IF(P829+Q829&gt;=60,3.5,IF(P829+Q829&gt;=50,3,IF(P829+Q829&gt;=40,2,IF(P829+Q829&gt;=33,1,0)))))))</f>
        <v/>
      </c>
      <c r="AJ829">
        <f>IF(R829&lt;8.25,0,IF(R829*2&gt;=80,5,IF(R829*2&gt;=70,4,IF(R829*2&gt;=60,3.5,IF(R829*2&gt;=50,3,IF(R829*2&gt;=40,2,IF(R829*2&gt;=33,1,0)))))))</f>
        <v/>
      </c>
      <c r="AK829">
        <f>IF(S829&lt;33,0,IF(S829&gt;=80,5,IF(S829&gt;=70,4,IF(S829&gt;=60,3.5,IF(S829&gt;=50,3,IF(S829&gt;=40,2,IF(S829&gt;=33,1,0)))))))</f>
        <v/>
      </c>
      <c r="AL829">
        <f>(AC829+AD829+AE829+AF829+AG829+AH829+AI829+AJ829)/8</f>
        <v/>
      </c>
      <c r="AM829">
        <f>IF(AK829&gt;=2,(AK829-2)/8,0)</f>
        <v/>
      </c>
    </row>
    <row r="830">
      <c r="T830">
        <f>SUM(C830:R830)</f>
        <v/>
      </c>
      <c r="U830" s="6">
        <f>ROUND(T830/11.5,2)</f>
        <v/>
      </c>
      <c r="V830" s="7">
        <f>IF(B830="","",IF(AB830,0,ROUND(AL830,2)))</f>
        <v/>
      </c>
      <c r="W830" s="7">
        <f>IF(B830="","",IF(AB830,0,MIN(5,ROUND(AL830+AM830,2))))</f>
        <v/>
      </c>
      <c r="X830" s="8">
        <f>IF(B830="","",IF(W830&gt;=5,"A+",IF(W830&gt;=4,"A",IF(W830&gt;=3.5,"A-",IF(W830&gt;=3,"B",IF(W830&gt;=2,"C",IF(W830&gt;=1,"D","F")))))))</f>
        <v/>
      </c>
      <c r="Y830">
        <f>NOT(OR(AND(J830&gt;=10,K830&gt;=23,L830&gt;=10,M830&gt;=23),AND(J830+L830&gt;=20,K830+M830&gt;=46)))</f>
        <v/>
      </c>
      <c r="Z830">
        <f>OR(N830&lt;10,O830&lt;23)</f>
        <v/>
      </c>
      <c r="AA830">
        <f>OR(P830&lt;10,Q830&lt;23)</f>
        <v/>
      </c>
      <c r="AB830">
        <f>OR((C830+D830)&lt;66,(E830+F830)&lt;66,G830&lt;33,(H830+I830)&lt;66,Y830,Z830,AA830,R830&lt;8.25)</f>
        <v/>
      </c>
      <c r="AC830">
        <f>IF(C830+D830&lt;66,0,IF((C830+D830)/2&gt;=80,5,IF((C830+D830)/2&gt;=70,4,IF((C830+D830)/2&gt;=60,3.5,IF((C830+D830)/2&gt;=50,3,IF((C830+D830)/2&gt;=40,2,IF((C830+D830)/2&gt;=33,1,0)))))))</f>
        <v/>
      </c>
      <c r="AD830">
        <f>IF(E830+F830&lt;66,0,IF((E830+F830)/2&gt;=80,5,IF((E830+F830)/2&gt;=70,4,IF((E830+F830)/2&gt;=60,3.5,IF((E830+F830)/2&gt;=50,3,IF((E830+F830)/2&gt;=40,2,IF((E830+F830)/2&gt;=33,1,0)))))))</f>
        <v/>
      </c>
      <c r="AE830">
        <f>IF(G830&lt;33,0,IF(G830&gt;=80,5,IF(G830&gt;=70,4,IF(G830&gt;=60,3.5,IF(G830&gt;=50,3,IF(G830&gt;=40,2,IF(G830&gt;=33,1,0)))))))</f>
        <v/>
      </c>
      <c r="AF830">
        <f>IF(H830+I830&lt;66,0,IF((H830+I830)/2&gt;=80,5,IF((H830+I830)/2&gt;=70,4,IF((H830+I830)/2&gt;=60,3.5,IF((H830+I830)/2&gt;=50,3,IF((H830+I830)/2&gt;=40,2,IF((H830+I830)/2&gt;=33,1,0)))))))</f>
        <v/>
      </c>
      <c r="AG830">
        <f>IF(Y830,0,IF((J830+K830+L830+M830)/2&gt;=80,5,IF((J830+K830+L830+M830)/2&gt;=70,4,IF((J830+K830+L830+M830)/2&gt;=60,3.5,IF((J830+K830+L830+M830)/2&gt;=50,3,IF((J830+K830+L830+M830)/2&gt;=40,2,IF((J830+K830+L830+M830)/2&gt;=33,1,0)))))))</f>
        <v/>
      </c>
      <c r="AH830">
        <f>IF(Z830,0,IF(N830+O830&gt;=80,5,IF(N830+O830&gt;=70,4,IF(N830+O830&gt;=60,3.5,IF(N830+O830&gt;=50,3,IF(N830+O830&gt;=40,2,IF(N830+O830&gt;=33,1,0)))))))</f>
        <v/>
      </c>
      <c r="AI830">
        <f>IF(AA830,0,IF(P830+Q830&gt;=80,5,IF(P830+Q830&gt;=70,4,IF(P830+Q830&gt;=60,3.5,IF(P830+Q830&gt;=50,3,IF(P830+Q830&gt;=40,2,IF(P830+Q830&gt;=33,1,0)))))))</f>
        <v/>
      </c>
      <c r="AJ830">
        <f>IF(R830&lt;8.25,0,IF(R830*2&gt;=80,5,IF(R830*2&gt;=70,4,IF(R830*2&gt;=60,3.5,IF(R830*2&gt;=50,3,IF(R830*2&gt;=40,2,IF(R830*2&gt;=33,1,0)))))))</f>
        <v/>
      </c>
      <c r="AK830">
        <f>IF(S830&lt;33,0,IF(S830&gt;=80,5,IF(S830&gt;=70,4,IF(S830&gt;=60,3.5,IF(S830&gt;=50,3,IF(S830&gt;=40,2,IF(S830&gt;=33,1,0)))))))</f>
        <v/>
      </c>
      <c r="AL830">
        <f>(AC830+AD830+AE830+AF830+AG830+AH830+AI830+AJ830)/8</f>
        <v/>
      </c>
      <c r="AM830">
        <f>IF(AK830&gt;=2,(AK830-2)/8,0)</f>
        <v/>
      </c>
    </row>
    <row r="831">
      <c r="T831">
        <f>SUM(C831:R831)</f>
        <v/>
      </c>
      <c r="U831" s="6">
        <f>ROUND(T831/11.5,2)</f>
        <v/>
      </c>
      <c r="V831" s="7">
        <f>IF(B831="","",IF(AB831,0,ROUND(AL831,2)))</f>
        <v/>
      </c>
      <c r="W831" s="7">
        <f>IF(B831="","",IF(AB831,0,MIN(5,ROUND(AL831+AM831,2))))</f>
        <v/>
      </c>
      <c r="X831" s="8">
        <f>IF(B831="","",IF(W831&gt;=5,"A+",IF(W831&gt;=4,"A",IF(W831&gt;=3.5,"A-",IF(W831&gt;=3,"B",IF(W831&gt;=2,"C",IF(W831&gt;=1,"D","F")))))))</f>
        <v/>
      </c>
      <c r="Y831">
        <f>NOT(OR(AND(J831&gt;=10,K831&gt;=23,L831&gt;=10,M831&gt;=23),AND(J831+L831&gt;=20,K831+M831&gt;=46)))</f>
        <v/>
      </c>
      <c r="Z831">
        <f>OR(N831&lt;10,O831&lt;23)</f>
        <v/>
      </c>
      <c r="AA831">
        <f>OR(P831&lt;10,Q831&lt;23)</f>
        <v/>
      </c>
      <c r="AB831">
        <f>OR((C831+D831)&lt;66,(E831+F831)&lt;66,G831&lt;33,(H831+I831)&lt;66,Y831,Z831,AA831,R831&lt;8.25)</f>
        <v/>
      </c>
      <c r="AC831">
        <f>IF(C831+D831&lt;66,0,IF((C831+D831)/2&gt;=80,5,IF((C831+D831)/2&gt;=70,4,IF((C831+D831)/2&gt;=60,3.5,IF((C831+D831)/2&gt;=50,3,IF((C831+D831)/2&gt;=40,2,IF((C831+D831)/2&gt;=33,1,0)))))))</f>
        <v/>
      </c>
      <c r="AD831">
        <f>IF(E831+F831&lt;66,0,IF((E831+F831)/2&gt;=80,5,IF((E831+F831)/2&gt;=70,4,IF((E831+F831)/2&gt;=60,3.5,IF((E831+F831)/2&gt;=50,3,IF((E831+F831)/2&gt;=40,2,IF((E831+F831)/2&gt;=33,1,0)))))))</f>
        <v/>
      </c>
      <c r="AE831">
        <f>IF(G831&lt;33,0,IF(G831&gt;=80,5,IF(G831&gt;=70,4,IF(G831&gt;=60,3.5,IF(G831&gt;=50,3,IF(G831&gt;=40,2,IF(G831&gt;=33,1,0)))))))</f>
        <v/>
      </c>
      <c r="AF831">
        <f>IF(H831+I831&lt;66,0,IF((H831+I831)/2&gt;=80,5,IF((H831+I831)/2&gt;=70,4,IF((H831+I831)/2&gt;=60,3.5,IF((H831+I831)/2&gt;=50,3,IF((H831+I831)/2&gt;=40,2,IF((H831+I831)/2&gt;=33,1,0)))))))</f>
        <v/>
      </c>
      <c r="AG831">
        <f>IF(Y831,0,IF((J831+K831+L831+M831)/2&gt;=80,5,IF((J831+K831+L831+M831)/2&gt;=70,4,IF((J831+K831+L831+M831)/2&gt;=60,3.5,IF((J831+K831+L831+M831)/2&gt;=50,3,IF((J831+K831+L831+M831)/2&gt;=40,2,IF((J831+K831+L831+M831)/2&gt;=33,1,0)))))))</f>
        <v/>
      </c>
      <c r="AH831">
        <f>IF(Z831,0,IF(N831+O831&gt;=80,5,IF(N831+O831&gt;=70,4,IF(N831+O831&gt;=60,3.5,IF(N831+O831&gt;=50,3,IF(N831+O831&gt;=40,2,IF(N831+O831&gt;=33,1,0)))))))</f>
        <v/>
      </c>
      <c r="AI831">
        <f>IF(AA831,0,IF(P831+Q831&gt;=80,5,IF(P831+Q831&gt;=70,4,IF(P831+Q831&gt;=60,3.5,IF(P831+Q831&gt;=50,3,IF(P831+Q831&gt;=40,2,IF(P831+Q831&gt;=33,1,0)))))))</f>
        <v/>
      </c>
      <c r="AJ831">
        <f>IF(R831&lt;8.25,0,IF(R831*2&gt;=80,5,IF(R831*2&gt;=70,4,IF(R831*2&gt;=60,3.5,IF(R831*2&gt;=50,3,IF(R831*2&gt;=40,2,IF(R831*2&gt;=33,1,0)))))))</f>
        <v/>
      </c>
      <c r="AK831">
        <f>IF(S831&lt;33,0,IF(S831&gt;=80,5,IF(S831&gt;=70,4,IF(S831&gt;=60,3.5,IF(S831&gt;=50,3,IF(S831&gt;=40,2,IF(S831&gt;=33,1,0)))))))</f>
        <v/>
      </c>
      <c r="AL831">
        <f>(AC831+AD831+AE831+AF831+AG831+AH831+AI831+AJ831)/8</f>
        <v/>
      </c>
      <c r="AM831">
        <f>IF(AK831&gt;=2,(AK831-2)/8,0)</f>
        <v/>
      </c>
    </row>
    <row r="832">
      <c r="T832">
        <f>SUM(C832:R832)</f>
        <v/>
      </c>
      <c r="U832" s="6">
        <f>ROUND(T832/11.5,2)</f>
        <v/>
      </c>
      <c r="V832" s="7">
        <f>IF(B832="","",IF(AB832,0,ROUND(AL832,2)))</f>
        <v/>
      </c>
      <c r="W832" s="7">
        <f>IF(B832="","",IF(AB832,0,MIN(5,ROUND(AL832+AM832,2))))</f>
        <v/>
      </c>
      <c r="X832" s="8">
        <f>IF(B832="","",IF(W832&gt;=5,"A+",IF(W832&gt;=4,"A",IF(W832&gt;=3.5,"A-",IF(W832&gt;=3,"B",IF(W832&gt;=2,"C",IF(W832&gt;=1,"D","F")))))))</f>
        <v/>
      </c>
      <c r="Y832">
        <f>NOT(OR(AND(J832&gt;=10,K832&gt;=23,L832&gt;=10,M832&gt;=23),AND(J832+L832&gt;=20,K832+M832&gt;=46)))</f>
        <v/>
      </c>
      <c r="Z832">
        <f>OR(N832&lt;10,O832&lt;23)</f>
        <v/>
      </c>
      <c r="AA832">
        <f>OR(P832&lt;10,Q832&lt;23)</f>
        <v/>
      </c>
      <c r="AB832">
        <f>OR((C832+D832)&lt;66,(E832+F832)&lt;66,G832&lt;33,(H832+I832)&lt;66,Y832,Z832,AA832,R832&lt;8.25)</f>
        <v/>
      </c>
      <c r="AC832">
        <f>IF(C832+D832&lt;66,0,IF((C832+D832)/2&gt;=80,5,IF((C832+D832)/2&gt;=70,4,IF((C832+D832)/2&gt;=60,3.5,IF((C832+D832)/2&gt;=50,3,IF((C832+D832)/2&gt;=40,2,IF((C832+D832)/2&gt;=33,1,0)))))))</f>
        <v/>
      </c>
      <c r="AD832">
        <f>IF(E832+F832&lt;66,0,IF((E832+F832)/2&gt;=80,5,IF((E832+F832)/2&gt;=70,4,IF((E832+F832)/2&gt;=60,3.5,IF((E832+F832)/2&gt;=50,3,IF((E832+F832)/2&gt;=40,2,IF((E832+F832)/2&gt;=33,1,0)))))))</f>
        <v/>
      </c>
      <c r="AE832">
        <f>IF(G832&lt;33,0,IF(G832&gt;=80,5,IF(G832&gt;=70,4,IF(G832&gt;=60,3.5,IF(G832&gt;=50,3,IF(G832&gt;=40,2,IF(G832&gt;=33,1,0)))))))</f>
        <v/>
      </c>
      <c r="AF832">
        <f>IF(H832+I832&lt;66,0,IF((H832+I832)/2&gt;=80,5,IF((H832+I832)/2&gt;=70,4,IF((H832+I832)/2&gt;=60,3.5,IF((H832+I832)/2&gt;=50,3,IF((H832+I832)/2&gt;=40,2,IF((H832+I832)/2&gt;=33,1,0)))))))</f>
        <v/>
      </c>
      <c r="AG832">
        <f>IF(Y832,0,IF((J832+K832+L832+M832)/2&gt;=80,5,IF((J832+K832+L832+M832)/2&gt;=70,4,IF((J832+K832+L832+M832)/2&gt;=60,3.5,IF((J832+K832+L832+M832)/2&gt;=50,3,IF((J832+K832+L832+M832)/2&gt;=40,2,IF((J832+K832+L832+M832)/2&gt;=33,1,0)))))))</f>
        <v/>
      </c>
      <c r="AH832">
        <f>IF(Z832,0,IF(N832+O832&gt;=80,5,IF(N832+O832&gt;=70,4,IF(N832+O832&gt;=60,3.5,IF(N832+O832&gt;=50,3,IF(N832+O832&gt;=40,2,IF(N832+O832&gt;=33,1,0)))))))</f>
        <v/>
      </c>
      <c r="AI832">
        <f>IF(AA832,0,IF(P832+Q832&gt;=80,5,IF(P832+Q832&gt;=70,4,IF(P832+Q832&gt;=60,3.5,IF(P832+Q832&gt;=50,3,IF(P832+Q832&gt;=40,2,IF(P832+Q832&gt;=33,1,0)))))))</f>
        <v/>
      </c>
      <c r="AJ832">
        <f>IF(R832&lt;8.25,0,IF(R832*2&gt;=80,5,IF(R832*2&gt;=70,4,IF(R832*2&gt;=60,3.5,IF(R832*2&gt;=50,3,IF(R832*2&gt;=40,2,IF(R832*2&gt;=33,1,0)))))))</f>
        <v/>
      </c>
      <c r="AK832">
        <f>IF(S832&lt;33,0,IF(S832&gt;=80,5,IF(S832&gt;=70,4,IF(S832&gt;=60,3.5,IF(S832&gt;=50,3,IF(S832&gt;=40,2,IF(S832&gt;=33,1,0)))))))</f>
        <v/>
      </c>
      <c r="AL832">
        <f>(AC832+AD832+AE832+AF832+AG832+AH832+AI832+AJ832)/8</f>
        <v/>
      </c>
      <c r="AM832">
        <f>IF(AK832&gt;=2,(AK832-2)/8,0)</f>
        <v/>
      </c>
    </row>
    <row r="833">
      <c r="T833">
        <f>SUM(C833:R833)</f>
        <v/>
      </c>
      <c r="U833" s="6">
        <f>ROUND(T833/11.5,2)</f>
        <v/>
      </c>
      <c r="V833" s="7">
        <f>IF(B833="","",IF(AB833,0,ROUND(AL833,2)))</f>
        <v/>
      </c>
      <c r="W833" s="7">
        <f>IF(B833="","",IF(AB833,0,MIN(5,ROUND(AL833+AM833,2))))</f>
        <v/>
      </c>
      <c r="X833" s="8">
        <f>IF(B833="","",IF(W833&gt;=5,"A+",IF(W833&gt;=4,"A",IF(W833&gt;=3.5,"A-",IF(W833&gt;=3,"B",IF(W833&gt;=2,"C",IF(W833&gt;=1,"D","F")))))))</f>
        <v/>
      </c>
      <c r="Y833">
        <f>NOT(OR(AND(J833&gt;=10,K833&gt;=23,L833&gt;=10,M833&gt;=23),AND(J833+L833&gt;=20,K833+M833&gt;=46)))</f>
        <v/>
      </c>
      <c r="Z833">
        <f>OR(N833&lt;10,O833&lt;23)</f>
        <v/>
      </c>
      <c r="AA833">
        <f>OR(P833&lt;10,Q833&lt;23)</f>
        <v/>
      </c>
      <c r="AB833">
        <f>OR((C833+D833)&lt;66,(E833+F833)&lt;66,G833&lt;33,(H833+I833)&lt;66,Y833,Z833,AA833,R833&lt;8.25)</f>
        <v/>
      </c>
      <c r="AC833">
        <f>IF(C833+D833&lt;66,0,IF((C833+D833)/2&gt;=80,5,IF((C833+D833)/2&gt;=70,4,IF((C833+D833)/2&gt;=60,3.5,IF((C833+D833)/2&gt;=50,3,IF((C833+D833)/2&gt;=40,2,IF((C833+D833)/2&gt;=33,1,0)))))))</f>
        <v/>
      </c>
      <c r="AD833">
        <f>IF(E833+F833&lt;66,0,IF((E833+F833)/2&gt;=80,5,IF((E833+F833)/2&gt;=70,4,IF((E833+F833)/2&gt;=60,3.5,IF((E833+F833)/2&gt;=50,3,IF((E833+F833)/2&gt;=40,2,IF((E833+F833)/2&gt;=33,1,0)))))))</f>
        <v/>
      </c>
      <c r="AE833">
        <f>IF(G833&lt;33,0,IF(G833&gt;=80,5,IF(G833&gt;=70,4,IF(G833&gt;=60,3.5,IF(G833&gt;=50,3,IF(G833&gt;=40,2,IF(G833&gt;=33,1,0)))))))</f>
        <v/>
      </c>
      <c r="AF833">
        <f>IF(H833+I833&lt;66,0,IF((H833+I833)/2&gt;=80,5,IF((H833+I833)/2&gt;=70,4,IF((H833+I833)/2&gt;=60,3.5,IF((H833+I833)/2&gt;=50,3,IF((H833+I833)/2&gt;=40,2,IF((H833+I833)/2&gt;=33,1,0)))))))</f>
        <v/>
      </c>
      <c r="AG833">
        <f>IF(Y833,0,IF((J833+K833+L833+M833)/2&gt;=80,5,IF((J833+K833+L833+M833)/2&gt;=70,4,IF((J833+K833+L833+M833)/2&gt;=60,3.5,IF((J833+K833+L833+M833)/2&gt;=50,3,IF((J833+K833+L833+M833)/2&gt;=40,2,IF((J833+K833+L833+M833)/2&gt;=33,1,0)))))))</f>
        <v/>
      </c>
      <c r="AH833">
        <f>IF(Z833,0,IF(N833+O833&gt;=80,5,IF(N833+O833&gt;=70,4,IF(N833+O833&gt;=60,3.5,IF(N833+O833&gt;=50,3,IF(N833+O833&gt;=40,2,IF(N833+O833&gt;=33,1,0)))))))</f>
        <v/>
      </c>
      <c r="AI833">
        <f>IF(AA833,0,IF(P833+Q833&gt;=80,5,IF(P833+Q833&gt;=70,4,IF(P833+Q833&gt;=60,3.5,IF(P833+Q833&gt;=50,3,IF(P833+Q833&gt;=40,2,IF(P833+Q833&gt;=33,1,0)))))))</f>
        <v/>
      </c>
      <c r="AJ833">
        <f>IF(R833&lt;8.25,0,IF(R833*2&gt;=80,5,IF(R833*2&gt;=70,4,IF(R833*2&gt;=60,3.5,IF(R833*2&gt;=50,3,IF(R833*2&gt;=40,2,IF(R833*2&gt;=33,1,0)))))))</f>
        <v/>
      </c>
      <c r="AK833">
        <f>IF(S833&lt;33,0,IF(S833&gt;=80,5,IF(S833&gt;=70,4,IF(S833&gt;=60,3.5,IF(S833&gt;=50,3,IF(S833&gt;=40,2,IF(S833&gt;=33,1,0)))))))</f>
        <v/>
      </c>
      <c r="AL833">
        <f>(AC833+AD833+AE833+AF833+AG833+AH833+AI833+AJ833)/8</f>
        <v/>
      </c>
      <c r="AM833">
        <f>IF(AK833&gt;=2,(AK833-2)/8,0)</f>
        <v/>
      </c>
    </row>
    <row r="834">
      <c r="T834">
        <f>SUM(C834:R834)</f>
        <v/>
      </c>
      <c r="U834" s="6">
        <f>ROUND(T834/11.5,2)</f>
        <v/>
      </c>
      <c r="V834" s="7">
        <f>IF(B834="","",IF(AB834,0,ROUND(AL834,2)))</f>
        <v/>
      </c>
      <c r="W834" s="7">
        <f>IF(B834="","",IF(AB834,0,MIN(5,ROUND(AL834+AM834,2))))</f>
        <v/>
      </c>
      <c r="X834" s="8">
        <f>IF(B834="","",IF(W834&gt;=5,"A+",IF(W834&gt;=4,"A",IF(W834&gt;=3.5,"A-",IF(W834&gt;=3,"B",IF(W834&gt;=2,"C",IF(W834&gt;=1,"D","F")))))))</f>
        <v/>
      </c>
      <c r="Y834">
        <f>NOT(OR(AND(J834&gt;=10,K834&gt;=23,L834&gt;=10,M834&gt;=23),AND(J834+L834&gt;=20,K834+M834&gt;=46)))</f>
        <v/>
      </c>
      <c r="Z834">
        <f>OR(N834&lt;10,O834&lt;23)</f>
        <v/>
      </c>
      <c r="AA834">
        <f>OR(P834&lt;10,Q834&lt;23)</f>
        <v/>
      </c>
      <c r="AB834">
        <f>OR((C834+D834)&lt;66,(E834+F834)&lt;66,G834&lt;33,(H834+I834)&lt;66,Y834,Z834,AA834,R834&lt;8.25)</f>
        <v/>
      </c>
      <c r="AC834">
        <f>IF(C834+D834&lt;66,0,IF((C834+D834)/2&gt;=80,5,IF((C834+D834)/2&gt;=70,4,IF((C834+D834)/2&gt;=60,3.5,IF((C834+D834)/2&gt;=50,3,IF((C834+D834)/2&gt;=40,2,IF((C834+D834)/2&gt;=33,1,0)))))))</f>
        <v/>
      </c>
      <c r="AD834">
        <f>IF(E834+F834&lt;66,0,IF((E834+F834)/2&gt;=80,5,IF((E834+F834)/2&gt;=70,4,IF((E834+F834)/2&gt;=60,3.5,IF((E834+F834)/2&gt;=50,3,IF((E834+F834)/2&gt;=40,2,IF((E834+F834)/2&gt;=33,1,0)))))))</f>
        <v/>
      </c>
      <c r="AE834">
        <f>IF(G834&lt;33,0,IF(G834&gt;=80,5,IF(G834&gt;=70,4,IF(G834&gt;=60,3.5,IF(G834&gt;=50,3,IF(G834&gt;=40,2,IF(G834&gt;=33,1,0)))))))</f>
        <v/>
      </c>
      <c r="AF834">
        <f>IF(H834+I834&lt;66,0,IF((H834+I834)/2&gt;=80,5,IF((H834+I834)/2&gt;=70,4,IF((H834+I834)/2&gt;=60,3.5,IF((H834+I834)/2&gt;=50,3,IF((H834+I834)/2&gt;=40,2,IF((H834+I834)/2&gt;=33,1,0)))))))</f>
        <v/>
      </c>
      <c r="AG834">
        <f>IF(Y834,0,IF((J834+K834+L834+M834)/2&gt;=80,5,IF((J834+K834+L834+M834)/2&gt;=70,4,IF((J834+K834+L834+M834)/2&gt;=60,3.5,IF((J834+K834+L834+M834)/2&gt;=50,3,IF((J834+K834+L834+M834)/2&gt;=40,2,IF((J834+K834+L834+M834)/2&gt;=33,1,0)))))))</f>
        <v/>
      </c>
      <c r="AH834">
        <f>IF(Z834,0,IF(N834+O834&gt;=80,5,IF(N834+O834&gt;=70,4,IF(N834+O834&gt;=60,3.5,IF(N834+O834&gt;=50,3,IF(N834+O834&gt;=40,2,IF(N834+O834&gt;=33,1,0)))))))</f>
        <v/>
      </c>
      <c r="AI834">
        <f>IF(AA834,0,IF(P834+Q834&gt;=80,5,IF(P834+Q834&gt;=70,4,IF(P834+Q834&gt;=60,3.5,IF(P834+Q834&gt;=50,3,IF(P834+Q834&gt;=40,2,IF(P834+Q834&gt;=33,1,0)))))))</f>
        <v/>
      </c>
      <c r="AJ834">
        <f>IF(R834&lt;8.25,0,IF(R834*2&gt;=80,5,IF(R834*2&gt;=70,4,IF(R834*2&gt;=60,3.5,IF(R834*2&gt;=50,3,IF(R834*2&gt;=40,2,IF(R834*2&gt;=33,1,0)))))))</f>
        <v/>
      </c>
      <c r="AK834">
        <f>IF(S834&lt;33,0,IF(S834&gt;=80,5,IF(S834&gt;=70,4,IF(S834&gt;=60,3.5,IF(S834&gt;=50,3,IF(S834&gt;=40,2,IF(S834&gt;=33,1,0)))))))</f>
        <v/>
      </c>
      <c r="AL834">
        <f>(AC834+AD834+AE834+AF834+AG834+AH834+AI834+AJ834)/8</f>
        <v/>
      </c>
      <c r="AM834">
        <f>IF(AK834&gt;=2,(AK834-2)/8,0)</f>
        <v/>
      </c>
    </row>
    <row r="835">
      <c r="T835">
        <f>SUM(C835:R835)</f>
        <v/>
      </c>
      <c r="U835" s="6">
        <f>ROUND(T835/11.5,2)</f>
        <v/>
      </c>
      <c r="V835" s="7">
        <f>IF(B835="","",IF(AB835,0,ROUND(AL835,2)))</f>
        <v/>
      </c>
      <c r="W835" s="7">
        <f>IF(B835="","",IF(AB835,0,MIN(5,ROUND(AL835+AM835,2))))</f>
        <v/>
      </c>
      <c r="X835" s="8">
        <f>IF(B835="","",IF(W835&gt;=5,"A+",IF(W835&gt;=4,"A",IF(W835&gt;=3.5,"A-",IF(W835&gt;=3,"B",IF(W835&gt;=2,"C",IF(W835&gt;=1,"D","F")))))))</f>
        <v/>
      </c>
      <c r="Y835">
        <f>NOT(OR(AND(J835&gt;=10,K835&gt;=23,L835&gt;=10,M835&gt;=23),AND(J835+L835&gt;=20,K835+M835&gt;=46)))</f>
        <v/>
      </c>
      <c r="Z835">
        <f>OR(N835&lt;10,O835&lt;23)</f>
        <v/>
      </c>
      <c r="AA835">
        <f>OR(P835&lt;10,Q835&lt;23)</f>
        <v/>
      </c>
      <c r="AB835">
        <f>OR((C835+D835)&lt;66,(E835+F835)&lt;66,G835&lt;33,(H835+I835)&lt;66,Y835,Z835,AA835,R835&lt;8.25)</f>
        <v/>
      </c>
      <c r="AC835">
        <f>IF(C835+D835&lt;66,0,IF((C835+D835)/2&gt;=80,5,IF((C835+D835)/2&gt;=70,4,IF((C835+D835)/2&gt;=60,3.5,IF((C835+D835)/2&gt;=50,3,IF((C835+D835)/2&gt;=40,2,IF((C835+D835)/2&gt;=33,1,0)))))))</f>
        <v/>
      </c>
      <c r="AD835">
        <f>IF(E835+F835&lt;66,0,IF((E835+F835)/2&gt;=80,5,IF((E835+F835)/2&gt;=70,4,IF((E835+F835)/2&gt;=60,3.5,IF((E835+F835)/2&gt;=50,3,IF((E835+F835)/2&gt;=40,2,IF((E835+F835)/2&gt;=33,1,0)))))))</f>
        <v/>
      </c>
      <c r="AE835">
        <f>IF(G835&lt;33,0,IF(G835&gt;=80,5,IF(G835&gt;=70,4,IF(G835&gt;=60,3.5,IF(G835&gt;=50,3,IF(G835&gt;=40,2,IF(G835&gt;=33,1,0)))))))</f>
        <v/>
      </c>
      <c r="AF835">
        <f>IF(H835+I835&lt;66,0,IF((H835+I835)/2&gt;=80,5,IF((H835+I835)/2&gt;=70,4,IF((H835+I835)/2&gt;=60,3.5,IF((H835+I835)/2&gt;=50,3,IF((H835+I835)/2&gt;=40,2,IF((H835+I835)/2&gt;=33,1,0)))))))</f>
        <v/>
      </c>
      <c r="AG835">
        <f>IF(Y835,0,IF((J835+K835+L835+M835)/2&gt;=80,5,IF((J835+K835+L835+M835)/2&gt;=70,4,IF((J835+K835+L835+M835)/2&gt;=60,3.5,IF((J835+K835+L835+M835)/2&gt;=50,3,IF((J835+K835+L835+M835)/2&gt;=40,2,IF((J835+K835+L835+M835)/2&gt;=33,1,0)))))))</f>
        <v/>
      </c>
      <c r="AH835">
        <f>IF(Z835,0,IF(N835+O835&gt;=80,5,IF(N835+O835&gt;=70,4,IF(N835+O835&gt;=60,3.5,IF(N835+O835&gt;=50,3,IF(N835+O835&gt;=40,2,IF(N835+O835&gt;=33,1,0)))))))</f>
        <v/>
      </c>
      <c r="AI835">
        <f>IF(AA835,0,IF(P835+Q835&gt;=80,5,IF(P835+Q835&gt;=70,4,IF(P835+Q835&gt;=60,3.5,IF(P835+Q835&gt;=50,3,IF(P835+Q835&gt;=40,2,IF(P835+Q835&gt;=33,1,0)))))))</f>
        <v/>
      </c>
      <c r="AJ835">
        <f>IF(R835&lt;8.25,0,IF(R835*2&gt;=80,5,IF(R835*2&gt;=70,4,IF(R835*2&gt;=60,3.5,IF(R835*2&gt;=50,3,IF(R835*2&gt;=40,2,IF(R835*2&gt;=33,1,0)))))))</f>
        <v/>
      </c>
      <c r="AK835">
        <f>IF(S835&lt;33,0,IF(S835&gt;=80,5,IF(S835&gt;=70,4,IF(S835&gt;=60,3.5,IF(S835&gt;=50,3,IF(S835&gt;=40,2,IF(S835&gt;=33,1,0)))))))</f>
        <v/>
      </c>
      <c r="AL835">
        <f>(AC835+AD835+AE835+AF835+AG835+AH835+AI835+AJ835)/8</f>
        <v/>
      </c>
      <c r="AM835">
        <f>IF(AK835&gt;=2,(AK835-2)/8,0)</f>
        <v/>
      </c>
    </row>
    <row r="836">
      <c r="T836">
        <f>SUM(C836:R836)</f>
        <v/>
      </c>
      <c r="U836" s="6">
        <f>ROUND(T836/11.5,2)</f>
        <v/>
      </c>
      <c r="V836" s="7">
        <f>IF(B836="","",IF(AB836,0,ROUND(AL836,2)))</f>
        <v/>
      </c>
      <c r="W836" s="7">
        <f>IF(B836="","",IF(AB836,0,MIN(5,ROUND(AL836+AM836,2))))</f>
        <v/>
      </c>
      <c r="X836" s="8">
        <f>IF(B836="","",IF(W836&gt;=5,"A+",IF(W836&gt;=4,"A",IF(W836&gt;=3.5,"A-",IF(W836&gt;=3,"B",IF(W836&gt;=2,"C",IF(W836&gt;=1,"D","F")))))))</f>
        <v/>
      </c>
      <c r="Y836">
        <f>NOT(OR(AND(J836&gt;=10,K836&gt;=23,L836&gt;=10,M836&gt;=23),AND(J836+L836&gt;=20,K836+M836&gt;=46)))</f>
        <v/>
      </c>
      <c r="Z836">
        <f>OR(N836&lt;10,O836&lt;23)</f>
        <v/>
      </c>
      <c r="AA836">
        <f>OR(P836&lt;10,Q836&lt;23)</f>
        <v/>
      </c>
      <c r="AB836">
        <f>OR((C836+D836)&lt;66,(E836+F836)&lt;66,G836&lt;33,(H836+I836)&lt;66,Y836,Z836,AA836,R836&lt;8.25)</f>
        <v/>
      </c>
      <c r="AC836">
        <f>IF(C836+D836&lt;66,0,IF((C836+D836)/2&gt;=80,5,IF((C836+D836)/2&gt;=70,4,IF((C836+D836)/2&gt;=60,3.5,IF((C836+D836)/2&gt;=50,3,IF((C836+D836)/2&gt;=40,2,IF((C836+D836)/2&gt;=33,1,0)))))))</f>
        <v/>
      </c>
      <c r="AD836">
        <f>IF(E836+F836&lt;66,0,IF((E836+F836)/2&gt;=80,5,IF((E836+F836)/2&gt;=70,4,IF((E836+F836)/2&gt;=60,3.5,IF((E836+F836)/2&gt;=50,3,IF((E836+F836)/2&gt;=40,2,IF((E836+F836)/2&gt;=33,1,0)))))))</f>
        <v/>
      </c>
      <c r="AE836">
        <f>IF(G836&lt;33,0,IF(G836&gt;=80,5,IF(G836&gt;=70,4,IF(G836&gt;=60,3.5,IF(G836&gt;=50,3,IF(G836&gt;=40,2,IF(G836&gt;=33,1,0)))))))</f>
        <v/>
      </c>
      <c r="AF836">
        <f>IF(H836+I836&lt;66,0,IF((H836+I836)/2&gt;=80,5,IF((H836+I836)/2&gt;=70,4,IF((H836+I836)/2&gt;=60,3.5,IF((H836+I836)/2&gt;=50,3,IF((H836+I836)/2&gt;=40,2,IF((H836+I836)/2&gt;=33,1,0)))))))</f>
        <v/>
      </c>
      <c r="AG836">
        <f>IF(Y836,0,IF((J836+K836+L836+M836)/2&gt;=80,5,IF((J836+K836+L836+M836)/2&gt;=70,4,IF((J836+K836+L836+M836)/2&gt;=60,3.5,IF((J836+K836+L836+M836)/2&gt;=50,3,IF((J836+K836+L836+M836)/2&gt;=40,2,IF((J836+K836+L836+M836)/2&gt;=33,1,0)))))))</f>
        <v/>
      </c>
      <c r="AH836">
        <f>IF(Z836,0,IF(N836+O836&gt;=80,5,IF(N836+O836&gt;=70,4,IF(N836+O836&gt;=60,3.5,IF(N836+O836&gt;=50,3,IF(N836+O836&gt;=40,2,IF(N836+O836&gt;=33,1,0)))))))</f>
        <v/>
      </c>
      <c r="AI836">
        <f>IF(AA836,0,IF(P836+Q836&gt;=80,5,IF(P836+Q836&gt;=70,4,IF(P836+Q836&gt;=60,3.5,IF(P836+Q836&gt;=50,3,IF(P836+Q836&gt;=40,2,IF(P836+Q836&gt;=33,1,0)))))))</f>
        <v/>
      </c>
      <c r="AJ836">
        <f>IF(R836&lt;8.25,0,IF(R836*2&gt;=80,5,IF(R836*2&gt;=70,4,IF(R836*2&gt;=60,3.5,IF(R836*2&gt;=50,3,IF(R836*2&gt;=40,2,IF(R836*2&gt;=33,1,0)))))))</f>
        <v/>
      </c>
      <c r="AK836">
        <f>IF(S836&lt;33,0,IF(S836&gt;=80,5,IF(S836&gt;=70,4,IF(S836&gt;=60,3.5,IF(S836&gt;=50,3,IF(S836&gt;=40,2,IF(S836&gt;=33,1,0)))))))</f>
        <v/>
      </c>
      <c r="AL836">
        <f>(AC836+AD836+AE836+AF836+AG836+AH836+AI836+AJ836)/8</f>
        <v/>
      </c>
      <c r="AM836">
        <f>IF(AK836&gt;=2,(AK836-2)/8,0)</f>
        <v/>
      </c>
    </row>
    <row r="837">
      <c r="T837">
        <f>SUM(C837:R837)</f>
        <v/>
      </c>
      <c r="U837" s="6">
        <f>ROUND(T837/11.5,2)</f>
        <v/>
      </c>
      <c r="V837" s="7">
        <f>IF(B837="","",IF(AB837,0,ROUND(AL837,2)))</f>
        <v/>
      </c>
      <c r="W837" s="7">
        <f>IF(B837="","",IF(AB837,0,MIN(5,ROUND(AL837+AM837,2))))</f>
        <v/>
      </c>
      <c r="X837" s="8">
        <f>IF(B837="","",IF(W837&gt;=5,"A+",IF(W837&gt;=4,"A",IF(W837&gt;=3.5,"A-",IF(W837&gt;=3,"B",IF(W837&gt;=2,"C",IF(W837&gt;=1,"D","F")))))))</f>
        <v/>
      </c>
      <c r="Y837">
        <f>NOT(OR(AND(J837&gt;=10,K837&gt;=23,L837&gt;=10,M837&gt;=23),AND(J837+L837&gt;=20,K837+M837&gt;=46)))</f>
        <v/>
      </c>
      <c r="Z837">
        <f>OR(N837&lt;10,O837&lt;23)</f>
        <v/>
      </c>
      <c r="AA837">
        <f>OR(P837&lt;10,Q837&lt;23)</f>
        <v/>
      </c>
      <c r="AB837">
        <f>OR((C837+D837)&lt;66,(E837+F837)&lt;66,G837&lt;33,(H837+I837)&lt;66,Y837,Z837,AA837,R837&lt;8.25)</f>
        <v/>
      </c>
      <c r="AC837">
        <f>IF(C837+D837&lt;66,0,IF((C837+D837)/2&gt;=80,5,IF((C837+D837)/2&gt;=70,4,IF((C837+D837)/2&gt;=60,3.5,IF((C837+D837)/2&gt;=50,3,IF((C837+D837)/2&gt;=40,2,IF((C837+D837)/2&gt;=33,1,0)))))))</f>
        <v/>
      </c>
      <c r="AD837">
        <f>IF(E837+F837&lt;66,0,IF((E837+F837)/2&gt;=80,5,IF((E837+F837)/2&gt;=70,4,IF((E837+F837)/2&gt;=60,3.5,IF((E837+F837)/2&gt;=50,3,IF((E837+F837)/2&gt;=40,2,IF((E837+F837)/2&gt;=33,1,0)))))))</f>
        <v/>
      </c>
      <c r="AE837">
        <f>IF(G837&lt;33,0,IF(G837&gt;=80,5,IF(G837&gt;=70,4,IF(G837&gt;=60,3.5,IF(G837&gt;=50,3,IF(G837&gt;=40,2,IF(G837&gt;=33,1,0)))))))</f>
        <v/>
      </c>
      <c r="AF837">
        <f>IF(H837+I837&lt;66,0,IF((H837+I837)/2&gt;=80,5,IF((H837+I837)/2&gt;=70,4,IF((H837+I837)/2&gt;=60,3.5,IF((H837+I837)/2&gt;=50,3,IF((H837+I837)/2&gt;=40,2,IF((H837+I837)/2&gt;=33,1,0)))))))</f>
        <v/>
      </c>
      <c r="AG837">
        <f>IF(Y837,0,IF((J837+K837+L837+M837)/2&gt;=80,5,IF((J837+K837+L837+M837)/2&gt;=70,4,IF((J837+K837+L837+M837)/2&gt;=60,3.5,IF((J837+K837+L837+M837)/2&gt;=50,3,IF((J837+K837+L837+M837)/2&gt;=40,2,IF((J837+K837+L837+M837)/2&gt;=33,1,0)))))))</f>
        <v/>
      </c>
      <c r="AH837">
        <f>IF(Z837,0,IF(N837+O837&gt;=80,5,IF(N837+O837&gt;=70,4,IF(N837+O837&gt;=60,3.5,IF(N837+O837&gt;=50,3,IF(N837+O837&gt;=40,2,IF(N837+O837&gt;=33,1,0)))))))</f>
        <v/>
      </c>
      <c r="AI837">
        <f>IF(AA837,0,IF(P837+Q837&gt;=80,5,IF(P837+Q837&gt;=70,4,IF(P837+Q837&gt;=60,3.5,IF(P837+Q837&gt;=50,3,IF(P837+Q837&gt;=40,2,IF(P837+Q837&gt;=33,1,0)))))))</f>
        <v/>
      </c>
      <c r="AJ837">
        <f>IF(R837&lt;8.25,0,IF(R837*2&gt;=80,5,IF(R837*2&gt;=70,4,IF(R837*2&gt;=60,3.5,IF(R837*2&gt;=50,3,IF(R837*2&gt;=40,2,IF(R837*2&gt;=33,1,0)))))))</f>
        <v/>
      </c>
      <c r="AK837">
        <f>IF(S837&lt;33,0,IF(S837&gt;=80,5,IF(S837&gt;=70,4,IF(S837&gt;=60,3.5,IF(S837&gt;=50,3,IF(S837&gt;=40,2,IF(S837&gt;=33,1,0)))))))</f>
        <v/>
      </c>
      <c r="AL837">
        <f>(AC837+AD837+AE837+AF837+AG837+AH837+AI837+AJ837)/8</f>
        <v/>
      </c>
      <c r="AM837">
        <f>IF(AK837&gt;=2,(AK837-2)/8,0)</f>
        <v/>
      </c>
    </row>
    <row r="838">
      <c r="T838">
        <f>SUM(C838:R838)</f>
        <v/>
      </c>
      <c r="U838" s="6">
        <f>ROUND(T838/11.5,2)</f>
        <v/>
      </c>
      <c r="V838" s="7">
        <f>IF(B838="","",IF(AB838,0,ROUND(AL838,2)))</f>
        <v/>
      </c>
      <c r="W838" s="7">
        <f>IF(B838="","",IF(AB838,0,MIN(5,ROUND(AL838+AM838,2))))</f>
        <v/>
      </c>
      <c r="X838" s="8">
        <f>IF(B838="","",IF(W838&gt;=5,"A+",IF(W838&gt;=4,"A",IF(W838&gt;=3.5,"A-",IF(W838&gt;=3,"B",IF(W838&gt;=2,"C",IF(W838&gt;=1,"D","F")))))))</f>
        <v/>
      </c>
      <c r="Y838">
        <f>NOT(OR(AND(J838&gt;=10,K838&gt;=23,L838&gt;=10,M838&gt;=23),AND(J838+L838&gt;=20,K838+M838&gt;=46)))</f>
        <v/>
      </c>
      <c r="Z838">
        <f>OR(N838&lt;10,O838&lt;23)</f>
        <v/>
      </c>
      <c r="AA838">
        <f>OR(P838&lt;10,Q838&lt;23)</f>
        <v/>
      </c>
      <c r="AB838">
        <f>OR((C838+D838)&lt;66,(E838+F838)&lt;66,G838&lt;33,(H838+I838)&lt;66,Y838,Z838,AA838,R838&lt;8.25)</f>
        <v/>
      </c>
      <c r="AC838">
        <f>IF(C838+D838&lt;66,0,IF((C838+D838)/2&gt;=80,5,IF((C838+D838)/2&gt;=70,4,IF((C838+D838)/2&gt;=60,3.5,IF((C838+D838)/2&gt;=50,3,IF((C838+D838)/2&gt;=40,2,IF((C838+D838)/2&gt;=33,1,0)))))))</f>
        <v/>
      </c>
      <c r="AD838">
        <f>IF(E838+F838&lt;66,0,IF((E838+F838)/2&gt;=80,5,IF((E838+F838)/2&gt;=70,4,IF((E838+F838)/2&gt;=60,3.5,IF((E838+F838)/2&gt;=50,3,IF((E838+F838)/2&gt;=40,2,IF((E838+F838)/2&gt;=33,1,0)))))))</f>
        <v/>
      </c>
      <c r="AE838">
        <f>IF(G838&lt;33,0,IF(G838&gt;=80,5,IF(G838&gt;=70,4,IF(G838&gt;=60,3.5,IF(G838&gt;=50,3,IF(G838&gt;=40,2,IF(G838&gt;=33,1,0)))))))</f>
        <v/>
      </c>
      <c r="AF838">
        <f>IF(H838+I838&lt;66,0,IF((H838+I838)/2&gt;=80,5,IF((H838+I838)/2&gt;=70,4,IF((H838+I838)/2&gt;=60,3.5,IF((H838+I838)/2&gt;=50,3,IF((H838+I838)/2&gt;=40,2,IF((H838+I838)/2&gt;=33,1,0)))))))</f>
        <v/>
      </c>
      <c r="AG838">
        <f>IF(Y838,0,IF((J838+K838+L838+M838)/2&gt;=80,5,IF((J838+K838+L838+M838)/2&gt;=70,4,IF((J838+K838+L838+M838)/2&gt;=60,3.5,IF((J838+K838+L838+M838)/2&gt;=50,3,IF((J838+K838+L838+M838)/2&gt;=40,2,IF((J838+K838+L838+M838)/2&gt;=33,1,0)))))))</f>
        <v/>
      </c>
      <c r="AH838">
        <f>IF(Z838,0,IF(N838+O838&gt;=80,5,IF(N838+O838&gt;=70,4,IF(N838+O838&gt;=60,3.5,IF(N838+O838&gt;=50,3,IF(N838+O838&gt;=40,2,IF(N838+O838&gt;=33,1,0)))))))</f>
        <v/>
      </c>
      <c r="AI838">
        <f>IF(AA838,0,IF(P838+Q838&gt;=80,5,IF(P838+Q838&gt;=70,4,IF(P838+Q838&gt;=60,3.5,IF(P838+Q838&gt;=50,3,IF(P838+Q838&gt;=40,2,IF(P838+Q838&gt;=33,1,0)))))))</f>
        <v/>
      </c>
      <c r="AJ838">
        <f>IF(R838&lt;8.25,0,IF(R838*2&gt;=80,5,IF(R838*2&gt;=70,4,IF(R838*2&gt;=60,3.5,IF(R838*2&gt;=50,3,IF(R838*2&gt;=40,2,IF(R838*2&gt;=33,1,0)))))))</f>
        <v/>
      </c>
      <c r="AK838">
        <f>IF(S838&lt;33,0,IF(S838&gt;=80,5,IF(S838&gt;=70,4,IF(S838&gt;=60,3.5,IF(S838&gt;=50,3,IF(S838&gt;=40,2,IF(S838&gt;=33,1,0)))))))</f>
        <v/>
      </c>
      <c r="AL838">
        <f>(AC838+AD838+AE838+AF838+AG838+AH838+AI838+AJ838)/8</f>
        <v/>
      </c>
      <c r="AM838">
        <f>IF(AK838&gt;=2,(AK838-2)/8,0)</f>
        <v/>
      </c>
    </row>
    <row r="839">
      <c r="T839">
        <f>SUM(C839:R839)</f>
        <v/>
      </c>
      <c r="U839" s="6">
        <f>ROUND(T839/11.5,2)</f>
        <v/>
      </c>
      <c r="V839" s="7">
        <f>IF(B839="","",IF(AB839,0,ROUND(AL839,2)))</f>
        <v/>
      </c>
      <c r="W839" s="7">
        <f>IF(B839="","",IF(AB839,0,MIN(5,ROUND(AL839+AM839,2))))</f>
        <v/>
      </c>
      <c r="X839" s="8">
        <f>IF(B839="","",IF(W839&gt;=5,"A+",IF(W839&gt;=4,"A",IF(W839&gt;=3.5,"A-",IF(W839&gt;=3,"B",IF(W839&gt;=2,"C",IF(W839&gt;=1,"D","F")))))))</f>
        <v/>
      </c>
      <c r="Y839">
        <f>NOT(OR(AND(J839&gt;=10,K839&gt;=23,L839&gt;=10,M839&gt;=23),AND(J839+L839&gt;=20,K839+M839&gt;=46)))</f>
        <v/>
      </c>
      <c r="Z839">
        <f>OR(N839&lt;10,O839&lt;23)</f>
        <v/>
      </c>
      <c r="AA839">
        <f>OR(P839&lt;10,Q839&lt;23)</f>
        <v/>
      </c>
      <c r="AB839">
        <f>OR((C839+D839)&lt;66,(E839+F839)&lt;66,G839&lt;33,(H839+I839)&lt;66,Y839,Z839,AA839,R839&lt;8.25)</f>
        <v/>
      </c>
      <c r="AC839">
        <f>IF(C839+D839&lt;66,0,IF((C839+D839)/2&gt;=80,5,IF((C839+D839)/2&gt;=70,4,IF((C839+D839)/2&gt;=60,3.5,IF((C839+D839)/2&gt;=50,3,IF((C839+D839)/2&gt;=40,2,IF((C839+D839)/2&gt;=33,1,0)))))))</f>
        <v/>
      </c>
      <c r="AD839">
        <f>IF(E839+F839&lt;66,0,IF((E839+F839)/2&gt;=80,5,IF((E839+F839)/2&gt;=70,4,IF((E839+F839)/2&gt;=60,3.5,IF((E839+F839)/2&gt;=50,3,IF((E839+F839)/2&gt;=40,2,IF((E839+F839)/2&gt;=33,1,0)))))))</f>
        <v/>
      </c>
      <c r="AE839">
        <f>IF(G839&lt;33,0,IF(G839&gt;=80,5,IF(G839&gt;=70,4,IF(G839&gt;=60,3.5,IF(G839&gt;=50,3,IF(G839&gt;=40,2,IF(G839&gt;=33,1,0)))))))</f>
        <v/>
      </c>
      <c r="AF839">
        <f>IF(H839+I839&lt;66,0,IF((H839+I839)/2&gt;=80,5,IF((H839+I839)/2&gt;=70,4,IF((H839+I839)/2&gt;=60,3.5,IF((H839+I839)/2&gt;=50,3,IF((H839+I839)/2&gt;=40,2,IF((H839+I839)/2&gt;=33,1,0)))))))</f>
        <v/>
      </c>
      <c r="AG839">
        <f>IF(Y839,0,IF((J839+K839+L839+M839)/2&gt;=80,5,IF((J839+K839+L839+M839)/2&gt;=70,4,IF((J839+K839+L839+M839)/2&gt;=60,3.5,IF((J839+K839+L839+M839)/2&gt;=50,3,IF((J839+K839+L839+M839)/2&gt;=40,2,IF((J839+K839+L839+M839)/2&gt;=33,1,0)))))))</f>
        <v/>
      </c>
      <c r="AH839">
        <f>IF(Z839,0,IF(N839+O839&gt;=80,5,IF(N839+O839&gt;=70,4,IF(N839+O839&gt;=60,3.5,IF(N839+O839&gt;=50,3,IF(N839+O839&gt;=40,2,IF(N839+O839&gt;=33,1,0)))))))</f>
        <v/>
      </c>
      <c r="AI839">
        <f>IF(AA839,0,IF(P839+Q839&gt;=80,5,IF(P839+Q839&gt;=70,4,IF(P839+Q839&gt;=60,3.5,IF(P839+Q839&gt;=50,3,IF(P839+Q839&gt;=40,2,IF(P839+Q839&gt;=33,1,0)))))))</f>
        <v/>
      </c>
      <c r="AJ839">
        <f>IF(R839&lt;8.25,0,IF(R839*2&gt;=80,5,IF(R839*2&gt;=70,4,IF(R839*2&gt;=60,3.5,IF(R839*2&gt;=50,3,IF(R839*2&gt;=40,2,IF(R839*2&gt;=33,1,0)))))))</f>
        <v/>
      </c>
      <c r="AK839">
        <f>IF(S839&lt;33,0,IF(S839&gt;=80,5,IF(S839&gt;=70,4,IF(S839&gt;=60,3.5,IF(S839&gt;=50,3,IF(S839&gt;=40,2,IF(S839&gt;=33,1,0)))))))</f>
        <v/>
      </c>
      <c r="AL839">
        <f>(AC839+AD839+AE839+AF839+AG839+AH839+AI839+AJ839)/8</f>
        <v/>
      </c>
      <c r="AM839">
        <f>IF(AK839&gt;=2,(AK839-2)/8,0)</f>
        <v/>
      </c>
    </row>
    <row r="840">
      <c r="T840">
        <f>SUM(C840:R840)</f>
        <v/>
      </c>
      <c r="U840" s="6">
        <f>ROUND(T840/11.5,2)</f>
        <v/>
      </c>
      <c r="V840" s="7">
        <f>IF(B840="","",IF(AB840,0,ROUND(AL840,2)))</f>
        <v/>
      </c>
      <c r="W840" s="7">
        <f>IF(B840="","",IF(AB840,0,MIN(5,ROUND(AL840+AM840,2))))</f>
        <v/>
      </c>
      <c r="X840" s="8">
        <f>IF(B840="","",IF(W840&gt;=5,"A+",IF(W840&gt;=4,"A",IF(W840&gt;=3.5,"A-",IF(W840&gt;=3,"B",IF(W840&gt;=2,"C",IF(W840&gt;=1,"D","F")))))))</f>
        <v/>
      </c>
      <c r="Y840">
        <f>NOT(OR(AND(J840&gt;=10,K840&gt;=23,L840&gt;=10,M840&gt;=23),AND(J840+L840&gt;=20,K840+M840&gt;=46)))</f>
        <v/>
      </c>
      <c r="Z840">
        <f>OR(N840&lt;10,O840&lt;23)</f>
        <v/>
      </c>
      <c r="AA840">
        <f>OR(P840&lt;10,Q840&lt;23)</f>
        <v/>
      </c>
      <c r="AB840">
        <f>OR((C840+D840)&lt;66,(E840+F840)&lt;66,G840&lt;33,(H840+I840)&lt;66,Y840,Z840,AA840,R840&lt;8.25)</f>
        <v/>
      </c>
      <c r="AC840">
        <f>IF(C840+D840&lt;66,0,IF((C840+D840)/2&gt;=80,5,IF((C840+D840)/2&gt;=70,4,IF((C840+D840)/2&gt;=60,3.5,IF((C840+D840)/2&gt;=50,3,IF((C840+D840)/2&gt;=40,2,IF((C840+D840)/2&gt;=33,1,0)))))))</f>
        <v/>
      </c>
      <c r="AD840">
        <f>IF(E840+F840&lt;66,0,IF((E840+F840)/2&gt;=80,5,IF((E840+F840)/2&gt;=70,4,IF((E840+F840)/2&gt;=60,3.5,IF((E840+F840)/2&gt;=50,3,IF((E840+F840)/2&gt;=40,2,IF((E840+F840)/2&gt;=33,1,0)))))))</f>
        <v/>
      </c>
      <c r="AE840">
        <f>IF(G840&lt;33,0,IF(G840&gt;=80,5,IF(G840&gt;=70,4,IF(G840&gt;=60,3.5,IF(G840&gt;=50,3,IF(G840&gt;=40,2,IF(G840&gt;=33,1,0)))))))</f>
        <v/>
      </c>
      <c r="AF840">
        <f>IF(H840+I840&lt;66,0,IF((H840+I840)/2&gt;=80,5,IF((H840+I840)/2&gt;=70,4,IF((H840+I840)/2&gt;=60,3.5,IF((H840+I840)/2&gt;=50,3,IF((H840+I840)/2&gt;=40,2,IF((H840+I840)/2&gt;=33,1,0)))))))</f>
        <v/>
      </c>
      <c r="AG840">
        <f>IF(Y840,0,IF((J840+K840+L840+M840)/2&gt;=80,5,IF((J840+K840+L840+M840)/2&gt;=70,4,IF((J840+K840+L840+M840)/2&gt;=60,3.5,IF((J840+K840+L840+M840)/2&gt;=50,3,IF((J840+K840+L840+M840)/2&gt;=40,2,IF((J840+K840+L840+M840)/2&gt;=33,1,0)))))))</f>
        <v/>
      </c>
      <c r="AH840">
        <f>IF(Z840,0,IF(N840+O840&gt;=80,5,IF(N840+O840&gt;=70,4,IF(N840+O840&gt;=60,3.5,IF(N840+O840&gt;=50,3,IF(N840+O840&gt;=40,2,IF(N840+O840&gt;=33,1,0)))))))</f>
        <v/>
      </c>
      <c r="AI840">
        <f>IF(AA840,0,IF(P840+Q840&gt;=80,5,IF(P840+Q840&gt;=70,4,IF(P840+Q840&gt;=60,3.5,IF(P840+Q840&gt;=50,3,IF(P840+Q840&gt;=40,2,IF(P840+Q840&gt;=33,1,0)))))))</f>
        <v/>
      </c>
      <c r="AJ840">
        <f>IF(R840&lt;8.25,0,IF(R840*2&gt;=80,5,IF(R840*2&gt;=70,4,IF(R840*2&gt;=60,3.5,IF(R840*2&gt;=50,3,IF(R840*2&gt;=40,2,IF(R840*2&gt;=33,1,0)))))))</f>
        <v/>
      </c>
      <c r="AK840">
        <f>IF(S840&lt;33,0,IF(S840&gt;=80,5,IF(S840&gt;=70,4,IF(S840&gt;=60,3.5,IF(S840&gt;=50,3,IF(S840&gt;=40,2,IF(S840&gt;=33,1,0)))))))</f>
        <v/>
      </c>
      <c r="AL840">
        <f>(AC840+AD840+AE840+AF840+AG840+AH840+AI840+AJ840)/8</f>
        <v/>
      </c>
      <c r="AM840">
        <f>IF(AK840&gt;=2,(AK840-2)/8,0)</f>
        <v/>
      </c>
    </row>
    <row r="841">
      <c r="T841">
        <f>SUM(C841:R841)</f>
        <v/>
      </c>
      <c r="U841" s="6">
        <f>ROUND(T841/11.5,2)</f>
        <v/>
      </c>
      <c r="V841" s="7">
        <f>IF(B841="","",IF(AB841,0,ROUND(AL841,2)))</f>
        <v/>
      </c>
      <c r="W841" s="7">
        <f>IF(B841="","",IF(AB841,0,MIN(5,ROUND(AL841+AM841,2))))</f>
        <v/>
      </c>
      <c r="X841" s="8">
        <f>IF(B841="","",IF(W841&gt;=5,"A+",IF(W841&gt;=4,"A",IF(W841&gt;=3.5,"A-",IF(W841&gt;=3,"B",IF(W841&gt;=2,"C",IF(W841&gt;=1,"D","F")))))))</f>
        <v/>
      </c>
      <c r="Y841">
        <f>NOT(OR(AND(J841&gt;=10,K841&gt;=23,L841&gt;=10,M841&gt;=23),AND(J841+L841&gt;=20,K841+M841&gt;=46)))</f>
        <v/>
      </c>
      <c r="Z841">
        <f>OR(N841&lt;10,O841&lt;23)</f>
        <v/>
      </c>
      <c r="AA841">
        <f>OR(P841&lt;10,Q841&lt;23)</f>
        <v/>
      </c>
      <c r="AB841">
        <f>OR((C841+D841)&lt;66,(E841+F841)&lt;66,G841&lt;33,(H841+I841)&lt;66,Y841,Z841,AA841,R841&lt;8.25)</f>
        <v/>
      </c>
      <c r="AC841">
        <f>IF(C841+D841&lt;66,0,IF((C841+D841)/2&gt;=80,5,IF((C841+D841)/2&gt;=70,4,IF((C841+D841)/2&gt;=60,3.5,IF((C841+D841)/2&gt;=50,3,IF((C841+D841)/2&gt;=40,2,IF((C841+D841)/2&gt;=33,1,0)))))))</f>
        <v/>
      </c>
      <c r="AD841">
        <f>IF(E841+F841&lt;66,0,IF((E841+F841)/2&gt;=80,5,IF((E841+F841)/2&gt;=70,4,IF((E841+F841)/2&gt;=60,3.5,IF((E841+F841)/2&gt;=50,3,IF((E841+F841)/2&gt;=40,2,IF((E841+F841)/2&gt;=33,1,0)))))))</f>
        <v/>
      </c>
      <c r="AE841">
        <f>IF(G841&lt;33,0,IF(G841&gt;=80,5,IF(G841&gt;=70,4,IF(G841&gt;=60,3.5,IF(G841&gt;=50,3,IF(G841&gt;=40,2,IF(G841&gt;=33,1,0)))))))</f>
        <v/>
      </c>
      <c r="AF841">
        <f>IF(H841+I841&lt;66,0,IF((H841+I841)/2&gt;=80,5,IF((H841+I841)/2&gt;=70,4,IF((H841+I841)/2&gt;=60,3.5,IF((H841+I841)/2&gt;=50,3,IF((H841+I841)/2&gt;=40,2,IF((H841+I841)/2&gt;=33,1,0)))))))</f>
        <v/>
      </c>
      <c r="AG841">
        <f>IF(Y841,0,IF((J841+K841+L841+M841)/2&gt;=80,5,IF((J841+K841+L841+M841)/2&gt;=70,4,IF((J841+K841+L841+M841)/2&gt;=60,3.5,IF((J841+K841+L841+M841)/2&gt;=50,3,IF((J841+K841+L841+M841)/2&gt;=40,2,IF((J841+K841+L841+M841)/2&gt;=33,1,0)))))))</f>
        <v/>
      </c>
      <c r="AH841">
        <f>IF(Z841,0,IF(N841+O841&gt;=80,5,IF(N841+O841&gt;=70,4,IF(N841+O841&gt;=60,3.5,IF(N841+O841&gt;=50,3,IF(N841+O841&gt;=40,2,IF(N841+O841&gt;=33,1,0)))))))</f>
        <v/>
      </c>
      <c r="AI841">
        <f>IF(AA841,0,IF(P841+Q841&gt;=80,5,IF(P841+Q841&gt;=70,4,IF(P841+Q841&gt;=60,3.5,IF(P841+Q841&gt;=50,3,IF(P841+Q841&gt;=40,2,IF(P841+Q841&gt;=33,1,0)))))))</f>
        <v/>
      </c>
      <c r="AJ841">
        <f>IF(R841&lt;8.25,0,IF(R841*2&gt;=80,5,IF(R841*2&gt;=70,4,IF(R841*2&gt;=60,3.5,IF(R841*2&gt;=50,3,IF(R841*2&gt;=40,2,IF(R841*2&gt;=33,1,0)))))))</f>
        <v/>
      </c>
      <c r="AK841">
        <f>IF(S841&lt;33,0,IF(S841&gt;=80,5,IF(S841&gt;=70,4,IF(S841&gt;=60,3.5,IF(S841&gt;=50,3,IF(S841&gt;=40,2,IF(S841&gt;=33,1,0)))))))</f>
        <v/>
      </c>
      <c r="AL841">
        <f>(AC841+AD841+AE841+AF841+AG841+AH841+AI841+AJ841)/8</f>
        <v/>
      </c>
      <c r="AM841">
        <f>IF(AK841&gt;=2,(AK841-2)/8,0)</f>
        <v/>
      </c>
    </row>
    <row r="842">
      <c r="T842">
        <f>SUM(C842:R842)</f>
        <v/>
      </c>
      <c r="U842" s="6">
        <f>ROUND(T842/11.5,2)</f>
        <v/>
      </c>
      <c r="V842" s="7">
        <f>IF(B842="","",IF(AB842,0,ROUND(AL842,2)))</f>
        <v/>
      </c>
      <c r="W842" s="7">
        <f>IF(B842="","",IF(AB842,0,MIN(5,ROUND(AL842+AM842,2))))</f>
        <v/>
      </c>
      <c r="X842" s="8">
        <f>IF(B842="","",IF(W842&gt;=5,"A+",IF(W842&gt;=4,"A",IF(W842&gt;=3.5,"A-",IF(W842&gt;=3,"B",IF(W842&gt;=2,"C",IF(W842&gt;=1,"D","F")))))))</f>
        <v/>
      </c>
      <c r="Y842">
        <f>NOT(OR(AND(J842&gt;=10,K842&gt;=23,L842&gt;=10,M842&gt;=23),AND(J842+L842&gt;=20,K842+M842&gt;=46)))</f>
        <v/>
      </c>
      <c r="Z842">
        <f>OR(N842&lt;10,O842&lt;23)</f>
        <v/>
      </c>
      <c r="AA842">
        <f>OR(P842&lt;10,Q842&lt;23)</f>
        <v/>
      </c>
      <c r="AB842">
        <f>OR((C842+D842)&lt;66,(E842+F842)&lt;66,G842&lt;33,(H842+I842)&lt;66,Y842,Z842,AA842,R842&lt;8.25)</f>
        <v/>
      </c>
      <c r="AC842">
        <f>IF(C842+D842&lt;66,0,IF((C842+D842)/2&gt;=80,5,IF((C842+D842)/2&gt;=70,4,IF((C842+D842)/2&gt;=60,3.5,IF((C842+D842)/2&gt;=50,3,IF((C842+D842)/2&gt;=40,2,IF((C842+D842)/2&gt;=33,1,0)))))))</f>
        <v/>
      </c>
      <c r="AD842">
        <f>IF(E842+F842&lt;66,0,IF((E842+F842)/2&gt;=80,5,IF((E842+F842)/2&gt;=70,4,IF((E842+F842)/2&gt;=60,3.5,IF((E842+F842)/2&gt;=50,3,IF((E842+F842)/2&gt;=40,2,IF((E842+F842)/2&gt;=33,1,0)))))))</f>
        <v/>
      </c>
      <c r="AE842">
        <f>IF(G842&lt;33,0,IF(G842&gt;=80,5,IF(G842&gt;=70,4,IF(G842&gt;=60,3.5,IF(G842&gt;=50,3,IF(G842&gt;=40,2,IF(G842&gt;=33,1,0)))))))</f>
        <v/>
      </c>
      <c r="AF842">
        <f>IF(H842+I842&lt;66,0,IF((H842+I842)/2&gt;=80,5,IF((H842+I842)/2&gt;=70,4,IF((H842+I842)/2&gt;=60,3.5,IF((H842+I842)/2&gt;=50,3,IF((H842+I842)/2&gt;=40,2,IF((H842+I842)/2&gt;=33,1,0)))))))</f>
        <v/>
      </c>
      <c r="AG842">
        <f>IF(Y842,0,IF((J842+K842+L842+M842)/2&gt;=80,5,IF((J842+K842+L842+M842)/2&gt;=70,4,IF((J842+K842+L842+M842)/2&gt;=60,3.5,IF((J842+K842+L842+M842)/2&gt;=50,3,IF((J842+K842+L842+M842)/2&gt;=40,2,IF((J842+K842+L842+M842)/2&gt;=33,1,0)))))))</f>
        <v/>
      </c>
      <c r="AH842">
        <f>IF(Z842,0,IF(N842+O842&gt;=80,5,IF(N842+O842&gt;=70,4,IF(N842+O842&gt;=60,3.5,IF(N842+O842&gt;=50,3,IF(N842+O842&gt;=40,2,IF(N842+O842&gt;=33,1,0)))))))</f>
        <v/>
      </c>
      <c r="AI842">
        <f>IF(AA842,0,IF(P842+Q842&gt;=80,5,IF(P842+Q842&gt;=70,4,IF(P842+Q842&gt;=60,3.5,IF(P842+Q842&gt;=50,3,IF(P842+Q842&gt;=40,2,IF(P842+Q842&gt;=33,1,0)))))))</f>
        <v/>
      </c>
      <c r="AJ842">
        <f>IF(R842&lt;8.25,0,IF(R842*2&gt;=80,5,IF(R842*2&gt;=70,4,IF(R842*2&gt;=60,3.5,IF(R842*2&gt;=50,3,IF(R842*2&gt;=40,2,IF(R842*2&gt;=33,1,0)))))))</f>
        <v/>
      </c>
      <c r="AK842">
        <f>IF(S842&lt;33,0,IF(S842&gt;=80,5,IF(S842&gt;=70,4,IF(S842&gt;=60,3.5,IF(S842&gt;=50,3,IF(S842&gt;=40,2,IF(S842&gt;=33,1,0)))))))</f>
        <v/>
      </c>
      <c r="AL842">
        <f>(AC842+AD842+AE842+AF842+AG842+AH842+AI842+AJ842)/8</f>
        <v/>
      </c>
      <c r="AM842">
        <f>IF(AK842&gt;=2,(AK842-2)/8,0)</f>
        <v/>
      </c>
    </row>
    <row r="843">
      <c r="T843">
        <f>SUM(C843:R843)</f>
        <v/>
      </c>
      <c r="U843" s="6">
        <f>ROUND(T843/11.5,2)</f>
        <v/>
      </c>
      <c r="V843" s="7">
        <f>IF(B843="","",IF(AB843,0,ROUND(AL843,2)))</f>
        <v/>
      </c>
      <c r="W843" s="7">
        <f>IF(B843="","",IF(AB843,0,MIN(5,ROUND(AL843+AM843,2))))</f>
        <v/>
      </c>
      <c r="X843" s="8">
        <f>IF(B843="","",IF(W843&gt;=5,"A+",IF(W843&gt;=4,"A",IF(W843&gt;=3.5,"A-",IF(W843&gt;=3,"B",IF(W843&gt;=2,"C",IF(W843&gt;=1,"D","F")))))))</f>
        <v/>
      </c>
      <c r="Y843">
        <f>NOT(OR(AND(J843&gt;=10,K843&gt;=23,L843&gt;=10,M843&gt;=23),AND(J843+L843&gt;=20,K843+M843&gt;=46)))</f>
        <v/>
      </c>
      <c r="Z843">
        <f>OR(N843&lt;10,O843&lt;23)</f>
        <v/>
      </c>
      <c r="AA843">
        <f>OR(P843&lt;10,Q843&lt;23)</f>
        <v/>
      </c>
      <c r="AB843">
        <f>OR((C843+D843)&lt;66,(E843+F843)&lt;66,G843&lt;33,(H843+I843)&lt;66,Y843,Z843,AA843,R843&lt;8.25)</f>
        <v/>
      </c>
      <c r="AC843">
        <f>IF(C843+D843&lt;66,0,IF((C843+D843)/2&gt;=80,5,IF((C843+D843)/2&gt;=70,4,IF((C843+D843)/2&gt;=60,3.5,IF((C843+D843)/2&gt;=50,3,IF((C843+D843)/2&gt;=40,2,IF((C843+D843)/2&gt;=33,1,0)))))))</f>
        <v/>
      </c>
      <c r="AD843">
        <f>IF(E843+F843&lt;66,0,IF((E843+F843)/2&gt;=80,5,IF((E843+F843)/2&gt;=70,4,IF((E843+F843)/2&gt;=60,3.5,IF((E843+F843)/2&gt;=50,3,IF((E843+F843)/2&gt;=40,2,IF((E843+F843)/2&gt;=33,1,0)))))))</f>
        <v/>
      </c>
      <c r="AE843">
        <f>IF(G843&lt;33,0,IF(G843&gt;=80,5,IF(G843&gt;=70,4,IF(G843&gt;=60,3.5,IF(G843&gt;=50,3,IF(G843&gt;=40,2,IF(G843&gt;=33,1,0)))))))</f>
        <v/>
      </c>
      <c r="AF843">
        <f>IF(H843+I843&lt;66,0,IF((H843+I843)/2&gt;=80,5,IF((H843+I843)/2&gt;=70,4,IF((H843+I843)/2&gt;=60,3.5,IF((H843+I843)/2&gt;=50,3,IF((H843+I843)/2&gt;=40,2,IF((H843+I843)/2&gt;=33,1,0)))))))</f>
        <v/>
      </c>
      <c r="AG843">
        <f>IF(Y843,0,IF((J843+K843+L843+M843)/2&gt;=80,5,IF((J843+K843+L843+M843)/2&gt;=70,4,IF((J843+K843+L843+M843)/2&gt;=60,3.5,IF((J843+K843+L843+M843)/2&gt;=50,3,IF((J843+K843+L843+M843)/2&gt;=40,2,IF((J843+K843+L843+M843)/2&gt;=33,1,0)))))))</f>
        <v/>
      </c>
      <c r="AH843">
        <f>IF(Z843,0,IF(N843+O843&gt;=80,5,IF(N843+O843&gt;=70,4,IF(N843+O843&gt;=60,3.5,IF(N843+O843&gt;=50,3,IF(N843+O843&gt;=40,2,IF(N843+O843&gt;=33,1,0)))))))</f>
        <v/>
      </c>
      <c r="AI843">
        <f>IF(AA843,0,IF(P843+Q843&gt;=80,5,IF(P843+Q843&gt;=70,4,IF(P843+Q843&gt;=60,3.5,IF(P843+Q843&gt;=50,3,IF(P843+Q843&gt;=40,2,IF(P843+Q843&gt;=33,1,0)))))))</f>
        <v/>
      </c>
      <c r="AJ843">
        <f>IF(R843&lt;8.25,0,IF(R843*2&gt;=80,5,IF(R843*2&gt;=70,4,IF(R843*2&gt;=60,3.5,IF(R843*2&gt;=50,3,IF(R843*2&gt;=40,2,IF(R843*2&gt;=33,1,0)))))))</f>
        <v/>
      </c>
      <c r="AK843">
        <f>IF(S843&lt;33,0,IF(S843&gt;=80,5,IF(S843&gt;=70,4,IF(S843&gt;=60,3.5,IF(S843&gt;=50,3,IF(S843&gt;=40,2,IF(S843&gt;=33,1,0)))))))</f>
        <v/>
      </c>
      <c r="AL843">
        <f>(AC843+AD843+AE843+AF843+AG843+AH843+AI843+AJ843)/8</f>
        <v/>
      </c>
      <c r="AM843">
        <f>IF(AK843&gt;=2,(AK843-2)/8,0)</f>
        <v/>
      </c>
    </row>
    <row r="844">
      <c r="T844">
        <f>SUM(C844:R844)</f>
        <v/>
      </c>
      <c r="U844" s="6">
        <f>ROUND(T844/11.5,2)</f>
        <v/>
      </c>
      <c r="V844" s="7">
        <f>IF(B844="","",IF(AB844,0,ROUND(AL844,2)))</f>
        <v/>
      </c>
      <c r="W844" s="7">
        <f>IF(B844="","",IF(AB844,0,MIN(5,ROUND(AL844+AM844,2))))</f>
        <v/>
      </c>
      <c r="X844" s="8">
        <f>IF(B844="","",IF(W844&gt;=5,"A+",IF(W844&gt;=4,"A",IF(W844&gt;=3.5,"A-",IF(W844&gt;=3,"B",IF(W844&gt;=2,"C",IF(W844&gt;=1,"D","F")))))))</f>
        <v/>
      </c>
      <c r="Y844">
        <f>NOT(OR(AND(J844&gt;=10,K844&gt;=23,L844&gt;=10,M844&gt;=23),AND(J844+L844&gt;=20,K844+M844&gt;=46)))</f>
        <v/>
      </c>
      <c r="Z844">
        <f>OR(N844&lt;10,O844&lt;23)</f>
        <v/>
      </c>
      <c r="AA844">
        <f>OR(P844&lt;10,Q844&lt;23)</f>
        <v/>
      </c>
      <c r="AB844">
        <f>OR((C844+D844)&lt;66,(E844+F844)&lt;66,G844&lt;33,(H844+I844)&lt;66,Y844,Z844,AA844,R844&lt;8.25)</f>
        <v/>
      </c>
      <c r="AC844">
        <f>IF(C844+D844&lt;66,0,IF((C844+D844)/2&gt;=80,5,IF((C844+D844)/2&gt;=70,4,IF((C844+D844)/2&gt;=60,3.5,IF((C844+D844)/2&gt;=50,3,IF((C844+D844)/2&gt;=40,2,IF((C844+D844)/2&gt;=33,1,0)))))))</f>
        <v/>
      </c>
      <c r="AD844">
        <f>IF(E844+F844&lt;66,0,IF((E844+F844)/2&gt;=80,5,IF((E844+F844)/2&gt;=70,4,IF((E844+F844)/2&gt;=60,3.5,IF((E844+F844)/2&gt;=50,3,IF((E844+F844)/2&gt;=40,2,IF((E844+F844)/2&gt;=33,1,0)))))))</f>
        <v/>
      </c>
      <c r="AE844">
        <f>IF(G844&lt;33,0,IF(G844&gt;=80,5,IF(G844&gt;=70,4,IF(G844&gt;=60,3.5,IF(G844&gt;=50,3,IF(G844&gt;=40,2,IF(G844&gt;=33,1,0)))))))</f>
        <v/>
      </c>
      <c r="AF844">
        <f>IF(H844+I844&lt;66,0,IF((H844+I844)/2&gt;=80,5,IF((H844+I844)/2&gt;=70,4,IF((H844+I844)/2&gt;=60,3.5,IF((H844+I844)/2&gt;=50,3,IF((H844+I844)/2&gt;=40,2,IF((H844+I844)/2&gt;=33,1,0)))))))</f>
        <v/>
      </c>
      <c r="AG844">
        <f>IF(Y844,0,IF((J844+K844+L844+M844)/2&gt;=80,5,IF((J844+K844+L844+M844)/2&gt;=70,4,IF((J844+K844+L844+M844)/2&gt;=60,3.5,IF((J844+K844+L844+M844)/2&gt;=50,3,IF((J844+K844+L844+M844)/2&gt;=40,2,IF((J844+K844+L844+M844)/2&gt;=33,1,0)))))))</f>
        <v/>
      </c>
      <c r="AH844">
        <f>IF(Z844,0,IF(N844+O844&gt;=80,5,IF(N844+O844&gt;=70,4,IF(N844+O844&gt;=60,3.5,IF(N844+O844&gt;=50,3,IF(N844+O844&gt;=40,2,IF(N844+O844&gt;=33,1,0)))))))</f>
        <v/>
      </c>
      <c r="AI844">
        <f>IF(AA844,0,IF(P844+Q844&gt;=80,5,IF(P844+Q844&gt;=70,4,IF(P844+Q844&gt;=60,3.5,IF(P844+Q844&gt;=50,3,IF(P844+Q844&gt;=40,2,IF(P844+Q844&gt;=33,1,0)))))))</f>
        <v/>
      </c>
      <c r="AJ844">
        <f>IF(R844&lt;8.25,0,IF(R844*2&gt;=80,5,IF(R844*2&gt;=70,4,IF(R844*2&gt;=60,3.5,IF(R844*2&gt;=50,3,IF(R844*2&gt;=40,2,IF(R844*2&gt;=33,1,0)))))))</f>
        <v/>
      </c>
      <c r="AK844">
        <f>IF(S844&lt;33,0,IF(S844&gt;=80,5,IF(S844&gt;=70,4,IF(S844&gt;=60,3.5,IF(S844&gt;=50,3,IF(S844&gt;=40,2,IF(S844&gt;=33,1,0)))))))</f>
        <v/>
      </c>
      <c r="AL844">
        <f>(AC844+AD844+AE844+AF844+AG844+AH844+AI844+AJ844)/8</f>
        <v/>
      </c>
      <c r="AM844">
        <f>IF(AK844&gt;=2,(AK844-2)/8,0)</f>
        <v/>
      </c>
    </row>
    <row r="845">
      <c r="T845">
        <f>SUM(C845:R845)</f>
        <v/>
      </c>
      <c r="U845" s="6">
        <f>ROUND(T845/11.5,2)</f>
        <v/>
      </c>
      <c r="V845" s="7">
        <f>IF(B845="","",IF(AB845,0,ROUND(AL845,2)))</f>
        <v/>
      </c>
      <c r="W845" s="7">
        <f>IF(B845="","",IF(AB845,0,MIN(5,ROUND(AL845+AM845,2))))</f>
        <v/>
      </c>
      <c r="X845" s="8">
        <f>IF(B845="","",IF(W845&gt;=5,"A+",IF(W845&gt;=4,"A",IF(W845&gt;=3.5,"A-",IF(W845&gt;=3,"B",IF(W845&gt;=2,"C",IF(W845&gt;=1,"D","F")))))))</f>
        <v/>
      </c>
      <c r="Y845">
        <f>NOT(OR(AND(J845&gt;=10,K845&gt;=23,L845&gt;=10,M845&gt;=23),AND(J845+L845&gt;=20,K845+M845&gt;=46)))</f>
        <v/>
      </c>
      <c r="Z845">
        <f>OR(N845&lt;10,O845&lt;23)</f>
        <v/>
      </c>
      <c r="AA845">
        <f>OR(P845&lt;10,Q845&lt;23)</f>
        <v/>
      </c>
      <c r="AB845">
        <f>OR((C845+D845)&lt;66,(E845+F845)&lt;66,G845&lt;33,(H845+I845)&lt;66,Y845,Z845,AA845,R845&lt;8.25)</f>
        <v/>
      </c>
      <c r="AC845">
        <f>IF(C845+D845&lt;66,0,IF((C845+D845)/2&gt;=80,5,IF((C845+D845)/2&gt;=70,4,IF((C845+D845)/2&gt;=60,3.5,IF((C845+D845)/2&gt;=50,3,IF((C845+D845)/2&gt;=40,2,IF((C845+D845)/2&gt;=33,1,0)))))))</f>
        <v/>
      </c>
      <c r="AD845">
        <f>IF(E845+F845&lt;66,0,IF((E845+F845)/2&gt;=80,5,IF((E845+F845)/2&gt;=70,4,IF((E845+F845)/2&gt;=60,3.5,IF((E845+F845)/2&gt;=50,3,IF((E845+F845)/2&gt;=40,2,IF((E845+F845)/2&gt;=33,1,0)))))))</f>
        <v/>
      </c>
      <c r="AE845">
        <f>IF(G845&lt;33,0,IF(G845&gt;=80,5,IF(G845&gt;=70,4,IF(G845&gt;=60,3.5,IF(G845&gt;=50,3,IF(G845&gt;=40,2,IF(G845&gt;=33,1,0)))))))</f>
        <v/>
      </c>
      <c r="AF845">
        <f>IF(H845+I845&lt;66,0,IF((H845+I845)/2&gt;=80,5,IF((H845+I845)/2&gt;=70,4,IF((H845+I845)/2&gt;=60,3.5,IF((H845+I845)/2&gt;=50,3,IF((H845+I845)/2&gt;=40,2,IF((H845+I845)/2&gt;=33,1,0)))))))</f>
        <v/>
      </c>
      <c r="AG845">
        <f>IF(Y845,0,IF((J845+K845+L845+M845)/2&gt;=80,5,IF((J845+K845+L845+M845)/2&gt;=70,4,IF((J845+K845+L845+M845)/2&gt;=60,3.5,IF((J845+K845+L845+M845)/2&gt;=50,3,IF((J845+K845+L845+M845)/2&gt;=40,2,IF((J845+K845+L845+M845)/2&gt;=33,1,0)))))))</f>
        <v/>
      </c>
      <c r="AH845">
        <f>IF(Z845,0,IF(N845+O845&gt;=80,5,IF(N845+O845&gt;=70,4,IF(N845+O845&gt;=60,3.5,IF(N845+O845&gt;=50,3,IF(N845+O845&gt;=40,2,IF(N845+O845&gt;=33,1,0)))))))</f>
        <v/>
      </c>
      <c r="AI845">
        <f>IF(AA845,0,IF(P845+Q845&gt;=80,5,IF(P845+Q845&gt;=70,4,IF(P845+Q845&gt;=60,3.5,IF(P845+Q845&gt;=50,3,IF(P845+Q845&gt;=40,2,IF(P845+Q845&gt;=33,1,0)))))))</f>
        <v/>
      </c>
      <c r="AJ845">
        <f>IF(R845&lt;8.25,0,IF(R845*2&gt;=80,5,IF(R845*2&gt;=70,4,IF(R845*2&gt;=60,3.5,IF(R845*2&gt;=50,3,IF(R845*2&gt;=40,2,IF(R845*2&gt;=33,1,0)))))))</f>
        <v/>
      </c>
      <c r="AK845">
        <f>IF(S845&lt;33,0,IF(S845&gt;=80,5,IF(S845&gt;=70,4,IF(S845&gt;=60,3.5,IF(S845&gt;=50,3,IF(S845&gt;=40,2,IF(S845&gt;=33,1,0)))))))</f>
        <v/>
      </c>
      <c r="AL845">
        <f>(AC845+AD845+AE845+AF845+AG845+AH845+AI845+AJ845)/8</f>
        <v/>
      </c>
      <c r="AM845">
        <f>IF(AK845&gt;=2,(AK845-2)/8,0)</f>
        <v/>
      </c>
    </row>
    <row r="846">
      <c r="T846">
        <f>SUM(C846:R846)</f>
        <v/>
      </c>
      <c r="U846" s="6">
        <f>ROUND(T846/11.5,2)</f>
        <v/>
      </c>
      <c r="V846" s="7">
        <f>IF(B846="","",IF(AB846,0,ROUND(AL846,2)))</f>
        <v/>
      </c>
      <c r="W846" s="7">
        <f>IF(B846="","",IF(AB846,0,MIN(5,ROUND(AL846+AM846,2))))</f>
        <v/>
      </c>
      <c r="X846" s="8">
        <f>IF(B846="","",IF(W846&gt;=5,"A+",IF(W846&gt;=4,"A",IF(W846&gt;=3.5,"A-",IF(W846&gt;=3,"B",IF(W846&gt;=2,"C",IF(W846&gt;=1,"D","F")))))))</f>
        <v/>
      </c>
      <c r="Y846">
        <f>NOT(OR(AND(J846&gt;=10,K846&gt;=23,L846&gt;=10,M846&gt;=23),AND(J846+L846&gt;=20,K846+M846&gt;=46)))</f>
        <v/>
      </c>
      <c r="Z846">
        <f>OR(N846&lt;10,O846&lt;23)</f>
        <v/>
      </c>
      <c r="AA846">
        <f>OR(P846&lt;10,Q846&lt;23)</f>
        <v/>
      </c>
      <c r="AB846">
        <f>OR((C846+D846)&lt;66,(E846+F846)&lt;66,G846&lt;33,(H846+I846)&lt;66,Y846,Z846,AA846,R846&lt;8.25)</f>
        <v/>
      </c>
      <c r="AC846">
        <f>IF(C846+D846&lt;66,0,IF((C846+D846)/2&gt;=80,5,IF((C846+D846)/2&gt;=70,4,IF((C846+D846)/2&gt;=60,3.5,IF((C846+D846)/2&gt;=50,3,IF((C846+D846)/2&gt;=40,2,IF((C846+D846)/2&gt;=33,1,0)))))))</f>
        <v/>
      </c>
      <c r="AD846">
        <f>IF(E846+F846&lt;66,0,IF((E846+F846)/2&gt;=80,5,IF((E846+F846)/2&gt;=70,4,IF((E846+F846)/2&gt;=60,3.5,IF((E846+F846)/2&gt;=50,3,IF((E846+F846)/2&gt;=40,2,IF((E846+F846)/2&gt;=33,1,0)))))))</f>
        <v/>
      </c>
      <c r="AE846">
        <f>IF(G846&lt;33,0,IF(G846&gt;=80,5,IF(G846&gt;=70,4,IF(G846&gt;=60,3.5,IF(G846&gt;=50,3,IF(G846&gt;=40,2,IF(G846&gt;=33,1,0)))))))</f>
        <v/>
      </c>
      <c r="AF846">
        <f>IF(H846+I846&lt;66,0,IF((H846+I846)/2&gt;=80,5,IF((H846+I846)/2&gt;=70,4,IF((H846+I846)/2&gt;=60,3.5,IF((H846+I846)/2&gt;=50,3,IF((H846+I846)/2&gt;=40,2,IF((H846+I846)/2&gt;=33,1,0)))))))</f>
        <v/>
      </c>
      <c r="AG846">
        <f>IF(Y846,0,IF((J846+K846+L846+M846)/2&gt;=80,5,IF((J846+K846+L846+M846)/2&gt;=70,4,IF((J846+K846+L846+M846)/2&gt;=60,3.5,IF((J846+K846+L846+M846)/2&gt;=50,3,IF((J846+K846+L846+M846)/2&gt;=40,2,IF((J846+K846+L846+M846)/2&gt;=33,1,0)))))))</f>
        <v/>
      </c>
      <c r="AH846">
        <f>IF(Z846,0,IF(N846+O846&gt;=80,5,IF(N846+O846&gt;=70,4,IF(N846+O846&gt;=60,3.5,IF(N846+O846&gt;=50,3,IF(N846+O846&gt;=40,2,IF(N846+O846&gt;=33,1,0)))))))</f>
        <v/>
      </c>
      <c r="AI846">
        <f>IF(AA846,0,IF(P846+Q846&gt;=80,5,IF(P846+Q846&gt;=70,4,IF(P846+Q846&gt;=60,3.5,IF(P846+Q846&gt;=50,3,IF(P846+Q846&gt;=40,2,IF(P846+Q846&gt;=33,1,0)))))))</f>
        <v/>
      </c>
      <c r="AJ846">
        <f>IF(R846&lt;8.25,0,IF(R846*2&gt;=80,5,IF(R846*2&gt;=70,4,IF(R846*2&gt;=60,3.5,IF(R846*2&gt;=50,3,IF(R846*2&gt;=40,2,IF(R846*2&gt;=33,1,0)))))))</f>
        <v/>
      </c>
      <c r="AK846">
        <f>IF(S846&lt;33,0,IF(S846&gt;=80,5,IF(S846&gt;=70,4,IF(S846&gt;=60,3.5,IF(S846&gt;=50,3,IF(S846&gt;=40,2,IF(S846&gt;=33,1,0)))))))</f>
        <v/>
      </c>
      <c r="AL846">
        <f>(AC846+AD846+AE846+AF846+AG846+AH846+AI846+AJ846)/8</f>
        <v/>
      </c>
      <c r="AM846">
        <f>IF(AK846&gt;=2,(AK846-2)/8,0)</f>
        <v/>
      </c>
    </row>
    <row r="847">
      <c r="T847">
        <f>SUM(C847:R847)</f>
        <v/>
      </c>
      <c r="U847" s="6">
        <f>ROUND(T847/11.5,2)</f>
        <v/>
      </c>
      <c r="V847" s="7">
        <f>IF(B847="","",IF(AB847,0,ROUND(AL847,2)))</f>
        <v/>
      </c>
      <c r="W847" s="7">
        <f>IF(B847="","",IF(AB847,0,MIN(5,ROUND(AL847+AM847,2))))</f>
        <v/>
      </c>
      <c r="X847" s="8">
        <f>IF(B847="","",IF(W847&gt;=5,"A+",IF(W847&gt;=4,"A",IF(W847&gt;=3.5,"A-",IF(W847&gt;=3,"B",IF(W847&gt;=2,"C",IF(W847&gt;=1,"D","F")))))))</f>
        <v/>
      </c>
      <c r="Y847">
        <f>NOT(OR(AND(J847&gt;=10,K847&gt;=23,L847&gt;=10,M847&gt;=23),AND(J847+L847&gt;=20,K847+M847&gt;=46)))</f>
        <v/>
      </c>
      <c r="Z847">
        <f>OR(N847&lt;10,O847&lt;23)</f>
        <v/>
      </c>
      <c r="AA847">
        <f>OR(P847&lt;10,Q847&lt;23)</f>
        <v/>
      </c>
      <c r="AB847">
        <f>OR((C847+D847)&lt;66,(E847+F847)&lt;66,G847&lt;33,(H847+I847)&lt;66,Y847,Z847,AA847,R847&lt;8.25)</f>
        <v/>
      </c>
      <c r="AC847">
        <f>IF(C847+D847&lt;66,0,IF((C847+D847)/2&gt;=80,5,IF((C847+D847)/2&gt;=70,4,IF((C847+D847)/2&gt;=60,3.5,IF((C847+D847)/2&gt;=50,3,IF((C847+D847)/2&gt;=40,2,IF((C847+D847)/2&gt;=33,1,0)))))))</f>
        <v/>
      </c>
      <c r="AD847">
        <f>IF(E847+F847&lt;66,0,IF((E847+F847)/2&gt;=80,5,IF((E847+F847)/2&gt;=70,4,IF((E847+F847)/2&gt;=60,3.5,IF((E847+F847)/2&gt;=50,3,IF((E847+F847)/2&gt;=40,2,IF((E847+F847)/2&gt;=33,1,0)))))))</f>
        <v/>
      </c>
      <c r="AE847">
        <f>IF(G847&lt;33,0,IF(G847&gt;=80,5,IF(G847&gt;=70,4,IF(G847&gt;=60,3.5,IF(G847&gt;=50,3,IF(G847&gt;=40,2,IF(G847&gt;=33,1,0)))))))</f>
        <v/>
      </c>
      <c r="AF847">
        <f>IF(H847+I847&lt;66,0,IF((H847+I847)/2&gt;=80,5,IF((H847+I847)/2&gt;=70,4,IF((H847+I847)/2&gt;=60,3.5,IF((H847+I847)/2&gt;=50,3,IF((H847+I847)/2&gt;=40,2,IF((H847+I847)/2&gt;=33,1,0)))))))</f>
        <v/>
      </c>
      <c r="AG847">
        <f>IF(Y847,0,IF((J847+K847+L847+M847)/2&gt;=80,5,IF((J847+K847+L847+M847)/2&gt;=70,4,IF((J847+K847+L847+M847)/2&gt;=60,3.5,IF((J847+K847+L847+M847)/2&gt;=50,3,IF((J847+K847+L847+M847)/2&gt;=40,2,IF((J847+K847+L847+M847)/2&gt;=33,1,0)))))))</f>
        <v/>
      </c>
      <c r="AH847">
        <f>IF(Z847,0,IF(N847+O847&gt;=80,5,IF(N847+O847&gt;=70,4,IF(N847+O847&gt;=60,3.5,IF(N847+O847&gt;=50,3,IF(N847+O847&gt;=40,2,IF(N847+O847&gt;=33,1,0)))))))</f>
        <v/>
      </c>
      <c r="AI847">
        <f>IF(AA847,0,IF(P847+Q847&gt;=80,5,IF(P847+Q847&gt;=70,4,IF(P847+Q847&gt;=60,3.5,IF(P847+Q847&gt;=50,3,IF(P847+Q847&gt;=40,2,IF(P847+Q847&gt;=33,1,0)))))))</f>
        <v/>
      </c>
      <c r="AJ847">
        <f>IF(R847&lt;8.25,0,IF(R847*2&gt;=80,5,IF(R847*2&gt;=70,4,IF(R847*2&gt;=60,3.5,IF(R847*2&gt;=50,3,IF(R847*2&gt;=40,2,IF(R847*2&gt;=33,1,0)))))))</f>
        <v/>
      </c>
      <c r="AK847">
        <f>IF(S847&lt;33,0,IF(S847&gt;=80,5,IF(S847&gt;=70,4,IF(S847&gt;=60,3.5,IF(S847&gt;=50,3,IF(S847&gt;=40,2,IF(S847&gt;=33,1,0)))))))</f>
        <v/>
      </c>
      <c r="AL847">
        <f>(AC847+AD847+AE847+AF847+AG847+AH847+AI847+AJ847)/8</f>
        <v/>
      </c>
      <c r="AM847">
        <f>IF(AK847&gt;=2,(AK847-2)/8,0)</f>
        <v/>
      </c>
    </row>
    <row r="848">
      <c r="T848">
        <f>SUM(C848:R848)</f>
        <v/>
      </c>
      <c r="U848" s="6">
        <f>ROUND(T848/11.5,2)</f>
        <v/>
      </c>
      <c r="V848" s="7">
        <f>IF(B848="","",IF(AB848,0,ROUND(AL848,2)))</f>
        <v/>
      </c>
      <c r="W848" s="7">
        <f>IF(B848="","",IF(AB848,0,MIN(5,ROUND(AL848+AM848,2))))</f>
        <v/>
      </c>
      <c r="X848" s="8">
        <f>IF(B848="","",IF(W848&gt;=5,"A+",IF(W848&gt;=4,"A",IF(W848&gt;=3.5,"A-",IF(W848&gt;=3,"B",IF(W848&gt;=2,"C",IF(W848&gt;=1,"D","F")))))))</f>
        <v/>
      </c>
      <c r="Y848">
        <f>NOT(OR(AND(J848&gt;=10,K848&gt;=23,L848&gt;=10,M848&gt;=23),AND(J848+L848&gt;=20,K848+M848&gt;=46)))</f>
        <v/>
      </c>
      <c r="Z848">
        <f>OR(N848&lt;10,O848&lt;23)</f>
        <v/>
      </c>
      <c r="AA848">
        <f>OR(P848&lt;10,Q848&lt;23)</f>
        <v/>
      </c>
      <c r="AB848">
        <f>OR((C848+D848)&lt;66,(E848+F848)&lt;66,G848&lt;33,(H848+I848)&lt;66,Y848,Z848,AA848,R848&lt;8.25)</f>
        <v/>
      </c>
      <c r="AC848">
        <f>IF(C848+D848&lt;66,0,IF((C848+D848)/2&gt;=80,5,IF((C848+D848)/2&gt;=70,4,IF((C848+D848)/2&gt;=60,3.5,IF((C848+D848)/2&gt;=50,3,IF((C848+D848)/2&gt;=40,2,IF((C848+D848)/2&gt;=33,1,0)))))))</f>
        <v/>
      </c>
      <c r="AD848">
        <f>IF(E848+F848&lt;66,0,IF((E848+F848)/2&gt;=80,5,IF((E848+F848)/2&gt;=70,4,IF((E848+F848)/2&gt;=60,3.5,IF((E848+F848)/2&gt;=50,3,IF((E848+F848)/2&gt;=40,2,IF((E848+F848)/2&gt;=33,1,0)))))))</f>
        <v/>
      </c>
      <c r="AE848">
        <f>IF(G848&lt;33,0,IF(G848&gt;=80,5,IF(G848&gt;=70,4,IF(G848&gt;=60,3.5,IF(G848&gt;=50,3,IF(G848&gt;=40,2,IF(G848&gt;=33,1,0)))))))</f>
        <v/>
      </c>
      <c r="AF848">
        <f>IF(H848+I848&lt;66,0,IF((H848+I848)/2&gt;=80,5,IF((H848+I848)/2&gt;=70,4,IF((H848+I848)/2&gt;=60,3.5,IF((H848+I848)/2&gt;=50,3,IF((H848+I848)/2&gt;=40,2,IF((H848+I848)/2&gt;=33,1,0)))))))</f>
        <v/>
      </c>
      <c r="AG848">
        <f>IF(Y848,0,IF((J848+K848+L848+M848)/2&gt;=80,5,IF((J848+K848+L848+M848)/2&gt;=70,4,IF((J848+K848+L848+M848)/2&gt;=60,3.5,IF((J848+K848+L848+M848)/2&gt;=50,3,IF((J848+K848+L848+M848)/2&gt;=40,2,IF((J848+K848+L848+M848)/2&gt;=33,1,0)))))))</f>
        <v/>
      </c>
      <c r="AH848">
        <f>IF(Z848,0,IF(N848+O848&gt;=80,5,IF(N848+O848&gt;=70,4,IF(N848+O848&gt;=60,3.5,IF(N848+O848&gt;=50,3,IF(N848+O848&gt;=40,2,IF(N848+O848&gt;=33,1,0)))))))</f>
        <v/>
      </c>
      <c r="AI848">
        <f>IF(AA848,0,IF(P848+Q848&gt;=80,5,IF(P848+Q848&gt;=70,4,IF(P848+Q848&gt;=60,3.5,IF(P848+Q848&gt;=50,3,IF(P848+Q848&gt;=40,2,IF(P848+Q848&gt;=33,1,0)))))))</f>
        <v/>
      </c>
      <c r="AJ848">
        <f>IF(R848&lt;8.25,0,IF(R848*2&gt;=80,5,IF(R848*2&gt;=70,4,IF(R848*2&gt;=60,3.5,IF(R848*2&gt;=50,3,IF(R848*2&gt;=40,2,IF(R848*2&gt;=33,1,0)))))))</f>
        <v/>
      </c>
      <c r="AK848">
        <f>IF(S848&lt;33,0,IF(S848&gt;=80,5,IF(S848&gt;=70,4,IF(S848&gt;=60,3.5,IF(S848&gt;=50,3,IF(S848&gt;=40,2,IF(S848&gt;=33,1,0)))))))</f>
        <v/>
      </c>
      <c r="AL848">
        <f>(AC848+AD848+AE848+AF848+AG848+AH848+AI848+AJ848)/8</f>
        <v/>
      </c>
      <c r="AM848">
        <f>IF(AK848&gt;=2,(AK848-2)/8,0)</f>
        <v/>
      </c>
    </row>
    <row r="849">
      <c r="T849">
        <f>SUM(C849:R849)</f>
        <v/>
      </c>
      <c r="U849" s="6">
        <f>ROUND(T849/11.5,2)</f>
        <v/>
      </c>
      <c r="V849" s="7">
        <f>IF(B849="","",IF(AB849,0,ROUND(AL849,2)))</f>
        <v/>
      </c>
      <c r="W849" s="7">
        <f>IF(B849="","",IF(AB849,0,MIN(5,ROUND(AL849+AM849,2))))</f>
        <v/>
      </c>
      <c r="X849" s="8">
        <f>IF(B849="","",IF(W849&gt;=5,"A+",IF(W849&gt;=4,"A",IF(W849&gt;=3.5,"A-",IF(W849&gt;=3,"B",IF(W849&gt;=2,"C",IF(W849&gt;=1,"D","F")))))))</f>
        <v/>
      </c>
      <c r="Y849">
        <f>NOT(OR(AND(J849&gt;=10,K849&gt;=23,L849&gt;=10,M849&gt;=23),AND(J849+L849&gt;=20,K849+M849&gt;=46)))</f>
        <v/>
      </c>
      <c r="Z849">
        <f>OR(N849&lt;10,O849&lt;23)</f>
        <v/>
      </c>
      <c r="AA849">
        <f>OR(P849&lt;10,Q849&lt;23)</f>
        <v/>
      </c>
      <c r="AB849">
        <f>OR((C849+D849)&lt;66,(E849+F849)&lt;66,G849&lt;33,(H849+I849)&lt;66,Y849,Z849,AA849,R849&lt;8.25)</f>
        <v/>
      </c>
      <c r="AC849">
        <f>IF(C849+D849&lt;66,0,IF((C849+D849)/2&gt;=80,5,IF((C849+D849)/2&gt;=70,4,IF((C849+D849)/2&gt;=60,3.5,IF((C849+D849)/2&gt;=50,3,IF((C849+D849)/2&gt;=40,2,IF((C849+D849)/2&gt;=33,1,0)))))))</f>
        <v/>
      </c>
      <c r="AD849">
        <f>IF(E849+F849&lt;66,0,IF((E849+F849)/2&gt;=80,5,IF((E849+F849)/2&gt;=70,4,IF((E849+F849)/2&gt;=60,3.5,IF((E849+F849)/2&gt;=50,3,IF((E849+F849)/2&gt;=40,2,IF((E849+F849)/2&gt;=33,1,0)))))))</f>
        <v/>
      </c>
      <c r="AE849">
        <f>IF(G849&lt;33,0,IF(G849&gt;=80,5,IF(G849&gt;=70,4,IF(G849&gt;=60,3.5,IF(G849&gt;=50,3,IF(G849&gt;=40,2,IF(G849&gt;=33,1,0)))))))</f>
        <v/>
      </c>
      <c r="AF849">
        <f>IF(H849+I849&lt;66,0,IF((H849+I849)/2&gt;=80,5,IF((H849+I849)/2&gt;=70,4,IF((H849+I849)/2&gt;=60,3.5,IF((H849+I849)/2&gt;=50,3,IF((H849+I849)/2&gt;=40,2,IF((H849+I849)/2&gt;=33,1,0)))))))</f>
        <v/>
      </c>
      <c r="AG849">
        <f>IF(Y849,0,IF((J849+K849+L849+M849)/2&gt;=80,5,IF((J849+K849+L849+M849)/2&gt;=70,4,IF((J849+K849+L849+M849)/2&gt;=60,3.5,IF((J849+K849+L849+M849)/2&gt;=50,3,IF((J849+K849+L849+M849)/2&gt;=40,2,IF((J849+K849+L849+M849)/2&gt;=33,1,0)))))))</f>
        <v/>
      </c>
      <c r="AH849">
        <f>IF(Z849,0,IF(N849+O849&gt;=80,5,IF(N849+O849&gt;=70,4,IF(N849+O849&gt;=60,3.5,IF(N849+O849&gt;=50,3,IF(N849+O849&gt;=40,2,IF(N849+O849&gt;=33,1,0)))))))</f>
        <v/>
      </c>
      <c r="AI849">
        <f>IF(AA849,0,IF(P849+Q849&gt;=80,5,IF(P849+Q849&gt;=70,4,IF(P849+Q849&gt;=60,3.5,IF(P849+Q849&gt;=50,3,IF(P849+Q849&gt;=40,2,IF(P849+Q849&gt;=33,1,0)))))))</f>
        <v/>
      </c>
      <c r="AJ849">
        <f>IF(R849&lt;8.25,0,IF(R849*2&gt;=80,5,IF(R849*2&gt;=70,4,IF(R849*2&gt;=60,3.5,IF(R849*2&gt;=50,3,IF(R849*2&gt;=40,2,IF(R849*2&gt;=33,1,0)))))))</f>
        <v/>
      </c>
      <c r="AK849">
        <f>IF(S849&lt;33,0,IF(S849&gt;=80,5,IF(S849&gt;=70,4,IF(S849&gt;=60,3.5,IF(S849&gt;=50,3,IF(S849&gt;=40,2,IF(S849&gt;=33,1,0)))))))</f>
        <v/>
      </c>
      <c r="AL849">
        <f>(AC849+AD849+AE849+AF849+AG849+AH849+AI849+AJ849)/8</f>
        <v/>
      </c>
      <c r="AM849">
        <f>IF(AK849&gt;=2,(AK849-2)/8,0)</f>
        <v/>
      </c>
    </row>
    <row r="850">
      <c r="T850">
        <f>SUM(C850:R850)</f>
        <v/>
      </c>
      <c r="U850" s="6">
        <f>ROUND(T850/11.5,2)</f>
        <v/>
      </c>
      <c r="V850" s="7">
        <f>IF(B850="","",IF(AB850,0,ROUND(AL850,2)))</f>
        <v/>
      </c>
      <c r="W850" s="7">
        <f>IF(B850="","",IF(AB850,0,MIN(5,ROUND(AL850+AM850,2))))</f>
        <v/>
      </c>
      <c r="X850" s="8">
        <f>IF(B850="","",IF(W850&gt;=5,"A+",IF(W850&gt;=4,"A",IF(W850&gt;=3.5,"A-",IF(W850&gt;=3,"B",IF(W850&gt;=2,"C",IF(W850&gt;=1,"D","F")))))))</f>
        <v/>
      </c>
      <c r="Y850">
        <f>NOT(OR(AND(J850&gt;=10,K850&gt;=23,L850&gt;=10,M850&gt;=23),AND(J850+L850&gt;=20,K850+M850&gt;=46)))</f>
        <v/>
      </c>
      <c r="Z850">
        <f>OR(N850&lt;10,O850&lt;23)</f>
        <v/>
      </c>
      <c r="AA850">
        <f>OR(P850&lt;10,Q850&lt;23)</f>
        <v/>
      </c>
      <c r="AB850">
        <f>OR((C850+D850)&lt;66,(E850+F850)&lt;66,G850&lt;33,(H850+I850)&lt;66,Y850,Z850,AA850,R850&lt;8.25)</f>
        <v/>
      </c>
      <c r="AC850">
        <f>IF(C850+D850&lt;66,0,IF((C850+D850)/2&gt;=80,5,IF((C850+D850)/2&gt;=70,4,IF((C850+D850)/2&gt;=60,3.5,IF((C850+D850)/2&gt;=50,3,IF((C850+D850)/2&gt;=40,2,IF((C850+D850)/2&gt;=33,1,0)))))))</f>
        <v/>
      </c>
      <c r="AD850">
        <f>IF(E850+F850&lt;66,0,IF((E850+F850)/2&gt;=80,5,IF((E850+F850)/2&gt;=70,4,IF((E850+F850)/2&gt;=60,3.5,IF((E850+F850)/2&gt;=50,3,IF((E850+F850)/2&gt;=40,2,IF((E850+F850)/2&gt;=33,1,0)))))))</f>
        <v/>
      </c>
      <c r="AE850">
        <f>IF(G850&lt;33,0,IF(G850&gt;=80,5,IF(G850&gt;=70,4,IF(G850&gt;=60,3.5,IF(G850&gt;=50,3,IF(G850&gt;=40,2,IF(G850&gt;=33,1,0)))))))</f>
        <v/>
      </c>
      <c r="AF850">
        <f>IF(H850+I850&lt;66,0,IF((H850+I850)/2&gt;=80,5,IF((H850+I850)/2&gt;=70,4,IF((H850+I850)/2&gt;=60,3.5,IF((H850+I850)/2&gt;=50,3,IF((H850+I850)/2&gt;=40,2,IF((H850+I850)/2&gt;=33,1,0)))))))</f>
        <v/>
      </c>
      <c r="AG850">
        <f>IF(Y850,0,IF((J850+K850+L850+M850)/2&gt;=80,5,IF((J850+K850+L850+M850)/2&gt;=70,4,IF((J850+K850+L850+M850)/2&gt;=60,3.5,IF((J850+K850+L850+M850)/2&gt;=50,3,IF((J850+K850+L850+M850)/2&gt;=40,2,IF((J850+K850+L850+M850)/2&gt;=33,1,0)))))))</f>
        <v/>
      </c>
      <c r="AH850">
        <f>IF(Z850,0,IF(N850+O850&gt;=80,5,IF(N850+O850&gt;=70,4,IF(N850+O850&gt;=60,3.5,IF(N850+O850&gt;=50,3,IF(N850+O850&gt;=40,2,IF(N850+O850&gt;=33,1,0)))))))</f>
        <v/>
      </c>
      <c r="AI850">
        <f>IF(AA850,0,IF(P850+Q850&gt;=80,5,IF(P850+Q850&gt;=70,4,IF(P850+Q850&gt;=60,3.5,IF(P850+Q850&gt;=50,3,IF(P850+Q850&gt;=40,2,IF(P850+Q850&gt;=33,1,0)))))))</f>
        <v/>
      </c>
      <c r="AJ850">
        <f>IF(R850&lt;8.25,0,IF(R850*2&gt;=80,5,IF(R850*2&gt;=70,4,IF(R850*2&gt;=60,3.5,IF(R850*2&gt;=50,3,IF(R850*2&gt;=40,2,IF(R850*2&gt;=33,1,0)))))))</f>
        <v/>
      </c>
      <c r="AK850">
        <f>IF(S850&lt;33,0,IF(S850&gt;=80,5,IF(S850&gt;=70,4,IF(S850&gt;=60,3.5,IF(S850&gt;=50,3,IF(S850&gt;=40,2,IF(S850&gt;=33,1,0)))))))</f>
        <v/>
      </c>
      <c r="AL850">
        <f>(AC850+AD850+AE850+AF850+AG850+AH850+AI850+AJ850)/8</f>
        <v/>
      </c>
      <c r="AM850">
        <f>IF(AK850&gt;=2,(AK850-2)/8,0)</f>
        <v/>
      </c>
    </row>
    <row r="851">
      <c r="T851">
        <f>SUM(C851:R851)</f>
        <v/>
      </c>
      <c r="U851" s="6">
        <f>ROUND(T851/11.5,2)</f>
        <v/>
      </c>
      <c r="V851" s="7">
        <f>IF(B851="","",IF(AB851,0,ROUND(AL851,2)))</f>
        <v/>
      </c>
      <c r="W851" s="7">
        <f>IF(B851="","",IF(AB851,0,MIN(5,ROUND(AL851+AM851,2))))</f>
        <v/>
      </c>
      <c r="X851" s="8">
        <f>IF(B851="","",IF(W851&gt;=5,"A+",IF(W851&gt;=4,"A",IF(W851&gt;=3.5,"A-",IF(W851&gt;=3,"B",IF(W851&gt;=2,"C",IF(W851&gt;=1,"D","F")))))))</f>
        <v/>
      </c>
      <c r="Y851">
        <f>NOT(OR(AND(J851&gt;=10,K851&gt;=23,L851&gt;=10,M851&gt;=23),AND(J851+L851&gt;=20,K851+M851&gt;=46)))</f>
        <v/>
      </c>
      <c r="Z851">
        <f>OR(N851&lt;10,O851&lt;23)</f>
        <v/>
      </c>
      <c r="AA851">
        <f>OR(P851&lt;10,Q851&lt;23)</f>
        <v/>
      </c>
      <c r="AB851">
        <f>OR((C851+D851)&lt;66,(E851+F851)&lt;66,G851&lt;33,(H851+I851)&lt;66,Y851,Z851,AA851,R851&lt;8.25)</f>
        <v/>
      </c>
      <c r="AC851">
        <f>IF(C851+D851&lt;66,0,IF((C851+D851)/2&gt;=80,5,IF((C851+D851)/2&gt;=70,4,IF((C851+D851)/2&gt;=60,3.5,IF((C851+D851)/2&gt;=50,3,IF((C851+D851)/2&gt;=40,2,IF((C851+D851)/2&gt;=33,1,0)))))))</f>
        <v/>
      </c>
      <c r="AD851">
        <f>IF(E851+F851&lt;66,0,IF((E851+F851)/2&gt;=80,5,IF((E851+F851)/2&gt;=70,4,IF((E851+F851)/2&gt;=60,3.5,IF((E851+F851)/2&gt;=50,3,IF((E851+F851)/2&gt;=40,2,IF((E851+F851)/2&gt;=33,1,0)))))))</f>
        <v/>
      </c>
      <c r="AE851">
        <f>IF(G851&lt;33,0,IF(G851&gt;=80,5,IF(G851&gt;=70,4,IF(G851&gt;=60,3.5,IF(G851&gt;=50,3,IF(G851&gt;=40,2,IF(G851&gt;=33,1,0)))))))</f>
        <v/>
      </c>
      <c r="AF851">
        <f>IF(H851+I851&lt;66,0,IF((H851+I851)/2&gt;=80,5,IF((H851+I851)/2&gt;=70,4,IF((H851+I851)/2&gt;=60,3.5,IF((H851+I851)/2&gt;=50,3,IF((H851+I851)/2&gt;=40,2,IF((H851+I851)/2&gt;=33,1,0)))))))</f>
        <v/>
      </c>
      <c r="AG851">
        <f>IF(Y851,0,IF((J851+K851+L851+M851)/2&gt;=80,5,IF((J851+K851+L851+M851)/2&gt;=70,4,IF((J851+K851+L851+M851)/2&gt;=60,3.5,IF((J851+K851+L851+M851)/2&gt;=50,3,IF((J851+K851+L851+M851)/2&gt;=40,2,IF((J851+K851+L851+M851)/2&gt;=33,1,0)))))))</f>
        <v/>
      </c>
      <c r="AH851">
        <f>IF(Z851,0,IF(N851+O851&gt;=80,5,IF(N851+O851&gt;=70,4,IF(N851+O851&gt;=60,3.5,IF(N851+O851&gt;=50,3,IF(N851+O851&gt;=40,2,IF(N851+O851&gt;=33,1,0)))))))</f>
        <v/>
      </c>
      <c r="AI851">
        <f>IF(AA851,0,IF(P851+Q851&gt;=80,5,IF(P851+Q851&gt;=70,4,IF(P851+Q851&gt;=60,3.5,IF(P851+Q851&gt;=50,3,IF(P851+Q851&gt;=40,2,IF(P851+Q851&gt;=33,1,0)))))))</f>
        <v/>
      </c>
      <c r="AJ851">
        <f>IF(R851&lt;8.25,0,IF(R851*2&gt;=80,5,IF(R851*2&gt;=70,4,IF(R851*2&gt;=60,3.5,IF(R851*2&gt;=50,3,IF(R851*2&gt;=40,2,IF(R851*2&gt;=33,1,0)))))))</f>
        <v/>
      </c>
      <c r="AK851">
        <f>IF(S851&lt;33,0,IF(S851&gt;=80,5,IF(S851&gt;=70,4,IF(S851&gt;=60,3.5,IF(S851&gt;=50,3,IF(S851&gt;=40,2,IF(S851&gt;=33,1,0)))))))</f>
        <v/>
      </c>
      <c r="AL851">
        <f>(AC851+AD851+AE851+AF851+AG851+AH851+AI851+AJ851)/8</f>
        <v/>
      </c>
      <c r="AM851">
        <f>IF(AK851&gt;=2,(AK851-2)/8,0)</f>
        <v/>
      </c>
    </row>
    <row r="852">
      <c r="T852">
        <f>SUM(C852:R852)</f>
        <v/>
      </c>
      <c r="U852" s="6">
        <f>ROUND(T852/11.5,2)</f>
        <v/>
      </c>
      <c r="V852" s="7">
        <f>IF(B852="","",IF(AB852,0,ROUND(AL852,2)))</f>
        <v/>
      </c>
      <c r="W852" s="7">
        <f>IF(B852="","",IF(AB852,0,MIN(5,ROUND(AL852+AM852,2))))</f>
        <v/>
      </c>
      <c r="X852" s="8">
        <f>IF(B852="","",IF(W852&gt;=5,"A+",IF(W852&gt;=4,"A",IF(W852&gt;=3.5,"A-",IF(W852&gt;=3,"B",IF(W852&gt;=2,"C",IF(W852&gt;=1,"D","F")))))))</f>
        <v/>
      </c>
      <c r="Y852">
        <f>NOT(OR(AND(J852&gt;=10,K852&gt;=23,L852&gt;=10,M852&gt;=23),AND(J852+L852&gt;=20,K852+M852&gt;=46)))</f>
        <v/>
      </c>
      <c r="Z852">
        <f>OR(N852&lt;10,O852&lt;23)</f>
        <v/>
      </c>
      <c r="AA852">
        <f>OR(P852&lt;10,Q852&lt;23)</f>
        <v/>
      </c>
      <c r="AB852">
        <f>OR((C852+D852)&lt;66,(E852+F852)&lt;66,G852&lt;33,(H852+I852)&lt;66,Y852,Z852,AA852,R852&lt;8.25)</f>
        <v/>
      </c>
      <c r="AC852">
        <f>IF(C852+D852&lt;66,0,IF((C852+D852)/2&gt;=80,5,IF((C852+D852)/2&gt;=70,4,IF((C852+D852)/2&gt;=60,3.5,IF((C852+D852)/2&gt;=50,3,IF((C852+D852)/2&gt;=40,2,IF((C852+D852)/2&gt;=33,1,0)))))))</f>
        <v/>
      </c>
      <c r="AD852">
        <f>IF(E852+F852&lt;66,0,IF((E852+F852)/2&gt;=80,5,IF((E852+F852)/2&gt;=70,4,IF((E852+F852)/2&gt;=60,3.5,IF((E852+F852)/2&gt;=50,3,IF((E852+F852)/2&gt;=40,2,IF((E852+F852)/2&gt;=33,1,0)))))))</f>
        <v/>
      </c>
      <c r="AE852">
        <f>IF(G852&lt;33,0,IF(G852&gt;=80,5,IF(G852&gt;=70,4,IF(G852&gt;=60,3.5,IF(G852&gt;=50,3,IF(G852&gt;=40,2,IF(G852&gt;=33,1,0)))))))</f>
        <v/>
      </c>
      <c r="AF852">
        <f>IF(H852+I852&lt;66,0,IF((H852+I852)/2&gt;=80,5,IF((H852+I852)/2&gt;=70,4,IF((H852+I852)/2&gt;=60,3.5,IF((H852+I852)/2&gt;=50,3,IF((H852+I852)/2&gt;=40,2,IF((H852+I852)/2&gt;=33,1,0)))))))</f>
        <v/>
      </c>
      <c r="AG852">
        <f>IF(Y852,0,IF((J852+K852+L852+M852)/2&gt;=80,5,IF((J852+K852+L852+M852)/2&gt;=70,4,IF((J852+K852+L852+M852)/2&gt;=60,3.5,IF((J852+K852+L852+M852)/2&gt;=50,3,IF((J852+K852+L852+M852)/2&gt;=40,2,IF((J852+K852+L852+M852)/2&gt;=33,1,0)))))))</f>
        <v/>
      </c>
      <c r="AH852">
        <f>IF(Z852,0,IF(N852+O852&gt;=80,5,IF(N852+O852&gt;=70,4,IF(N852+O852&gt;=60,3.5,IF(N852+O852&gt;=50,3,IF(N852+O852&gt;=40,2,IF(N852+O852&gt;=33,1,0)))))))</f>
        <v/>
      </c>
      <c r="AI852">
        <f>IF(AA852,0,IF(P852+Q852&gt;=80,5,IF(P852+Q852&gt;=70,4,IF(P852+Q852&gt;=60,3.5,IF(P852+Q852&gt;=50,3,IF(P852+Q852&gt;=40,2,IF(P852+Q852&gt;=33,1,0)))))))</f>
        <v/>
      </c>
      <c r="AJ852">
        <f>IF(R852&lt;8.25,0,IF(R852*2&gt;=80,5,IF(R852*2&gt;=70,4,IF(R852*2&gt;=60,3.5,IF(R852*2&gt;=50,3,IF(R852*2&gt;=40,2,IF(R852*2&gt;=33,1,0)))))))</f>
        <v/>
      </c>
      <c r="AK852">
        <f>IF(S852&lt;33,0,IF(S852&gt;=80,5,IF(S852&gt;=70,4,IF(S852&gt;=60,3.5,IF(S852&gt;=50,3,IF(S852&gt;=40,2,IF(S852&gt;=33,1,0)))))))</f>
        <v/>
      </c>
      <c r="AL852">
        <f>(AC852+AD852+AE852+AF852+AG852+AH852+AI852+AJ852)/8</f>
        <v/>
      </c>
      <c r="AM852">
        <f>IF(AK852&gt;=2,(AK852-2)/8,0)</f>
        <v/>
      </c>
    </row>
    <row r="853">
      <c r="T853">
        <f>SUM(C853:R853)</f>
        <v/>
      </c>
      <c r="U853" s="6">
        <f>ROUND(T853/11.5,2)</f>
        <v/>
      </c>
      <c r="V853" s="7">
        <f>IF(B853="","",IF(AB853,0,ROUND(AL853,2)))</f>
        <v/>
      </c>
      <c r="W853" s="7">
        <f>IF(B853="","",IF(AB853,0,MIN(5,ROUND(AL853+AM853,2))))</f>
        <v/>
      </c>
      <c r="X853" s="8">
        <f>IF(B853="","",IF(W853&gt;=5,"A+",IF(W853&gt;=4,"A",IF(W853&gt;=3.5,"A-",IF(W853&gt;=3,"B",IF(W853&gt;=2,"C",IF(W853&gt;=1,"D","F")))))))</f>
        <v/>
      </c>
      <c r="Y853">
        <f>NOT(OR(AND(J853&gt;=10,K853&gt;=23,L853&gt;=10,M853&gt;=23),AND(J853+L853&gt;=20,K853+M853&gt;=46)))</f>
        <v/>
      </c>
      <c r="Z853">
        <f>OR(N853&lt;10,O853&lt;23)</f>
        <v/>
      </c>
      <c r="AA853">
        <f>OR(P853&lt;10,Q853&lt;23)</f>
        <v/>
      </c>
      <c r="AB853">
        <f>OR((C853+D853)&lt;66,(E853+F853)&lt;66,G853&lt;33,(H853+I853)&lt;66,Y853,Z853,AA853,R853&lt;8.25)</f>
        <v/>
      </c>
      <c r="AC853">
        <f>IF(C853+D853&lt;66,0,IF((C853+D853)/2&gt;=80,5,IF((C853+D853)/2&gt;=70,4,IF((C853+D853)/2&gt;=60,3.5,IF((C853+D853)/2&gt;=50,3,IF((C853+D853)/2&gt;=40,2,IF((C853+D853)/2&gt;=33,1,0)))))))</f>
        <v/>
      </c>
      <c r="AD853">
        <f>IF(E853+F853&lt;66,0,IF((E853+F853)/2&gt;=80,5,IF((E853+F853)/2&gt;=70,4,IF((E853+F853)/2&gt;=60,3.5,IF((E853+F853)/2&gt;=50,3,IF((E853+F853)/2&gt;=40,2,IF((E853+F853)/2&gt;=33,1,0)))))))</f>
        <v/>
      </c>
      <c r="AE853">
        <f>IF(G853&lt;33,0,IF(G853&gt;=80,5,IF(G853&gt;=70,4,IF(G853&gt;=60,3.5,IF(G853&gt;=50,3,IF(G853&gt;=40,2,IF(G853&gt;=33,1,0)))))))</f>
        <v/>
      </c>
      <c r="AF853">
        <f>IF(H853+I853&lt;66,0,IF((H853+I853)/2&gt;=80,5,IF((H853+I853)/2&gt;=70,4,IF((H853+I853)/2&gt;=60,3.5,IF((H853+I853)/2&gt;=50,3,IF((H853+I853)/2&gt;=40,2,IF((H853+I853)/2&gt;=33,1,0)))))))</f>
        <v/>
      </c>
      <c r="AG853">
        <f>IF(Y853,0,IF((J853+K853+L853+M853)/2&gt;=80,5,IF((J853+K853+L853+M853)/2&gt;=70,4,IF((J853+K853+L853+M853)/2&gt;=60,3.5,IF((J853+K853+L853+M853)/2&gt;=50,3,IF((J853+K853+L853+M853)/2&gt;=40,2,IF((J853+K853+L853+M853)/2&gt;=33,1,0)))))))</f>
        <v/>
      </c>
      <c r="AH853">
        <f>IF(Z853,0,IF(N853+O853&gt;=80,5,IF(N853+O853&gt;=70,4,IF(N853+O853&gt;=60,3.5,IF(N853+O853&gt;=50,3,IF(N853+O853&gt;=40,2,IF(N853+O853&gt;=33,1,0)))))))</f>
        <v/>
      </c>
      <c r="AI853">
        <f>IF(AA853,0,IF(P853+Q853&gt;=80,5,IF(P853+Q853&gt;=70,4,IF(P853+Q853&gt;=60,3.5,IF(P853+Q853&gt;=50,3,IF(P853+Q853&gt;=40,2,IF(P853+Q853&gt;=33,1,0)))))))</f>
        <v/>
      </c>
      <c r="AJ853">
        <f>IF(R853&lt;8.25,0,IF(R853*2&gt;=80,5,IF(R853*2&gt;=70,4,IF(R853*2&gt;=60,3.5,IF(R853*2&gt;=50,3,IF(R853*2&gt;=40,2,IF(R853*2&gt;=33,1,0)))))))</f>
        <v/>
      </c>
      <c r="AK853">
        <f>IF(S853&lt;33,0,IF(S853&gt;=80,5,IF(S853&gt;=70,4,IF(S853&gt;=60,3.5,IF(S853&gt;=50,3,IF(S853&gt;=40,2,IF(S853&gt;=33,1,0)))))))</f>
        <v/>
      </c>
      <c r="AL853">
        <f>(AC853+AD853+AE853+AF853+AG853+AH853+AI853+AJ853)/8</f>
        <v/>
      </c>
      <c r="AM853">
        <f>IF(AK853&gt;=2,(AK853-2)/8,0)</f>
        <v/>
      </c>
    </row>
    <row r="854">
      <c r="T854">
        <f>SUM(C854:R854)</f>
        <v/>
      </c>
      <c r="U854" s="6">
        <f>ROUND(T854/11.5,2)</f>
        <v/>
      </c>
      <c r="V854" s="7">
        <f>IF(B854="","",IF(AB854,0,ROUND(AL854,2)))</f>
        <v/>
      </c>
      <c r="W854" s="7">
        <f>IF(B854="","",IF(AB854,0,MIN(5,ROUND(AL854+AM854,2))))</f>
        <v/>
      </c>
      <c r="X854" s="8">
        <f>IF(B854="","",IF(W854&gt;=5,"A+",IF(W854&gt;=4,"A",IF(W854&gt;=3.5,"A-",IF(W854&gt;=3,"B",IF(W854&gt;=2,"C",IF(W854&gt;=1,"D","F")))))))</f>
        <v/>
      </c>
      <c r="Y854">
        <f>NOT(OR(AND(J854&gt;=10,K854&gt;=23,L854&gt;=10,M854&gt;=23),AND(J854+L854&gt;=20,K854+M854&gt;=46)))</f>
        <v/>
      </c>
      <c r="Z854">
        <f>OR(N854&lt;10,O854&lt;23)</f>
        <v/>
      </c>
      <c r="AA854">
        <f>OR(P854&lt;10,Q854&lt;23)</f>
        <v/>
      </c>
      <c r="AB854">
        <f>OR((C854+D854)&lt;66,(E854+F854)&lt;66,G854&lt;33,(H854+I854)&lt;66,Y854,Z854,AA854,R854&lt;8.25)</f>
        <v/>
      </c>
      <c r="AC854">
        <f>IF(C854+D854&lt;66,0,IF((C854+D854)/2&gt;=80,5,IF((C854+D854)/2&gt;=70,4,IF((C854+D854)/2&gt;=60,3.5,IF((C854+D854)/2&gt;=50,3,IF((C854+D854)/2&gt;=40,2,IF((C854+D854)/2&gt;=33,1,0)))))))</f>
        <v/>
      </c>
      <c r="AD854">
        <f>IF(E854+F854&lt;66,0,IF((E854+F854)/2&gt;=80,5,IF((E854+F854)/2&gt;=70,4,IF((E854+F854)/2&gt;=60,3.5,IF((E854+F854)/2&gt;=50,3,IF((E854+F854)/2&gt;=40,2,IF((E854+F854)/2&gt;=33,1,0)))))))</f>
        <v/>
      </c>
      <c r="AE854">
        <f>IF(G854&lt;33,0,IF(G854&gt;=80,5,IF(G854&gt;=70,4,IF(G854&gt;=60,3.5,IF(G854&gt;=50,3,IF(G854&gt;=40,2,IF(G854&gt;=33,1,0)))))))</f>
        <v/>
      </c>
      <c r="AF854">
        <f>IF(H854+I854&lt;66,0,IF((H854+I854)/2&gt;=80,5,IF((H854+I854)/2&gt;=70,4,IF((H854+I854)/2&gt;=60,3.5,IF((H854+I854)/2&gt;=50,3,IF((H854+I854)/2&gt;=40,2,IF((H854+I854)/2&gt;=33,1,0)))))))</f>
        <v/>
      </c>
      <c r="AG854">
        <f>IF(Y854,0,IF((J854+K854+L854+M854)/2&gt;=80,5,IF((J854+K854+L854+M854)/2&gt;=70,4,IF((J854+K854+L854+M854)/2&gt;=60,3.5,IF((J854+K854+L854+M854)/2&gt;=50,3,IF((J854+K854+L854+M854)/2&gt;=40,2,IF((J854+K854+L854+M854)/2&gt;=33,1,0)))))))</f>
        <v/>
      </c>
      <c r="AH854">
        <f>IF(Z854,0,IF(N854+O854&gt;=80,5,IF(N854+O854&gt;=70,4,IF(N854+O854&gt;=60,3.5,IF(N854+O854&gt;=50,3,IF(N854+O854&gt;=40,2,IF(N854+O854&gt;=33,1,0)))))))</f>
        <v/>
      </c>
      <c r="AI854">
        <f>IF(AA854,0,IF(P854+Q854&gt;=80,5,IF(P854+Q854&gt;=70,4,IF(P854+Q854&gt;=60,3.5,IF(P854+Q854&gt;=50,3,IF(P854+Q854&gt;=40,2,IF(P854+Q854&gt;=33,1,0)))))))</f>
        <v/>
      </c>
      <c r="AJ854">
        <f>IF(R854&lt;8.25,0,IF(R854*2&gt;=80,5,IF(R854*2&gt;=70,4,IF(R854*2&gt;=60,3.5,IF(R854*2&gt;=50,3,IF(R854*2&gt;=40,2,IF(R854*2&gt;=33,1,0)))))))</f>
        <v/>
      </c>
      <c r="AK854">
        <f>IF(S854&lt;33,0,IF(S854&gt;=80,5,IF(S854&gt;=70,4,IF(S854&gt;=60,3.5,IF(S854&gt;=50,3,IF(S854&gt;=40,2,IF(S854&gt;=33,1,0)))))))</f>
        <v/>
      </c>
      <c r="AL854">
        <f>(AC854+AD854+AE854+AF854+AG854+AH854+AI854+AJ854)/8</f>
        <v/>
      </c>
      <c r="AM854">
        <f>IF(AK854&gt;=2,(AK854-2)/8,0)</f>
        <v/>
      </c>
    </row>
    <row r="855">
      <c r="T855">
        <f>SUM(C855:R855)</f>
        <v/>
      </c>
      <c r="U855" s="6">
        <f>ROUND(T855/11.5,2)</f>
        <v/>
      </c>
      <c r="V855" s="7">
        <f>IF(B855="","",IF(AB855,0,ROUND(AL855,2)))</f>
        <v/>
      </c>
      <c r="W855" s="7">
        <f>IF(B855="","",IF(AB855,0,MIN(5,ROUND(AL855+AM855,2))))</f>
        <v/>
      </c>
      <c r="X855" s="8">
        <f>IF(B855="","",IF(W855&gt;=5,"A+",IF(W855&gt;=4,"A",IF(W855&gt;=3.5,"A-",IF(W855&gt;=3,"B",IF(W855&gt;=2,"C",IF(W855&gt;=1,"D","F")))))))</f>
        <v/>
      </c>
      <c r="Y855">
        <f>NOT(OR(AND(J855&gt;=10,K855&gt;=23,L855&gt;=10,M855&gt;=23),AND(J855+L855&gt;=20,K855+M855&gt;=46)))</f>
        <v/>
      </c>
      <c r="Z855">
        <f>OR(N855&lt;10,O855&lt;23)</f>
        <v/>
      </c>
      <c r="AA855">
        <f>OR(P855&lt;10,Q855&lt;23)</f>
        <v/>
      </c>
      <c r="AB855">
        <f>OR((C855+D855)&lt;66,(E855+F855)&lt;66,G855&lt;33,(H855+I855)&lt;66,Y855,Z855,AA855,R855&lt;8.25)</f>
        <v/>
      </c>
      <c r="AC855">
        <f>IF(C855+D855&lt;66,0,IF((C855+D855)/2&gt;=80,5,IF((C855+D855)/2&gt;=70,4,IF((C855+D855)/2&gt;=60,3.5,IF((C855+D855)/2&gt;=50,3,IF((C855+D855)/2&gt;=40,2,IF((C855+D855)/2&gt;=33,1,0)))))))</f>
        <v/>
      </c>
      <c r="AD855">
        <f>IF(E855+F855&lt;66,0,IF((E855+F855)/2&gt;=80,5,IF((E855+F855)/2&gt;=70,4,IF((E855+F855)/2&gt;=60,3.5,IF((E855+F855)/2&gt;=50,3,IF((E855+F855)/2&gt;=40,2,IF((E855+F855)/2&gt;=33,1,0)))))))</f>
        <v/>
      </c>
      <c r="AE855">
        <f>IF(G855&lt;33,0,IF(G855&gt;=80,5,IF(G855&gt;=70,4,IF(G855&gt;=60,3.5,IF(G855&gt;=50,3,IF(G855&gt;=40,2,IF(G855&gt;=33,1,0)))))))</f>
        <v/>
      </c>
      <c r="AF855">
        <f>IF(H855+I855&lt;66,0,IF((H855+I855)/2&gt;=80,5,IF((H855+I855)/2&gt;=70,4,IF((H855+I855)/2&gt;=60,3.5,IF((H855+I855)/2&gt;=50,3,IF((H855+I855)/2&gt;=40,2,IF((H855+I855)/2&gt;=33,1,0)))))))</f>
        <v/>
      </c>
      <c r="AG855">
        <f>IF(Y855,0,IF((J855+K855+L855+M855)/2&gt;=80,5,IF((J855+K855+L855+M855)/2&gt;=70,4,IF((J855+K855+L855+M855)/2&gt;=60,3.5,IF((J855+K855+L855+M855)/2&gt;=50,3,IF((J855+K855+L855+M855)/2&gt;=40,2,IF((J855+K855+L855+M855)/2&gt;=33,1,0)))))))</f>
        <v/>
      </c>
      <c r="AH855">
        <f>IF(Z855,0,IF(N855+O855&gt;=80,5,IF(N855+O855&gt;=70,4,IF(N855+O855&gt;=60,3.5,IF(N855+O855&gt;=50,3,IF(N855+O855&gt;=40,2,IF(N855+O855&gt;=33,1,0)))))))</f>
        <v/>
      </c>
      <c r="AI855">
        <f>IF(AA855,0,IF(P855+Q855&gt;=80,5,IF(P855+Q855&gt;=70,4,IF(P855+Q855&gt;=60,3.5,IF(P855+Q855&gt;=50,3,IF(P855+Q855&gt;=40,2,IF(P855+Q855&gt;=33,1,0)))))))</f>
        <v/>
      </c>
      <c r="AJ855">
        <f>IF(R855&lt;8.25,0,IF(R855*2&gt;=80,5,IF(R855*2&gt;=70,4,IF(R855*2&gt;=60,3.5,IF(R855*2&gt;=50,3,IF(R855*2&gt;=40,2,IF(R855*2&gt;=33,1,0)))))))</f>
        <v/>
      </c>
      <c r="AK855">
        <f>IF(S855&lt;33,0,IF(S855&gt;=80,5,IF(S855&gt;=70,4,IF(S855&gt;=60,3.5,IF(S855&gt;=50,3,IF(S855&gt;=40,2,IF(S855&gt;=33,1,0)))))))</f>
        <v/>
      </c>
      <c r="AL855">
        <f>(AC855+AD855+AE855+AF855+AG855+AH855+AI855+AJ855)/8</f>
        <v/>
      </c>
      <c r="AM855">
        <f>IF(AK855&gt;=2,(AK855-2)/8,0)</f>
        <v/>
      </c>
    </row>
    <row r="856">
      <c r="T856">
        <f>SUM(C856:R856)</f>
        <v/>
      </c>
      <c r="U856" s="6">
        <f>ROUND(T856/11.5,2)</f>
        <v/>
      </c>
      <c r="V856" s="7">
        <f>IF(B856="","",IF(AB856,0,ROUND(AL856,2)))</f>
        <v/>
      </c>
      <c r="W856" s="7">
        <f>IF(B856="","",IF(AB856,0,MIN(5,ROUND(AL856+AM856,2))))</f>
        <v/>
      </c>
      <c r="X856" s="8">
        <f>IF(B856="","",IF(W856&gt;=5,"A+",IF(W856&gt;=4,"A",IF(W856&gt;=3.5,"A-",IF(W856&gt;=3,"B",IF(W856&gt;=2,"C",IF(W856&gt;=1,"D","F")))))))</f>
        <v/>
      </c>
      <c r="Y856">
        <f>NOT(OR(AND(J856&gt;=10,K856&gt;=23,L856&gt;=10,M856&gt;=23),AND(J856+L856&gt;=20,K856+M856&gt;=46)))</f>
        <v/>
      </c>
      <c r="Z856">
        <f>OR(N856&lt;10,O856&lt;23)</f>
        <v/>
      </c>
      <c r="AA856">
        <f>OR(P856&lt;10,Q856&lt;23)</f>
        <v/>
      </c>
      <c r="AB856">
        <f>OR((C856+D856)&lt;66,(E856+F856)&lt;66,G856&lt;33,(H856+I856)&lt;66,Y856,Z856,AA856,R856&lt;8.25)</f>
        <v/>
      </c>
      <c r="AC856">
        <f>IF(C856+D856&lt;66,0,IF((C856+D856)/2&gt;=80,5,IF((C856+D856)/2&gt;=70,4,IF((C856+D856)/2&gt;=60,3.5,IF((C856+D856)/2&gt;=50,3,IF((C856+D856)/2&gt;=40,2,IF((C856+D856)/2&gt;=33,1,0)))))))</f>
        <v/>
      </c>
      <c r="AD856">
        <f>IF(E856+F856&lt;66,0,IF((E856+F856)/2&gt;=80,5,IF((E856+F856)/2&gt;=70,4,IF((E856+F856)/2&gt;=60,3.5,IF((E856+F856)/2&gt;=50,3,IF((E856+F856)/2&gt;=40,2,IF((E856+F856)/2&gt;=33,1,0)))))))</f>
        <v/>
      </c>
      <c r="AE856">
        <f>IF(G856&lt;33,0,IF(G856&gt;=80,5,IF(G856&gt;=70,4,IF(G856&gt;=60,3.5,IF(G856&gt;=50,3,IF(G856&gt;=40,2,IF(G856&gt;=33,1,0)))))))</f>
        <v/>
      </c>
      <c r="AF856">
        <f>IF(H856+I856&lt;66,0,IF((H856+I856)/2&gt;=80,5,IF((H856+I856)/2&gt;=70,4,IF((H856+I856)/2&gt;=60,3.5,IF((H856+I856)/2&gt;=50,3,IF((H856+I856)/2&gt;=40,2,IF((H856+I856)/2&gt;=33,1,0)))))))</f>
        <v/>
      </c>
      <c r="AG856">
        <f>IF(Y856,0,IF((J856+K856+L856+M856)/2&gt;=80,5,IF((J856+K856+L856+M856)/2&gt;=70,4,IF((J856+K856+L856+M856)/2&gt;=60,3.5,IF((J856+K856+L856+M856)/2&gt;=50,3,IF((J856+K856+L856+M856)/2&gt;=40,2,IF((J856+K856+L856+M856)/2&gt;=33,1,0)))))))</f>
        <v/>
      </c>
      <c r="AH856">
        <f>IF(Z856,0,IF(N856+O856&gt;=80,5,IF(N856+O856&gt;=70,4,IF(N856+O856&gt;=60,3.5,IF(N856+O856&gt;=50,3,IF(N856+O856&gt;=40,2,IF(N856+O856&gt;=33,1,0)))))))</f>
        <v/>
      </c>
      <c r="AI856">
        <f>IF(AA856,0,IF(P856+Q856&gt;=80,5,IF(P856+Q856&gt;=70,4,IF(P856+Q856&gt;=60,3.5,IF(P856+Q856&gt;=50,3,IF(P856+Q856&gt;=40,2,IF(P856+Q856&gt;=33,1,0)))))))</f>
        <v/>
      </c>
      <c r="AJ856">
        <f>IF(R856&lt;8.25,0,IF(R856*2&gt;=80,5,IF(R856*2&gt;=70,4,IF(R856*2&gt;=60,3.5,IF(R856*2&gt;=50,3,IF(R856*2&gt;=40,2,IF(R856*2&gt;=33,1,0)))))))</f>
        <v/>
      </c>
      <c r="AK856">
        <f>IF(S856&lt;33,0,IF(S856&gt;=80,5,IF(S856&gt;=70,4,IF(S856&gt;=60,3.5,IF(S856&gt;=50,3,IF(S856&gt;=40,2,IF(S856&gt;=33,1,0)))))))</f>
        <v/>
      </c>
      <c r="AL856">
        <f>(AC856+AD856+AE856+AF856+AG856+AH856+AI856+AJ856)/8</f>
        <v/>
      </c>
      <c r="AM856">
        <f>IF(AK856&gt;=2,(AK856-2)/8,0)</f>
        <v/>
      </c>
    </row>
    <row r="857">
      <c r="T857">
        <f>SUM(C857:R857)</f>
        <v/>
      </c>
      <c r="U857" s="6">
        <f>ROUND(T857/11.5,2)</f>
        <v/>
      </c>
      <c r="V857" s="7">
        <f>IF(B857="","",IF(AB857,0,ROUND(AL857,2)))</f>
        <v/>
      </c>
      <c r="W857" s="7">
        <f>IF(B857="","",IF(AB857,0,MIN(5,ROUND(AL857+AM857,2))))</f>
        <v/>
      </c>
      <c r="X857" s="8">
        <f>IF(B857="","",IF(W857&gt;=5,"A+",IF(W857&gt;=4,"A",IF(W857&gt;=3.5,"A-",IF(W857&gt;=3,"B",IF(W857&gt;=2,"C",IF(W857&gt;=1,"D","F")))))))</f>
        <v/>
      </c>
      <c r="Y857">
        <f>NOT(OR(AND(J857&gt;=10,K857&gt;=23,L857&gt;=10,M857&gt;=23),AND(J857+L857&gt;=20,K857+M857&gt;=46)))</f>
        <v/>
      </c>
      <c r="Z857">
        <f>OR(N857&lt;10,O857&lt;23)</f>
        <v/>
      </c>
      <c r="AA857">
        <f>OR(P857&lt;10,Q857&lt;23)</f>
        <v/>
      </c>
      <c r="AB857">
        <f>OR((C857+D857)&lt;66,(E857+F857)&lt;66,G857&lt;33,(H857+I857)&lt;66,Y857,Z857,AA857,R857&lt;8.25)</f>
        <v/>
      </c>
      <c r="AC857">
        <f>IF(C857+D857&lt;66,0,IF((C857+D857)/2&gt;=80,5,IF((C857+D857)/2&gt;=70,4,IF((C857+D857)/2&gt;=60,3.5,IF((C857+D857)/2&gt;=50,3,IF((C857+D857)/2&gt;=40,2,IF((C857+D857)/2&gt;=33,1,0)))))))</f>
        <v/>
      </c>
      <c r="AD857">
        <f>IF(E857+F857&lt;66,0,IF((E857+F857)/2&gt;=80,5,IF((E857+F857)/2&gt;=70,4,IF((E857+F857)/2&gt;=60,3.5,IF((E857+F857)/2&gt;=50,3,IF((E857+F857)/2&gt;=40,2,IF((E857+F857)/2&gt;=33,1,0)))))))</f>
        <v/>
      </c>
      <c r="AE857">
        <f>IF(G857&lt;33,0,IF(G857&gt;=80,5,IF(G857&gt;=70,4,IF(G857&gt;=60,3.5,IF(G857&gt;=50,3,IF(G857&gt;=40,2,IF(G857&gt;=33,1,0)))))))</f>
        <v/>
      </c>
      <c r="AF857">
        <f>IF(H857+I857&lt;66,0,IF((H857+I857)/2&gt;=80,5,IF((H857+I857)/2&gt;=70,4,IF((H857+I857)/2&gt;=60,3.5,IF((H857+I857)/2&gt;=50,3,IF((H857+I857)/2&gt;=40,2,IF((H857+I857)/2&gt;=33,1,0)))))))</f>
        <v/>
      </c>
      <c r="AG857">
        <f>IF(Y857,0,IF((J857+K857+L857+M857)/2&gt;=80,5,IF((J857+K857+L857+M857)/2&gt;=70,4,IF((J857+K857+L857+M857)/2&gt;=60,3.5,IF((J857+K857+L857+M857)/2&gt;=50,3,IF((J857+K857+L857+M857)/2&gt;=40,2,IF((J857+K857+L857+M857)/2&gt;=33,1,0)))))))</f>
        <v/>
      </c>
      <c r="AH857">
        <f>IF(Z857,0,IF(N857+O857&gt;=80,5,IF(N857+O857&gt;=70,4,IF(N857+O857&gt;=60,3.5,IF(N857+O857&gt;=50,3,IF(N857+O857&gt;=40,2,IF(N857+O857&gt;=33,1,0)))))))</f>
        <v/>
      </c>
      <c r="AI857">
        <f>IF(AA857,0,IF(P857+Q857&gt;=80,5,IF(P857+Q857&gt;=70,4,IF(P857+Q857&gt;=60,3.5,IF(P857+Q857&gt;=50,3,IF(P857+Q857&gt;=40,2,IF(P857+Q857&gt;=33,1,0)))))))</f>
        <v/>
      </c>
      <c r="AJ857">
        <f>IF(R857&lt;8.25,0,IF(R857*2&gt;=80,5,IF(R857*2&gt;=70,4,IF(R857*2&gt;=60,3.5,IF(R857*2&gt;=50,3,IF(R857*2&gt;=40,2,IF(R857*2&gt;=33,1,0)))))))</f>
        <v/>
      </c>
      <c r="AK857">
        <f>IF(S857&lt;33,0,IF(S857&gt;=80,5,IF(S857&gt;=70,4,IF(S857&gt;=60,3.5,IF(S857&gt;=50,3,IF(S857&gt;=40,2,IF(S857&gt;=33,1,0)))))))</f>
        <v/>
      </c>
      <c r="AL857">
        <f>(AC857+AD857+AE857+AF857+AG857+AH857+AI857+AJ857)/8</f>
        <v/>
      </c>
      <c r="AM857">
        <f>IF(AK857&gt;=2,(AK857-2)/8,0)</f>
        <v/>
      </c>
    </row>
    <row r="858">
      <c r="T858">
        <f>SUM(C858:R858)</f>
        <v/>
      </c>
      <c r="U858" s="6">
        <f>ROUND(T858/11.5,2)</f>
        <v/>
      </c>
      <c r="V858" s="7">
        <f>IF(B858="","",IF(AB858,0,ROUND(AL858,2)))</f>
        <v/>
      </c>
      <c r="W858" s="7">
        <f>IF(B858="","",IF(AB858,0,MIN(5,ROUND(AL858+AM858,2))))</f>
        <v/>
      </c>
      <c r="X858" s="8">
        <f>IF(B858="","",IF(W858&gt;=5,"A+",IF(W858&gt;=4,"A",IF(W858&gt;=3.5,"A-",IF(W858&gt;=3,"B",IF(W858&gt;=2,"C",IF(W858&gt;=1,"D","F")))))))</f>
        <v/>
      </c>
      <c r="Y858">
        <f>NOT(OR(AND(J858&gt;=10,K858&gt;=23,L858&gt;=10,M858&gt;=23),AND(J858+L858&gt;=20,K858+M858&gt;=46)))</f>
        <v/>
      </c>
      <c r="Z858">
        <f>OR(N858&lt;10,O858&lt;23)</f>
        <v/>
      </c>
      <c r="AA858">
        <f>OR(P858&lt;10,Q858&lt;23)</f>
        <v/>
      </c>
      <c r="AB858">
        <f>OR((C858+D858)&lt;66,(E858+F858)&lt;66,G858&lt;33,(H858+I858)&lt;66,Y858,Z858,AA858,R858&lt;8.25)</f>
        <v/>
      </c>
      <c r="AC858">
        <f>IF(C858+D858&lt;66,0,IF((C858+D858)/2&gt;=80,5,IF((C858+D858)/2&gt;=70,4,IF((C858+D858)/2&gt;=60,3.5,IF((C858+D858)/2&gt;=50,3,IF((C858+D858)/2&gt;=40,2,IF((C858+D858)/2&gt;=33,1,0)))))))</f>
        <v/>
      </c>
      <c r="AD858">
        <f>IF(E858+F858&lt;66,0,IF((E858+F858)/2&gt;=80,5,IF((E858+F858)/2&gt;=70,4,IF((E858+F858)/2&gt;=60,3.5,IF((E858+F858)/2&gt;=50,3,IF((E858+F858)/2&gt;=40,2,IF((E858+F858)/2&gt;=33,1,0)))))))</f>
        <v/>
      </c>
      <c r="AE858">
        <f>IF(G858&lt;33,0,IF(G858&gt;=80,5,IF(G858&gt;=70,4,IF(G858&gt;=60,3.5,IF(G858&gt;=50,3,IF(G858&gt;=40,2,IF(G858&gt;=33,1,0)))))))</f>
        <v/>
      </c>
      <c r="AF858">
        <f>IF(H858+I858&lt;66,0,IF((H858+I858)/2&gt;=80,5,IF((H858+I858)/2&gt;=70,4,IF((H858+I858)/2&gt;=60,3.5,IF((H858+I858)/2&gt;=50,3,IF((H858+I858)/2&gt;=40,2,IF((H858+I858)/2&gt;=33,1,0)))))))</f>
        <v/>
      </c>
      <c r="AG858">
        <f>IF(Y858,0,IF((J858+K858+L858+M858)/2&gt;=80,5,IF((J858+K858+L858+M858)/2&gt;=70,4,IF((J858+K858+L858+M858)/2&gt;=60,3.5,IF((J858+K858+L858+M858)/2&gt;=50,3,IF((J858+K858+L858+M858)/2&gt;=40,2,IF((J858+K858+L858+M858)/2&gt;=33,1,0)))))))</f>
        <v/>
      </c>
      <c r="AH858">
        <f>IF(Z858,0,IF(N858+O858&gt;=80,5,IF(N858+O858&gt;=70,4,IF(N858+O858&gt;=60,3.5,IF(N858+O858&gt;=50,3,IF(N858+O858&gt;=40,2,IF(N858+O858&gt;=33,1,0)))))))</f>
        <v/>
      </c>
      <c r="AI858">
        <f>IF(AA858,0,IF(P858+Q858&gt;=80,5,IF(P858+Q858&gt;=70,4,IF(P858+Q858&gt;=60,3.5,IF(P858+Q858&gt;=50,3,IF(P858+Q858&gt;=40,2,IF(P858+Q858&gt;=33,1,0)))))))</f>
        <v/>
      </c>
      <c r="AJ858">
        <f>IF(R858&lt;8.25,0,IF(R858*2&gt;=80,5,IF(R858*2&gt;=70,4,IF(R858*2&gt;=60,3.5,IF(R858*2&gt;=50,3,IF(R858*2&gt;=40,2,IF(R858*2&gt;=33,1,0)))))))</f>
        <v/>
      </c>
      <c r="AK858">
        <f>IF(S858&lt;33,0,IF(S858&gt;=80,5,IF(S858&gt;=70,4,IF(S858&gt;=60,3.5,IF(S858&gt;=50,3,IF(S858&gt;=40,2,IF(S858&gt;=33,1,0)))))))</f>
        <v/>
      </c>
      <c r="AL858">
        <f>(AC858+AD858+AE858+AF858+AG858+AH858+AI858+AJ858)/8</f>
        <v/>
      </c>
      <c r="AM858">
        <f>IF(AK858&gt;=2,(AK858-2)/8,0)</f>
        <v/>
      </c>
    </row>
    <row r="859">
      <c r="T859">
        <f>SUM(C859:R859)</f>
        <v/>
      </c>
      <c r="U859" s="6">
        <f>ROUND(T859/11.5,2)</f>
        <v/>
      </c>
      <c r="V859" s="7">
        <f>IF(B859="","",IF(AB859,0,ROUND(AL859,2)))</f>
        <v/>
      </c>
      <c r="W859" s="7">
        <f>IF(B859="","",IF(AB859,0,MIN(5,ROUND(AL859+AM859,2))))</f>
        <v/>
      </c>
      <c r="X859" s="8">
        <f>IF(B859="","",IF(W859&gt;=5,"A+",IF(W859&gt;=4,"A",IF(W859&gt;=3.5,"A-",IF(W859&gt;=3,"B",IF(W859&gt;=2,"C",IF(W859&gt;=1,"D","F")))))))</f>
        <v/>
      </c>
      <c r="Y859">
        <f>NOT(OR(AND(J859&gt;=10,K859&gt;=23,L859&gt;=10,M859&gt;=23),AND(J859+L859&gt;=20,K859+M859&gt;=46)))</f>
        <v/>
      </c>
      <c r="Z859">
        <f>OR(N859&lt;10,O859&lt;23)</f>
        <v/>
      </c>
      <c r="AA859">
        <f>OR(P859&lt;10,Q859&lt;23)</f>
        <v/>
      </c>
      <c r="AB859">
        <f>OR((C859+D859)&lt;66,(E859+F859)&lt;66,G859&lt;33,(H859+I859)&lt;66,Y859,Z859,AA859,R859&lt;8.25)</f>
        <v/>
      </c>
      <c r="AC859">
        <f>IF(C859+D859&lt;66,0,IF((C859+D859)/2&gt;=80,5,IF((C859+D859)/2&gt;=70,4,IF((C859+D859)/2&gt;=60,3.5,IF((C859+D859)/2&gt;=50,3,IF((C859+D859)/2&gt;=40,2,IF((C859+D859)/2&gt;=33,1,0)))))))</f>
        <v/>
      </c>
      <c r="AD859">
        <f>IF(E859+F859&lt;66,0,IF((E859+F859)/2&gt;=80,5,IF((E859+F859)/2&gt;=70,4,IF((E859+F859)/2&gt;=60,3.5,IF((E859+F859)/2&gt;=50,3,IF((E859+F859)/2&gt;=40,2,IF((E859+F859)/2&gt;=33,1,0)))))))</f>
        <v/>
      </c>
      <c r="AE859">
        <f>IF(G859&lt;33,0,IF(G859&gt;=80,5,IF(G859&gt;=70,4,IF(G859&gt;=60,3.5,IF(G859&gt;=50,3,IF(G859&gt;=40,2,IF(G859&gt;=33,1,0)))))))</f>
        <v/>
      </c>
      <c r="AF859">
        <f>IF(H859+I859&lt;66,0,IF((H859+I859)/2&gt;=80,5,IF((H859+I859)/2&gt;=70,4,IF((H859+I859)/2&gt;=60,3.5,IF((H859+I859)/2&gt;=50,3,IF((H859+I859)/2&gt;=40,2,IF((H859+I859)/2&gt;=33,1,0)))))))</f>
        <v/>
      </c>
      <c r="AG859">
        <f>IF(Y859,0,IF((J859+K859+L859+M859)/2&gt;=80,5,IF((J859+K859+L859+M859)/2&gt;=70,4,IF((J859+K859+L859+M859)/2&gt;=60,3.5,IF((J859+K859+L859+M859)/2&gt;=50,3,IF((J859+K859+L859+M859)/2&gt;=40,2,IF((J859+K859+L859+M859)/2&gt;=33,1,0)))))))</f>
        <v/>
      </c>
      <c r="AH859">
        <f>IF(Z859,0,IF(N859+O859&gt;=80,5,IF(N859+O859&gt;=70,4,IF(N859+O859&gt;=60,3.5,IF(N859+O859&gt;=50,3,IF(N859+O859&gt;=40,2,IF(N859+O859&gt;=33,1,0)))))))</f>
        <v/>
      </c>
      <c r="AI859">
        <f>IF(AA859,0,IF(P859+Q859&gt;=80,5,IF(P859+Q859&gt;=70,4,IF(P859+Q859&gt;=60,3.5,IF(P859+Q859&gt;=50,3,IF(P859+Q859&gt;=40,2,IF(P859+Q859&gt;=33,1,0)))))))</f>
        <v/>
      </c>
      <c r="AJ859">
        <f>IF(R859&lt;8.25,0,IF(R859*2&gt;=80,5,IF(R859*2&gt;=70,4,IF(R859*2&gt;=60,3.5,IF(R859*2&gt;=50,3,IF(R859*2&gt;=40,2,IF(R859*2&gt;=33,1,0)))))))</f>
        <v/>
      </c>
      <c r="AK859">
        <f>IF(S859&lt;33,0,IF(S859&gt;=80,5,IF(S859&gt;=70,4,IF(S859&gt;=60,3.5,IF(S859&gt;=50,3,IF(S859&gt;=40,2,IF(S859&gt;=33,1,0)))))))</f>
        <v/>
      </c>
      <c r="AL859">
        <f>(AC859+AD859+AE859+AF859+AG859+AH859+AI859+AJ859)/8</f>
        <v/>
      </c>
      <c r="AM859">
        <f>IF(AK859&gt;=2,(AK859-2)/8,0)</f>
        <v/>
      </c>
    </row>
    <row r="860">
      <c r="T860">
        <f>SUM(C860:R860)</f>
        <v/>
      </c>
      <c r="U860" s="6">
        <f>ROUND(T860/11.5,2)</f>
        <v/>
      </c>
      <c r="V860" s="7">
        <f>IF(B860="","",IF(AB860,0,ROUND(AL860,2)))</f>
        <v/>
      </c>
      <c r="W860" s="7">
        <f>IF(B860="","",IF(AB860,0,MIN(5,ROUND(AL860+AM860,2))))</f>
        <v/>
      </c>
      <c r="X860" s="8">
        <f>IF(B860="","",IF(W860&gt;=5,"A+",IF(W860&gt;=4,"A",IF(W860&gt;=3.5,"A-",IF(W860&gt;=3,"B",IF(W860&gt;=2,"C",IF(W860&gt;=1,"D","F")))))))</f>
        <v/>
      </c>
      <c r="Y860">
        <f>NOT(OR(AND(J860&gt;=10,K860&gt;=23,L860&gt;=10,M860&gt;=23),AND(J860+L860&gt;=20,K860+M860&gt;=46)))</f>
        <v/>
      </c>
      <c r="Z860">
        <f>OR(N860&lt;10,O860&lt;23)</f>
        <v/>
      </c>
      <c r="AA860">
        <f>OR(P860&lt;10,Q860&lt;23)</f>
        <v/>
      </c>
      <c r="AB860">
        <f>OR((C860+D860)&lt;66,(E860+F860)&lt;66,G860&lt;33,(H860+I860)&lt;66,Y860,Z860,AA860,R860&lt;8.25)</f>
        <v/>
      </c>
      <c r="AC860">
        <f>IF(C860+D860&lt;66,0,IF((C860+D860)/2&gt;=80,5,IF((C860+D860)/2&gt;=70,4,IF((C860+D860)/2&gt;=60,3.5,IF((C860+D860)/2&gt;=50,3,IF((C860+D860)/2&gt;=40,2,IF((C860+D860)/2&gt;=33,1,0)))))))</f>
        <v/>
      </c>
      <c r="AD860">
        <f>IF(E860+F860&lt;66,0,IF((E860+F860)/2&gt;=80,5,IF((E860+F860)/2&gt;=70,4,IF((E860+F860)/2&gt;=60,3.5,IF((E860+F860)/2&gt;=50,3,IF((E860+F860)/2&gt;=40,2,IF((E860+F860)/2&gt;=33,1,0)))))))</f>
        <v/>
      </c>
      <c r="AE860">
        <f>IF(G860&lt;33,0,IF(G860&gt;=80,5,IF(G860&gt;=70,4,IF(G860&gt;=60,3.5,IF(G860&gt;=50,3,IF(G860&gt;=40,2,IF(G860&gt;=33,1,0)))))))</f>
        <v/>
      </c>
      <c r="AF860">
        <f>IF(H860+I860&lt;66,0,IF((H860+I860)/2&gt;=80,5,IF((H860+I860)/2&gt;=70,4,IF((H860+I860)/2&gt;=60,3.5,IF((H860+I860)/2&gt;=50,3,IF((H860+I860)/2&gt;=40,2,IF((H860+I860)/2&gt;=33,1,0)))))))</f>
        <v/>
      </c>
      <c r="AG860">
        <f>IF(Y860,0,IF((J860+K860+L860+M860)/2&gt;=80,5,IF((J860+K860+L860+M860)/2&gt;=70,4,IF((J860+K860+L860+M860)/2&gt;=60,3.5,IF((J860+K860+L860+M860)/2&gt;=50,3,IF((J860+K860+L860+M860)/2&gt;=40,2,IF((J860+K860+L860+M860)/2&gt;=33,1,0)))))))</f>
        <v/>
      </c>
      <c r="AH860">
        <f>IF(Z860,0,IF(N860+O860&gt;=80,5,IF(N860+O860&gt;=70,4,IF(N860+O860&gt;=60,3.5,IF(N860+O860&gt;=50,3,IF(N860+O860&gt;=40,2,IF(N860+O860&gt;=33,1,0)))))))</f>
        <v/>
      </c>
      <c r="AI860">
        <f>IF(AA860,0,IF(P860+Q860&gt;=80,5,IF(P860+Q860&gt;=70,4,IF(P860+Q860&gt;=60,3.5,IF(P860+Q860&gt;=50,3,IF(P860+Q860&gt;=40,2,IF(P860+Q860&gt;=33,1,0)))))))</f>
        <v/>
      </c>
      <c r="AJ860">
        <f>IF(R860&lt;8.25,0,IF(R860*2&gt;=80,5,IF(R860*2&gt;=70,4,IF(R860*2&gt;=60,3.5,IF(R860*2&gt;=50,3,IF(R860*2&gt;=40,2,IF(R860*2&gt;=33,1,0)))))))</f>
        <v/>
      </c>
      <c r="AK860">
        <f>IF(S860&lt;33,0,IF(S860&gt;=80,5,IF(S860&gt;=70,4,IF(S860&gt;=60,3.5,IF(S860&gt;=50,3,IF(S860&gt;=40,2,IF(S860&gt;=33,1,0)))))))</f>
        <v/>
      </c>
      <c r="AL860">
        <f>(AC860+AD860+AE860+AF860+AG860+AH860+AI860+AJ860)/8</f>
        <v/>
      </c>
      <c r="AM860">
        <f>IF(AK860&gt;=2,(AK860-2)/8,0)</f>
        <v/>
      </c>
    </row>
    <row r="861">
      <c r="T861">
        <f>SUM(C861:R861)</f>
        <v/>
      </c>
      <c r="U861" s="6">
        <f>ROUND(T861/11.5,2)</f>
        <v/>
      </c>
      <c r="V861" s="7">
        <f>IF(B861="","",IF(AB861,0,ROUND(AL861,2)))</f>
        <v/>
      </c>
      <c r="W861" s="7">
        <f>IF(B861="","",IF(AB861,0,MIN(5,ROUND(AL861+AM861,2))))</f>
        <v/>
      </c>
      <c r="X861" s="8">
        <f>IF(B861="","",IF(W861&gt;=5,"A+",IF(W861&gt;=4,"A",IF(W861&gt;=3.5,"A-",IF(W861&gt;=3,"B",IF(W861&gt;=2,"C",IF(W861&gt;=1,"D","F")))))))</f>
        <v/>
      </c>
      <c r="Y861">
        <f>NOT(OR(AND(J861&gt;=10,K861&gt;=23,L861&gt;=10,M861&gt;=23),AND(J861+L861&gt;=20,K861+M861&gt;=46)))</f>
        <v/>
      </c>
      <c r="Z861">
        <f>OR(N861&lt;10,O861&lt;23)</f>
        <v/>
      </c>
      <c r="AA861">
        <f>OR(P861&lt;10,Q861&lt;23)</f>
        <v/>
      </c>
      <c r="AB861">
        <f>OR((C861+D861)&lt;66,(E861+F861)&lt;66,G861&lt;33,(H861+I861)&lt;66,Y861,Z861,AA861,R861&lt;8.25)</f>
        <v/>
      </c>
      <c r="AC861">
        <f>IF(C861+D861&lt;66,0,IF((C861+D861)/2&gt;=80,5,IF((C861+D861)/2&gt;=70,4,IF((C861+D861)/2&gt;=60,3.5,IF((C861+D861)/2&gt;=50,3,IF((C861+D861)/2&gt;=40,2,IF((C861+D861)/2&gt;=33,1,0)))))))</f>
        <v/>
      </c>
      <c r="AD861">
        <f>IF(E861+F861&lt;66,0,IF((E861+F861)/2&gt;=80,5,IF((E861+F861)/2&gt;=70,4,IF((E861+F861)/2&gt;=60,3.5,IF((E861+F861)/2&gt;=50,3,IF((E861+F861)/2&gt;=40,2,IF((E861+F861)/2&gt;=33,1,0)))))))</f>
        <v/>
      </c>
      <c r="AE861">
        <f>IF(G861&lt;33,0,IF(G861&gt;=80,5,IF(G861&gt;=70,4,IF(G861&gt;=60,3.5,IF(G861&gt;=50,3,IF(G861&gt;=40,2,IF(G861&gt;=33,1,0)))))))</f>
        <v/>
      </c>
      <c r="AF861">
        <f>IF(H861+I861&lt;66,0,IF((H861+I861)/2&gt;=80,5,IF((H861+I861)/2&gt;=70,4,IF((H861+I861)/2&gt;=60,3.5,IF((H861+I861)/2&gt;=50,3,IF((H861+I861)/2&gt;=40,2,IF((H861+I861)/2&gt;=33,1,0)))))))</f>
        <v/>
      </c>
      <c r="AG861">
        <f>IF(Y861,0,IF((J861+K861+L861+M861)/2&gt;=80,5,IF((J861+K861+L861+M861)/2&gt;=70,4,IF((J861+K861+L861+M861)/2&gt;=60,3.5,IF((J861+K861+L861+M861)/2&gt;=50,3,IF((J861+K861+L861+M861)/2&gt;=40,2,IF((J861+K861+L861+M861)/2&gt;=33,1,0)))))))</f>
        <v/>
      </c>
      <c r="AH861">
        <f>IF(Z861,0,IF(N861+O861&gt;=80,5,IF(N861+O861&gt;=70,4,IF(N861+O861&gt;=60,3.5,IF(N861+O861&gt;=50,3,IF(N861+O861&gt;=40,2,IF(N861+O861&gt;=33,1,0)))))))</f>
        <v/>
      </c>
      <c r="AI861">
        <f>IF(AA861,0,IF(P861+Q861&gt;=80,5,IF(P861+Q861&gt;=70,4,IF(P861+Q861&gt;=60,3.5,IF(P861+Q861&gt;=50,3,IF(P861+Q861&gt;=40,2,IF(P861+Q861&gt;=33,1,0)))))))</f>
        <v/>
      </c>
      <c r="AJ861">
        <f>IF(R861&lt;8.25,0,IF(R861*2&gt;=80,5,IF(R861*2&gt;=70,4,IF(R861*2&gt;=60,3.5,IF(R861*2&gt;=50,3,IF(R861*2&gt;=40,2,IF(R861*2&gt;=33,1,0)))))))</f>
        <v/>
      </c>
      <c r="AK861">
        <f>IF(S861&lt;33,0,IF(S861&gt;=80,5,IF(S861&gt;=70,4,IF(S861&gt;=60,3.5,IF(S861&gt;=50,3,IF(S861&gt;=40,2,IF(S861&gt;=33,1,0)))))))</f>
        <v/>
      </c>
      <c r="AL861">
        <f>(AC861+AD861+AE861+AF861+AG861+AH861+AI861+AJ861)/8</f>
        <v/>
      </c>
      <c r="AM861">
        <f>IF(AK861&gt;=2,(AK861-2)/8,0)</f>
        <v/>
      </c>
    </row>
    <row r="862">
      <c r="T862">
        <f>SUM(C862:R862)</f>
        <v/>
      </c>
      <c r="U862" s="6">
        <f>ROUND(T862/11.5,2)</f>
        <v/>
      </c>
      <c r="V862" s="7">
        <f>IF(B862="","",IF(AB862,0,ROUND(AL862,2)))</f>
        <v/>
      </c>
      <c r="W862" s="7">
        <f>IF(B862="","",IF(AB862,0,MIN(5,ROUND(AL862+AM862,2))))</f>
        <v/>
      </c>
      <c r="X862" s="8">
        <f>IF(B862="","",IF(W862&gt;=5,"A+",IF(W862&gt;=4,"A",IF(W862&gt;=3.5,"A-",IF(W862&gt;=3,"B",IF(W862&gt;=2,"C",IF(W862&gt;=1,"D","F")))))))</f>
        <v/>
      </c>
      <c r="Y862">
        <f>NOT(OR(AND(J862&gt;=10,K862&gt;=23,L862&gt;=10,M862&gt;=23),AND(J862+L862&gt;=20,K862+M862&gt;=46)))</f>
        <v/>
      </c>
      <c r="Z862">
        <f>OR(N862&lt;10,O862&lt;23)</f>
        <v/>
      </c>
      <c r="AA862">
        <f>OR(P862&lt;10,Q862&lt;23)</f>
        <v/>
      </c>
      <c r="AB862">
        <f>OR((C862+D862)&lt;66,(E862+F862)&lt;66,G862&lt;33,(H862+I862)&lt;66,Y862,Z862,AA862,R862&lt;8.25)</f>
        <v/>
      </c>
      <c r="AC862">
        <f>IF(C862+D862&lt;66,0,IF((C862+D862)/2&gt;=80,5,IF((C862+D862)/2&gt;=70,4,IF((C862+D862)/2&gt;=60,3.5,IF((C862+D862)/2&gt;=50,3,IF((C862+D862)/2&gt;=40,2,IF((C862+D862)/2&gt;=33,1,0)))))))</f>
        <v/>
      </c>
      <c r="AD862">
        <f>IF(E862+F862&lt;66,0,IF((E862+F862)/2&gt;=80,5,IF((E862+F862)/2&gt;=70,4,IF((E862+F862)/2&gt;=60,3.5,IF((E862+F862)/2&gt;=50,3,IF((E862+F862)/2&gt;=40,2,IF((E862+F862)/2&gt;=33,1,0)))))))</f>
        <v/>
      </c>
      <c r="AE862">
        <f>IF(G862&lt;33,0,IF(G862&gt;=80,5,IF(G862&gt;=70,4,IF(G862&gt;=60,3.5,IF(G862&gt;=50,3,IF(G862&gt;=40,2,IF(G862&gt;=33,1,0)))))))</f>
        <v/>
      </c>
      <c r="AF862">
        <f>IF(H862+I862&lt;66,0,IF((H862+I862)/2&gt;=80,5,IF((H862+I862)/2&gt;=70,4,IF((H862+I862)/2&gt;=60,3.5,IF((H862+I862)/2&gt;=50,3,IF((H862+I862)/2&gt;=40,2,IF((H862+I862)/2&gt;=33,1,0)))))))</f>
        <v/>
      </c>
      <c r="AG862">
        <f>IF(Y862,0,IF((J862+K862+L862+M862)/2&gt;=80,5,IF((J862+K862+L862+M862)/2&gt;=70,4,IF((J862+K862+L862+M862)/2&gt;=60,3.5,IF((J862+K862+L862+M862)/2&gt;=50,3,IF((J862+K862+L862+M862)/2&gt;=40,2,IF((J862+K862+L862+M862)/2&gt;=33,1,0)))))))</f>
        <v/>
      </c>
      <c r="AH862">
        <f>IF(Z862,0,IF(N862+O862&gt;=80,5,IF(N862+O862&gt;=70,4,IF(N862+O862&gt;=60,3.5,IF(N862+O862&gt;=50,3,IF(N862+O862&gt;=40,2,IF(N862+O862&gt;=33,1,0)))))))</f>
        <v/>
      </c>
      <c r="AI862">
        <f>IF(AA862,0,IF(P862+Q862&gt;=80,5,IF(P862+Q862&gt;=70,4,IF(P862+Q862&gt;=60,3.5,IF(P862+Q862&gt;=50,3,IF(P862+Q862&gt;=40,2,IF(P862+Q862&gt;=33,1,0)))))))</f>
        <v/>
      </c>
      <c r="AJ862">
        <f>IF(R862&lt;8.25,0,IF(R862*2&gt;=80,5,IF(R862*2&gt;=70,4,IF(R862*2&gt;=60,3.5,IF(R862*2&gt;=50,3,IF(R862*2&gt;=40,2,IF(R862*2&gt;=33,1,0)))))))</f>
        <v/>
      </c>
      <c r="AK862">
        <f>IF(S862&lt;33,0,IF(S862&gt;=80,5,IF(S862&gt;=70,4,IF(S862&gt;=60,3.5,IF(S862&gt;=50,3,IF(S862&gt;=40,2,IF(S862&gt;=33,1,0)))))))</f>
        <v/>
      </c>
      <c r="AL862">
        <f>(AC862+AD862+AE862+AF862+AG862+AH862+AI862+AJ862)/8</f>
        <v/>
      </c>
      <c r="AM862">
        <f>IF(AK862&gt;=2,(AK862-2)/8,0)</f>
        <v/>
      </c>
    </row>
    <row r="863">
      <c r="T863">
        <f>SUM(C863:R863)</f>
        <v/>
      </c>
      <c r="U863" s="6">
        <f>ROUND(T863/11.5,2)</f>
        <v/>
      </c>
      <c r="V863" s="7">
        <f>IF(B863="","",IF(AB863,0,ROUND(AL863,2)))</f>
        <v/>
      </c>
      <c r="W863" s="7">
        <f>IF(B863="","",IF(AB863,0,MIN(5,ROUND(AL863+AM863,2))))</f>
        <v/>
      </c>
      <c r="X863" s="8">
        <f>IF(B863="","",IF(W863&gt;=5,"A+",IF(W863&gt;=4,"A",IF(W863&gt;=3.5,"A-",IF(W863&gt;=3,"B",IF(W863&gt;=2,"C",IF(W863&gt;=1,"D","F")))))))</f>
        <v/>
      </c>
      <c r="Y863">
        <f>NOT(OR(AND(J863&gt;=10,K863&gt;=23,L863&gt;=10,M863&gt;=23),AND(J863+L863&gt;=20,K863+M863&gt;=46)))</f>
        <v/>
      </c>
      <c r="Z863">
        <f>OR(N863&lt;10,O863&lt;23)</f>
        <v/>
      </c>
      <c r="AA863">
        <f>OR(P863&lt;10,Q863&lt;23)</f>
        <v/>
      </c>
      <c r="AB863">
        <f>OR((C863+D863)&lt;66,(E863+F863)&lt;66,G863&lt;33,(H863+I863)&lt;66,Y863,Z863,AA863,R863&lt;8.25)</f>
        <v/>
      </c>
      <c r="AC863">
        <f>IF(C863+D863&lt;66,0,IF((C863+D863)/2&gt;=80,5,IF((C863+D863)/2&gt;=70,4,IF((C863+D863)/2&gt;=60,3.5,IF((C863+D863)/2&gt;=50,3,IF((C863+D863)/2&gt;=40,2,IF((C863+D863)/2&gt;=33,1,0)))))))</f>
        <v/>
      </c>
      <c r="AD863">
        <f>IF(E863+F863&lt;66,0,IF((E863+F863)/2&gt;=80,5,IF((E863+F863)/2&gt;=70,4,IF((E863+F863)/2&gt;=60,3.5,IF((E863+F863)/2&gt;=50,3,IF((E863+F863)/2&gt;=40,2,IF((E863+F863)/2&gt;=33,1,0)))))))</f>
        <v/>
      </c>
      <c r="AE863">
        <f>IF(G863&lt;33,0,IF(G863&gt;=80,5,IF(G863&gt;=70,4,IF(G863&gt;=60,3.5,IF(G863&gt;=50,3,IF(G863&gt;=40,2,IF(G863&gt;=33,1,0)))))))</f>
        <v/>
      </c>
      <c r="AF863">
        <f>IF(H863+I863&lt;66,0,IF((H863+I863)/2&gt;=80,5,IF((H863+I863)/2&gt;=70,4,IF((H863+I863)/2&gt;=60,3.5,IF((H863+I863)/2&gt;=50,3,IF((H863+I863)/2&gt;=40,2,IF((H863+I863)/2&gt;=33,1,0)))))))</f>
        <v/>
      </c>
      <c r="AG863">
        <f>IF(Y863,0,IF((J863+K863+L863+M863)/2&gt;=80,5,IF((J863+K863+L863+M863)/2&gt;=70,4,IF((J863+K863+L863+M863)/2&gt;=60,3.5,IF((J863+K863+L863+M863)/2&gt;=50,3,IF((J863+K863+L863+M863)/2&gt;=40,2,IF((J863+K863+L863+M863)/2&gt;=33,1,0)))))))</f>
        <v/>
      </c>
      <c r="AH863">
        <f>IF(Z863,0,IF(N863+O863&gt;=80,5,IF(N863+O863&gt;=70,4,IF(N863+O863&gt;=60,3.5,IF(N863+O863&gt;=50,3,IF(N863+O863&gt;=40,2,IF(N863+O863&gt;=33,1,0)))))))</f>
        <v/>
      </c>
      <c r="AI863">
        <f>IF(AA863,0,IF(P863+Q863&gt;=80,5,IF(P863+Q863&gt;=70,4,IF(P863+Q863&gt;=60,3.5,IF(P863+Q863&gt;=50,3,IF(P863+Q863&gt;=40,2,IF(P863+Q863&gt;=33,1,0)))))))</f>
        <v/>
      </c>
      <c r="AJ863">
        <f>IF(R863&lt;8.25,0,IF(R863*2&gt;=80,5,IF(R863*2&gt;=70,4,IF(R863*2&gt;=60,3.5,IF(R863*2&gt;=50,3,IF(R863*2&gt;=40,2,IF(R863*2&gt;=33,1,0)))))))</f>
        <v/>
      </c>
      <c r="AK863">
        <f>IF(S863&lt;33,0,IF(S863&gt;=80,5,IF(S863&gt;=70,4,IF(S863&gt;=60,3.5,IF(S863&gt;=50,3,IF(S863&gt;=40,2,IF(S863&gt;=33,1,0)))))))</f>
        <v/>
      </c>
      <c r="AL863">
        <f>(AC863+AD863+AE863+AF863+AG863+AH863+AI863+AJ863)/8</f>
        <v/>
      </c>
      <c r="AM863">
        <f>IF(AK863&gt;=2,(AK863-2)/8,0)</f>
        <v/>
      </c>
    </row>
    <row r="864">
      <c r="T864">
        <f>SUM(C864:R864)</f>
        <v/>
      </c>
      <c r="U864" s="6">
        <f>ROUND(T864/11.5,2)</f>
        <v/>
      </c>
      <c r="V864" s="7">
        <f>IF(B864="","",IF(AB864,0,ROUND(AL864,2)))</f>
        <v/>
      </c>
      <c r="W864" s="7">
        <f>IF(B864="","",IF(AB864,0,MIN(5,ROUND(AL864+AM864,2))))</f>
        <v/>
      </c>
      <c r="X864" s="8">
        <f>IF(B864="","",IF(W864&gt;=5,"A+",IF(W864&gt;=4,"A",IF(W864&gt;=3.5,"A-",IF(W864&gt;=3,"B",IF(W864&gt;=2,"C",IF(W864&gt;=1,"D","F")))))))</f>
        <v/>
      </c>
      <c r="Y864">
        <f>NOT(OR(AND(J864&gt;=10,K864&gt;=23,L864&gt;=10,M864&gt;=23),AND(J864+L864&gt;=20,K864+M864&gt;=46)))</f>
        <v/>
      </c>
      <c r="Z864">
        <f>OR(N864&lt;10,O864&lt;23)</f>
        <v/>
      </c>
      <c r="AA864">
        <f>OR(P864&lt;10,Q864&lt;23)</f>
        <v/>
      </c>
      <c r="AB864">
        <f>OR((C864+D864)&lt;66,(E864+F864)&lt;66,G864&lt;33,(H864+I864)&lt;66,Y864,Z864,AA864,R864&lt;8.25)</f>
        <v/>
      </c>
      <c r="AC864">
        <f>IF(C864+D864&lt;66,0,IF((C864+D864)/2&gt;=80,5,IF((C864+D864)/2&gt;=70,4,IF((C864+D864)/2&gt;=60,3.5,IF((C864+D864)/2&gt;=50,3,IF((C864+D864)/2&gt;=40,2,IF((C864+D864)/2&gt;=33,1,0)))))))</f>
        <v/>
      </c>
      <c r="AD864">
        <f>IF(E864+F864&lt;66,0,IF((E864+F864)/2&gt;=80,5,IF((E864+F864)/2&gt;=70,4,IF((E864+F864)/2&gt;=60,3.5,IF((E864+F864)/2&gt;=50,3,IF((E864+F864)/2&gt;=40,2,IF((E864+F864)/2&gt;=33,1,0)))))))</f>
        <v/>
      </c>
      <c r="AE864">
        <f>IF(G864&lt;33,0,IF(G864&gt;=80,5,IF(G864&gt;=70,4,IF(G864&gt;=60,3.5,IF(G864&gt;=50,3,IF(G864&gt;=40,2,IF(G864&gt;=33,1,0)))))))</f>
        <v/>
      </c>
      <c r="AF864">
        <f>IF(H864+I864&lt;66,0,IF((H864+I864)/2&gt;=80,5,IF((H864+I864)/2&gt;=70,4,IF((H864+I864)/2&gt;=60,3.5,IF((H864+I864)/2&gt;=50,3,IF((H864+I864)/2&gt;=40,2,IF((H864+I864)/2&gt;=33,1,0)))))))</f>
        <v/>
      </c>
      <c r="AG864">
        <f>IF(Y864,0,IF((J864+K864+L864+M864)/2&gt;=80,5,IF((J864+K864+L864+M864)/2&gt;=70,4,IF((J864+K864+L864+M864)/2&gt;=60,3.5,IF((J864+K864+L864+M864)/2&gt;=50,3,IF((J864+K864+L864+M864)/2&gt;=40,2,IF((J864+K864+L864+M864)/2&gt;=33,1,0)))))))</f>
        <v/>
      </c>
      <c r="AH864">
        <f>IF(Z864,0,IF(N864+O864&gt;=80,5,IF(N864+O864&gt;=70,4,IF(N864+O864&gt;=60,3.5,IF(N864+O864&gt;=50,3,IF(N864+O864&gt;=40,2,IF(N864+O864&gt;=33,1,0)))))))</f>
        <v/>
      </c>
      <c r="AI864">
        <f>IF(AA864,0,IF(P864+Q864&gt;=80,5,IF(P864+Q864&gt;=70,4,IF(P864+Q864&gt;=60,3.5,IF(P864+Q864&gt;=50,3,IF(P864+Q864&gt;=40,2,IF(P864+Q864&gt;=33,1,0)))))))</f>
        <v/>
      </c>
      <c r="AJ864">
        <f>IF(R864&lt;8.25,0,IF(R864*2&gt;=80,5,IF(R864*2&gt;=70,4,IF(R864*2&gt;=60,3.5,IF(R864*2&gt;=50,3,IF(R864*2&gt;=40,2,IF(R864*2&gt;=33,1,0)))))))</f>
        <v/>
      </c>
      <c r="AK864">
        <f>IF(S864&lt;33,0,IF(S864&gt;=80,5,IF(S864&gt;=70,4,IF(S864&gt;=60,3.5,IF(S864&gt;=50,3,IF(S864&gt;=40,2,IF(S864&gt;=33,1,0)))))))</f>
        <v/>
      </c>
      <c r="AL864">
        <f>(AC864+AD864+AE864+AF864+AG864+AH864+AI864+AJ864)/8</f>
        <v/>
      </c>
      <c r="AM864">
        <f>IF(AK864&gt;=2,(AK864-2)/8,0)</f>
        <v/>
      </c>
    </row>
    <row r="865">
      <c r="T865">
        <f>SUM(C865:R865)</f>
        <v/>
      </c>
      <c r="U865" s="6">
        <f>ROUND(T865/11.5,2)</f>
        <v/>
      </c>
      <c r="V865" s="7">
        <f>IF(B865="","",IF(AB865,0,ROUND(AL865,2)))</f>
        <v/>
      </c>
      <c r="W865" s="7">
        <f>IF(B865="","",IF(AB865,0,MIN(5,ROUND(AL865+AM865,2))))</f>
        <v/>
      </c>
      <c r="X865" s="8">
        <f>IF(B865="","",IF(W865&gt;=5,"A+",IF(W865&gt;=4,"A",IF(W865&gt;=3.5,"A-",IF(W865&gt;=3,"B",IF(W865&gt;=2,"C",IF(W865&gt;=1,"D","F")))))))</f>
        <v/>
      </c>
      <c r="Y865">
        <f>NOT(OR(AND(J865&gt;=10,K865&gt;=23,L865&gt;=10,M865&gt;=23),AND(J865+L865&gt;=20,K865+M865&gt;=46)))</f>
        <v/>
      </c>
      <c r="Z865">
        <f>OR(N865&lt;10,O865&lt;23)</f>
        <v/>
      </c>
      <c r="AA865">
        <f>OR(P865&lt;10,Q865&lt;23)</f>
        <v/>
      </c>
      <c r="AB865">
        <f>OR((C865+D865)&lt;66,(E865+F865)&lt;66,G865&lt;33,(H865+I865)&lt;66,Y865,Z865,AA865,R865&lt;8.25)</f>
        <v/>
      </c>
      <c r="AC865">
        <f>IF(C865+D865&lt;66,0,IF((C865+D865)/2&gt;=80,5,IF((C865+D865)/2&gt;=70,4,IF((C865+D865)/2&gt;=60,3.5,IF((C865+D865)/2&gt;=50,3,IF((C865+D865)/2&gt;=40,2,IF((C865+D865)/2&gt;=33,1,0)))))))</f>
        <v/>
      </c>
      <c r="AD865">
        <f>IF(E865+F865&lt;66,0,IF((E865+F865)/2&gt;=80,5,IF((E865+F865)/2&gt;=70,4,IF((E865+F865)/2&gt;=60,3.5,IF((E865+F865)/2&gt;=50,3,IF((E865+F865)/2&gt;=40,2,IF((E865+F865)/2&gt;=33,1,0)))))))</f>
        <v/>
      </c>
      <c r="AE865">
        <f>IF(G865&lt;33,0,IF(G865&gt;=80,5,IF(G865&gt;=70,4,IF(G865&gt;=60,3.5,IF(G865&gt;=50,3,IF(G865&gt;=40,2,IF(G865&gt;=33,1,0)))))))</f>
        <v/>
      </c>
      <c r="AF865">
        <f>IF(H865+I865&lt;66,0,IF((H865+I865)/2&gt;=80,5,IF((H865+I865)/2&gt;=70,4,IF((H865+I865)/2&gt;=60,3.5,IF((H865+I865)/2&gt;=50,3,IF((H865+I865)/2&gt;=40,2,IF((H865+I865)/2&gt;=33,1,0)))))))</f>
        <v/>
      </c>
      <c r="AG865">
        <f>IF(Y865,0,IF((J865+K865+L865+M865)/2&gt;=80,5,IF((J865+K865+L865+M865)/2&gt;=70,4,IF((J865+K865+L865+M865)/2&gt;=60,3.5,IF((J865+K865+L865+M865)/2&gt;=50,3,IF((J865+K865+L865+M865)/2&gt;=40,2,IF((J865+K865+L865+M865)/2&gt;=33,1,0)))))))</f>
        <v/>
      </c>
      <c r="AH865">
        <f>IF(Z865,0,IF(N865+O865&gt;=80,5,IF(N865+O865&gt;=70,4,IF(N865+O865&gt;=60,3.5,IF(N865+O865&gt;=50,3,IF(N865+O865&gt;=40,2,IF(N865+O865&gt;=33,1,0)))))))</f>
        <v/>
      </c>
      <c r="AI865">
        <f>IF(AA865,0,IF(P865+Q865&gt;=80,5,IF(P865+Q865&gt;=70,4,IF(P865+Q865&gt;=60,3.5,IF(P865+Q865&gt;=50,3,IF(P865+Q865&gt;=40,2,IF(P865+Q865&gt;=33,1,0)))))))</f>
        <v/>
      </c>
      <c r="AJ865">
        <f>IF(R865&lt;8.25,0,IF(R865*2&gt;=80,5,IF(R865*2&gt;=70,4,IF(R865*2&gt;=60,3.5,IF(R865*2&gt;=50,3,IF(R865*2&gt;=40,2,IF(R865*2&gt;=33,1,0)))))))</f>
        <v/>
      </c>
      <c r="AK865">
        <f>IF(S865&lt;33,0,IF(S865&gt;=80,5,IF(S865&gt;=70,4,IF(S865&gt;=60,3.5,IF(S865&gt;=50,3,IF(S865&gt;=40,2,IF(S865&gt;=33,1,0)))))))</f>
        <v/>
      </c>
      <c r="AL865">
        <f>(AC865+AD865+AE865+AF865+AG865+AH865+AI865+AJ865)/8</f>
        <v/>
      </c>
      <c r="AM865">
        <f>IF(AK865&gt;=2,(AK865-2)/8,0)</f>
        <v/>
      </c>
    </row>
    <row r="866">
      <c r="T866">
        <f>SUM(C866:R866)</f>
        <v/>
      </c>
      <c r="U866" s="6">
        <f>ROUND(T866/11.5,2)</f>
        <v/>
      </c>
      <c r="V866" s="7">
        <f>IF(B866="","",IF(AB866,0,ROUND(AL866,2)))</f>
        <v/>
      </c>
      <c r="W866" s="7">
        <f>IF(B866="","",IF(AB866,0,MIN(5,ROUND(AL866+AM866,2))))</f>
        <v/>
      </c>
      <c r="X866" s="8">
        <f>IF(B866="","",IF(W866&gt;=5,"A+",IF(W866&gt;=4,"A",IF(W866&gt;=3.5,"A-",IF(W866&gt;=3,"B",IF(W866&gt;=2,"C",IF(W866&gt;=1,"D","F")))))))</f>
        <v/>
      </c>
      <c r="Y866">
        <f>NOT(OR(AND(J866&gt;=10,K866&gt;=23,L866&gt;=10,M866&gt;=23),AND(J866+L866&gt;=20,K866+M866&gt;=46)))</f>
        <v/>
      </c>
      <c r="Z866">
        <f>OR(N866&lt;10,O866&lt;23)</f>
        <v/>
      </c>
      <c r="AA866">
        <f>OR(P866&lt;10,Q866&lt;23)</f>
        <v/>
      </c>
      <c r="AB866">
        <f>OR((C866+D866)&lt;66,(E866+F866)&lt;66,G866&lt;33,(H866+I866)&lt;66,Y866,Z866,AA866,R866&lt;8.25)</f>
        <v/>
      </c>
      <c r="AC866">
        <f>IF(C866+D866&lt;66,0,IF((C866+D866)/2&gt;=80,5,IF((C866+D866)/2&gt;=70,4,IF((C866+D866)/2&gt;=60,3.5,IF((C866+D866)/2&gt;=50,3,IF((C866+D866)/2&gt;=40,2,IF((C866+D866)/2&gt;=33,1,0)))))))</f>
        <v/>
      </c>
      <c r="AD866">
        <f>IF(E866+F866&lt;66,0,IF((E866+F866)/2&gt;=80,5,IF((E866+F866)/2&gt;=70,4,IF((E866+F866)/2&gt;=60,3.5,IF((E866+F866)/2&gt;=50,3,IF((E866+F866)/2&gt;=40,2,IF((E866+F866)/2&gt;=33,1,0)))))))</f>
        <v/>
      </c>
      <c r="AE866">
        <f>IF(G866&lt;33,0,IF(G866&gt;=80,5,IF(G866&gt;=70,4,IF(G866&gt;=60,3.5,IF(G866&gt;=50,3,IF(G866&gt;=40,2,IF(G866&gt;=33,1,0)))))))</f>
        <v/>
      </c>
      <c r="AF866">
        <f>IF(H866+I866&lt;66,0,IF((H866+I866)/2&gt;=80,5,IF((H866+I866)/2&gt;=70,4,IF((H866+I866)/2&gt;=60,3.5,IF((H866+I866)/2&gt;=50,3,IF((H866+I866)/2&gt;=40,2,IF((H866+I866)/2&gt;=33,1,0)))))))</f>
        <v/>
      </c>
      <c r="AG866">
        <f>IF(Y866,0,IF((J866+K866+L866+M866)/2&gt;=80,5,IF((J866+K866+L866+M866)/2&gt;=70,4,IF((J866+K866+L866+M866)/2&gt;=60,3.5,IF((J866+K866+L866+M866)/2&gt;=50,3,IF((J866+K866+L866+M866)/2&gt;=40,2,IF((J866+K866+L866+M866)/2&gt;=33,1,0)))))))</f>
        <v/>
      </c>
      <c r="AH866">
        <f>IF(Z866,0,IF(N866+O866&gt;=80,5,IF(N866+O866&gt;=70,4,IF(N866+O866&gt;=60,3.5,IF(N866+O866&gt;=50,3,IF(N866+O866&gt;=40,2,IF(N866+O866&gt;=33,1,0)))))))</f>
        <v/>
      </c>
      <c r="AI866">
        <f>IF(AA866,0,IF(P866+Q866&gt;=80,5,IF(P866+Q866&gt;=70,4,IF(P866+Q866&gt;=60,3.5,IF(P866+Q866&gt;=50,3,IF(P866+Q866&gt;=40,2,IF(P866+Q866&gt;=33,1,0)))))))</f>
        <v/>
      </c>
      <c r="AJ866">
        <f>IF(R866&lt;8.25,0,IF(R866*2&gt;=80,5,IF(R866*2&gt;=70,4,IF(R866*2&gt;=60,3.5,IF(R866*2&gt;=50,3,IF(R866*2&gt;=40,2,IF(R866*2&gt;=33,1,0)))))))</f>
        <v/>
      </c>
      <c r="AK866">
        <f>IF(S866&lt;33,0,IF(S866&gt;=80,5,IF(S866&gt;=70,4,IF(S866&gt;=60,3.5,IF(S866&gt;=50,3,IF(S866&gt;=40,2,IF(S866&gt;=33,1,0)))))))</f>
        <v/>
      </c>
      <c r="AL866">
        <f>(AC866+AD866+AE866+AF866+AG866+AH866+AI866+AJ866)/8</f>
        <v/>
      </c>
      <c r="AM866">
        <f>IF(AK866&gt;=2,(AK866-2)/8,0)</f>
        <v/>
      </c>
    </row>
    <row r="867">
      <c r="T867">
        <f>SUM(C867:R867)</f>
        <v/>
      </c>
      <c r="U867" s="6">
        <f>ROUND(T867/11.5,2)</f>
        <v/>
      </c>
      <c r="V867" s="7">
        <f>IF(B867="","",IF(AB867,0,ROUND(AL867,2)))</f>
        <v/>
      </c>
      <c r="W867" s="7">
        <f>IF(B867="","",IF(AB867,0,MIN(5,ROUND(AL867+AM867,2))))</f>
        <v/>
      </c>
      <c r="X867" s="8">
        <f>IF(B867="","",IF(W867&gt;=5,"A+",IF(W867&gt;=4,"A",IF(W867&gt;=3.5,"A-",IF(W867&gt;=3,"B",IF(W867&gt;=2,"C",IF(W867&gt;=1,"D","F")))))))</f>
        <v/>
      </c>
      <c r="Y867">
        <f>NOT(OR(AND(J867&gt;=10,K867&gt;=23,L867&gt;=10,M867&gt;=23),AND(J867+L867&gt;=20,K867+M867&gt;=46)))</f>
        <v/>
      </c>
      <c r="Z867">
        <f>OR(N867&lt;10,O867&lt;23)</f>
        <v/>
      </c>
      <c r="AA867">
        <f>OR(P867&lt;10,Q867&lt;23)</f>
        <v/>
      </c>
      <c r="AB867">
        <f>OR((C867+D867)&lt;66,(E867+F867)&lt;66,G867&lt;33,(H867+I867)&lt;66,Y867,Z867,AA867,R867&lt;8.25)</f>
        <v/>
      </c>
      <c r="AC867">
        <f>IF(C867+D867&lt;66,0,IF((C867+D867)/2&gt;=80,5,IF((C867+D867)/2&gt;=70,4,IF((C867+D867)/2&gt;=60,3.5,IF((C867+D867)/2&gt;=50,3,IF((C867+D867)/2&gt;=40,2,IF((C867+D867)/2&gt;=33,1,0)))))))</f>
        <v/>
      </c>
      <c r="AD867">
        <f>IF(E867+F867&lt;66,0,IF((E867+F867)/2&gt;=80,5,IF((E867+F867)/2&gt;=70,4,IF((E867+F867)/2&gt;=60,3.5,IF((E867+F867)/2&gt;=50,3,IF((E867+F867)/2&gt;=40,2,IF((E867+F867)/2&gt;=33,1,0)))))))</f>
        <v/>
      </c>
      <c r="AE867">
        <f>IF(G867&lt;33,0,IF(G867&gt;=80,5,IF(G867&gt;=70,4,IF(G867&gt;=60,3.5,IF(G867&gt;=50,3,IF(G867&gt;=40,2,IF(G867&gt;=33,1,0)))))))</f>
        <v/>
      </c>
      <c r="AF867">
        <f>IF(H867+I867&lt;66,0,IF((H867+I867)/2&gt;=80,5,IF((H867+I867)/2&gt;=70,4,IF((H867+I867)/2&gt;=60,3.5,IF((H867+I867)/2&gt;=50,3,IF((H867+I867)/2&gt;=40,2,IF((H867+I867)/2&gt;=33,1,0)))))))</f>
        <v/>
      </c>
      <c r="AG867">
        <f>IF(Y867,0,IF((J867+K867+L867+M867)/2&gt;=80,5,IF((J867+K867+L867+M867)/2&gt;=70,4,IF((J867+K867+L867+M867)/2&gt;=60,3.5,IF((J867+K867+L867+M867)/2&gt;=50,3,IF((J867+K867+L867+M867)/2&gt;=40,2,IF((J867+K867+L867+M867)/2&gt;=33,1,0)))))))</f>
        <v/>
      </c>
      <c r="AH867">
        <f>IF(Z867,0,IF(N867+O867&gt;=80,5,IF(N867+O867&gt;=70,4,IF(N867+O867&gt;=60,3.5,IF(N867+O867&gt;=50,3,IF(N867+O867&gt;=40,2,IF(N867+O867&gt;=33,1,0)))))))</f>
        <v/>
      </c>
      <c r="AI867">
        <f>IF(AA867,0,IF(P867+Q867&gt;=80,5,IF(P867+Q867&gt;=70,4,IF(P867+Q867&gt;=60,3.5,IF(P867+Q867&gt;=50,3,IF(P867+Q867&gt;=40,2,IF(P867+Q867&gt;=33,1,0)))))))</f>
        <v/>
      </c>
      <c r="AJ867">
        <f>IF(R867&lt;8.25,0,IF(R867*2&gt;=80,5,IF(R867*2&gt;=70,4,IF(R867*2&gt;=60,3.5,IF(R867*2&gt;=50,3,IF(R867*2&gt;=40,2,IF(R867*2&gt;=33,1,0)))))))</f>
        <v/>
      </c>
      <c r="AK867">
        <f>IF(S867&lt;33,0,IF(S867&gt;=80,5,IF(S867&gt;=70,4,IF(S867&gt;=60,3.5,IF(S867&gt;=50,3,IF(S867&gt;=40,2,IF(S867&gt;=33,1,0)))))))</f>
        <v/>
      </c>
      <c r="AL867">
        <f>(AC867+AD867+AE867+AF867+AG867+AH867+AI867+AJ867)/8</f>
        <v/>
      </c>
      <c r="AM867">
        <f>IF(AK867&gt;=2,(AK867-2)/8,0)</f>
        <v/>
      </c>
    </row>
    <row r="868">
      <c r="T868">
        <f>SUM(C868:R868)</f>
        <v/>
      </c>
      <c r="U868" s="6">
        <f>ROUND(T868/11.5,2)</f>
        <v/>
      </c>
      <c r="V868" s="7">
        <f>IF(B868="","",IF(AB868,0,ROUND(AL868,2)))</f>
        <v/>
      </c>
      <c r="W868" s="7">
        <f>IF(B868="","",IF(AB868,0,MIN(5,ROUND(AL868+AM868,2))))</f>
        <v/>
      </c>
      <c r="X868" s="8">
        <f>IF(B868="","",IF(W868&gt;=5,"A+",IF(W868&gt;=4,"A",IF(W868&gt;=3.5,"A-",IF(W868&gt;=3,"B",IF(W868&gt;=2,"C",IF(W868&gt;=1,"D","F")))))))</f>
        <v/>
      </c>
      <c r="Y868">
        <f>NOT(OR(AND(J868&gt;=10,K868&gt;=23,L868&gt;=10,M868&gt;=23),AND(J868+L868&gt;=20,K868+M868&gt;=46)))</f>
        <v/>
      </c>
      <c r="Z868">
        <f>OR(N868&lt;10,O868&lt;23)</f>
        <v/>
      </c>
      <c r="AA868">
        <f>OR(P868&lt;10,Q868&lt;23)</f>
        <v/>
      </c>
      <c r="AB868">
        <f>OR((C868+D868)&lt;66,(E868+F868)&lt;66,G868&lt;33,(H868+I868)&lt;66,Y868,Z868,AA868,R868&lt;8.25)</f>
        <v/>
      </c>
      <c r="AC868">
        <f>IF(C868+D868&lt;66,0,IF((C868+D868)/2&gt;=80,5,IF((C868+D868)/2&gt;=70,4,IF((C868+D868)/2&gt;=60,3.5,IF((C868+D868)/2&gt;=50,3,IF((C868+D868)/2&gt;=40,2,IF((C868+D868)/2&gt;=33,1,0)))))))</f>
        <v/>
      </c>
      <c r="AD868">
        <f>IF(E868+F868&lt;66,0,IF((E868+F868)/2&gt;=80,5,IF((E868+F868)/2&gt;=70,4,IF((E868+F868)/2&gt;=60,3.5,IF((E868+F868)/2&gt;=50,3,IF((E868+F868)/2&gt;=40,2,IF((E868+F868)/2&gt;=33,1,0)))))))</f>
        <v/>
      </c>
      <c r="AE868">
        <f>IF(G868&lt;33,0,IF(G868&gt;=80,5,IF(G868&gt;=70,4,IF(G868&gt;=60,3.5,IF(G868&gt;=50,3,IF(G868&gt;=40,2,IF(G868&gt;=33,1,0)))))))</f>
        <v/>
      </c>
      <c r="AF868">
        <f>IF(H868+I868&lt;66,0,IF((H868+I868)/2&gt;=80,5,IF((H868+I868)/2&gt;=70,4,IF((H868+I868)/2&gt;=60,3.5,IF((H868+I868)/2&gt;=50,3,IF((H868+I868)/2&gt;=40,2,IF((H868+I868)/2&gt;=33,1,0)))))))</f>
        <v/>
      </c>
      <c r="AG868">
        <f>IF(Y868,0,IF((J868+K868+L868+M868)/2&gt;=80,5,IF((J868+K868+L868+M868)/2&gt;=70,4,IF((J868+K868+L868+M868)/2&gt;=60,3.5,IF((J868+K868+L868+M868)/2&gt;=50,3,IF((J868+K868+L868+M868)/2&gt;=40,2,IF((J868+K868+L868+M868)/2&gt;=33,1,0)))))))</f>
        <v/>
      </c>
      <c r="AH868">
        <f>IF(Z868,0,IF(N868+O868&gt;=80,5,IF(N868+O868&gt;=70,4,IF(N868+O868&gt;=60,3.5,IF(N868+O868&gt;=50,3,IF(N868+O868&gt;=40,2,IF(N868+O868&gt;=33,1,0)))))))</f>
        <v/>
      </c>
      <c r="AI868">
        <f>IF(AA868,0,IF(P868+Q868&gt;=80,5,IF(P868+Q868&gt;=70,4,IF(P868+Q868&gt;=60,3.5,IF(P868+Q868&gt;=50,3,IF(P868+Q868&gt;=40,2,IF(P868+Q868&gt;=33,1,0)))))))</f>
        <v/>
      </c>
      <c r="AJ868">
        <f>IF(R868&lt;8.25,0,IF(R868*2&gt;=80,5,IF(R868*2&gt;=70,4,IF(R868*2&gt;=60,3.5,IF(R868*2&gt;=50,3,IF(R868*2&gt;=40,2,IF(R868*2&gt;=33,1,0)))))))</f>
        <v/>
      </c>
      <c r="AK868">
        <f>IF(S868&lt;33,0,IF(S868&gt;=80,5,IF(S868&gt;=70,4,IF(S868&gt;=60,3.5,IF(S868&gt;=50,3,IF(S868&gt;=40,2,IF(S868&gt;=33,1,0)))))))</f>
        <v/>
      </c>
      <c r="AL868">
        <f>(AC868+AD868+AE868+AF868+AG868+AH868+AI868+AJ868)/8</f>
        <v/>
      </c>
      <c r="AM868">
        <f>IF(AK868&gt;=2,(AK868-2)/8,0)</f>
        <v/>
      </c>
    </row>
    <row r="869">
      <c r="T869">
        <f>SUM(C869:R869)</f>
        <v/>
      </c>
      <c r="U869" s="6">
        <f>ROUND(T869/11.5,2)</f>
        <v/>
      </c>
      <c r="V869" s="7">
        <f>IF(B869="","",IF(AB869,0,ROUND(AL869,2)))</f>
        <v/>
      </c>
      <c r="W869" s="7">
        <f>IF(B869="","",IF(AB869,0,MIN(5,ROUND(AL869+AM869,2))))</f>
        <v/>
      </c>
      <c r="X869" s="8">
        <f>IF(B869="","",IF(W869&gt;=5,"A+",IF(W869&gt;=4,"A",IF(W869&gt;=3.5,"A-",IF(W869&gt;=3,"B",IF(W869&gt;=2,"C",IF(W869&gt;=1,"D","F")))))))</f>
        <v/>
      </c>
      <c r="Y869">
        <f>NOT(OR(AND(J869&gt;=10,K869&gt;=23,L869&gt;=10,M869&gt;=23),AND(J869+L869&gt;=20,K869+M869&gt;=46)))</f>
        <v/>
      </c>
      <c r="Z869">
        <f>OR(N869&lt;10,O869&lt;23)</f>
        <v/>
      </c>
      <c r="AA869">
        <f>OR(P869&lt;10,Q869&lt;23)</f>
        <v/>
      </c>
      <c r="AB869">
        <f>OR((C869+D869)&lt;66,(E869+F869)&lt;66,G869&lt;33,(H869+I869)&lt;66,Y869,Z869,AA869,R869&lt;8.25)</f>
        <v/>
      </c>
      <c r="AC869">
        <f>IF(C869+D869&lt;66,0,IF((C869+D869)/2&gt;=80,5,IF((C869+D869)/2&gt;=70,4,IF((C869+D869)/2&gt;=60,3.5,IF((C869+D869)/2&gt;=50,3,IF((C869+D869)/2&gt;=40,2,IF((C869+D869)/2&gt;=33,1,0)))))))</f>
        <v/>
      </c>
      <c r="AD869">
        <f>IF(E869+F869&lt;66,0,IF((E869+F869)/2&gt;=80,5,IF((E869+F869)/2&gt;=70,4,IF((E869+F869)/2&gt;=60,3.5,IF((E869+F869)/2&gt;=50,3,IF((E869+F869)/2&gt;=40,2,IF((E869+F869)/2&gt;=33,1,0)))))))</f>
        <v/>
      </c>
      <c r="AE869">
        <f>IF(G869&lt;33,0,IF(G869&gt;=80,5,IF(G869&gt;=70,4,IF(G869&gt;=60,3.5,IF(G869&gt;=50,3,IF(G869&gt;=40,2,IF(G869&gt;=33,1,0)))))))</f>
        <v/>
      </c>
      <c r="AF869">
        <f>IF(H869+I869&lt;66,0,IF((H869+I869)/2&gt;=80,5,IF((H869+I869)/2&gt;=70,4,IF((H869+I869)/2&gt;=60,3.5,IF((H869+I869)/2&gt;=50,3,IF((H869+I869)/2&gt;=40,2,IF((H869+I869)/2&gt;=33,1,0)))))))</f>
        <v/>
      </c>
      <c r="AG869">
        <f>IF(Y869,0,IF((J869+K869+L869+M869)/2&gt;=80,5,IF((J869+K869+L869+M869)/2&gt;=70,4,IF((J869+K869+L869+M869)/2&gt;=60,3.5,IF((J869+K869+L869+M869)/2&gt;=50,3,IF((J869+K869+L869+M869)/2&gt;=40,2,IF((J869+K869+L869+M869)/2&gt;=33,1,0)))))))</f>
        <v/>
      </c>
      <c r="AH869">
        <f>IF(Z869,0,IF(N869+O869&gt;=80,5,IF(N869+O869&gt;=70,4,IF(N869+O869&gt;=60,3.5,IF(N869+O869&gt;=50,3,IF(N869+O869&gt;=40,2,IF(N869+O869&gt;=33,1,0)))))))</f>
        <v/>
      </c>
      <c r="AI869">
        <f>IF(AA869,0,IF(P869+Q869&gt;=80,5,IF(P869+Q869&gt;=70,4,IF(P869+Q869&gt;=60,3.5,IF(P869+Q869&gt;=50,3,IF(P869+Q869&gt;=40,2,IF(P869+Q869&gt;=33,1,0)))))))</f>
        <v/>
      </c>
      <c r="AJ869">
        <f>IF(R869&lt;8.25,0,IF(R869*2&gt;=80,5,IF(R869*2&gt;=70,4,IF(R869*2&gt;=60,3.5,IF(R869*2&gt;=50,3,IF(R869*2&gt;=40,2,IF(R869*2&gt;=33,1,0)))))))</f>
        <v/>
      </c>
      <c r="AK869">
        <f>IF(S869&lt;33,0,IF(S869&gt;=80,5,IF(S869&gt;=70,4,IF(S869&gt;=60,3.5,IF(S869&gt;=50,3,IF(S869&gt;=40,2,IF(S869&gt;=33,1,0)))))))</f>
        <v/>
      </c>
      <c r="AL869">
        <f>(AC869+AD869+AE869+AF869+AG869+AH869+AI869+AJ869)/8</f>
        <v/>
      </c>
      <c r="AM869">
        <f>IF(AK869&gt;=2,(AK869-2)/8,0)</f>
        <v/>
      </c>
    </row>
    <row r="870">
      <c r="T870">
        <f>SUM(C870:R870)</f>
        <v/>
      </c>
      <c r="U870" s="6">
        <f>ROUND(T870/11.5,2)</f>
        <v/>
      </c>
      <c r="V870" s="7">
        <f>IF(B870="","",IF(AB870,0,ROUND(AL870,2)))</f>
        <v/>
      </c>
      <c r="W870" s="7">
        <f>IF(B870="","",IF(AB870,0,MIN(5,ROUND(AL870+AM870,2))))</f>
        <v/>
      </c>
      <c r="X870" s="8">
        <f>IF(B870="","",IF(W870&gt;=5,"A+",IF(W870&gt;=4,"A",IF(W870&gt;=3.5,"A-",IF(W870&gt;=3,"B",IF(W870&gt;=2,"C",IF(W870&gt;=1,"D","F")))))))</f>
        <v/>
      </c>
      <c r="Y870">
        <f>NOT(OR(AND(J870&gt;=10,K870&gt;=23,L870&gt;=10,M870&gt;=23),AND(J870+L870&gt;=20,K870+M870&gt;=46)))</f>
        <v/>
      </c>
      <c r="Z870">
        <f>OR(N870&lt;10,O870&lt;23)</f>
        <v/>
      </c>
      <c r="AA870">
        <f>OR(P870&lt;10,Q870&lt;23)</f>
        <v/>
      </c>
      <c r="AB870">
        <f>OR((C870+D870)&lt;66,(E870+F870)&lt;66,G870&lt;33,(H870+I870)&lt;66,Y870,Z870,AA870,R870&lt;8.25)</f>
        <v/>
      </c>
      <c r="AC870">
        <f>IF(C870+D870&lt;66,0,IF((C870+D870)/2&gt;=80,5,IF((C870+D870)/2&gt;=70,4,IF((C870+D870)/2&gt;=60,3.5,IF((C870+D870)/2&gt;=50,3,IF((C870+D870)/2&gt;=40,2,IF((C870+D870)/2&gt;=33,1,0)))))))</f>
        <v/>
      </c>
      <c r="AD870">
        <f>IF(E870+F870&lt;66,0,IF((E870+F870)/2&gt;=80,5,IF((E870+F870)/2&gt;=70,4,IF((E870+F870)/2&gt;=60,3.5,IF((E870+F870)/2&gt;=50,3,IF((E870+F870)/2&gt;=40,2,IF((E870+F870)/2&gt;=33,1,0)))))))</f>
        <v/>
      </c>
      <c r="AE870">
        <f>IF(G870&lt;33,0,IF(G870&gt;=80,5,IF(G870&gt;=70,4,IF(G870&gt;=60,3.5,IF(G870&gt;=50,3,IF(G870&gt;=40,2,IF(G870&gt;=33,1,0)))))))</f>
        <v/>
      </c>
      <c r="AF870">
        <f>IF(H870+I870&lt;66,0,IF((H870+I870)/2&gt;=80,5,IF((H870+I870)/2&gt;=70,4,IF((H870+I870)/2&gt;=60,3.5,IF((H870+I870)/2&gt;=50,3,IF((H870+I870)/2&gt;=40,2,IF((H870+I870)/2&gt;=33,1,0)))))))</f>
        <v/>
      </c>
      <c r="AG870">
        <f>IF(Y870,0,IF((J870+K870+L870+M870)/2&gt;=80,5,IF((J870+K870+L870+M870)/2&gt;=70,4,IF((J870+K870+L870+M870)/2&gt;=60,3.5,IF((J870+K870+L870+M870)/2&gt;=50,3,IF((J870+K870+L870+M870)/2&gt;=40,2,IF((J870+K870+L870+M870)/2&gt;=33,1,0)))))))</f>
        <v/>
      </c>
      <c r="AH870">
        <f>IF(Z870,0,IF(N870+O870&gt;=80,5,IF(N870+O870&gt;=70,4,IF(N870+O870&gt;=60,3.5,IF(N870+O870&gt;=50,3,IF(N870+O870&gt;=40,2,IF(N870+O870&gt;=33,1,0)))))))</f>
        <v/>
      </c>
      <c r="AI870">
        <f>IF(AA870,0,IF(P870+Q870&gt;=80,5,IF(P870+Q870&gt;=70,4,IF(P870+Q870&gt;=60,3.5,IF(P870+Q870&gt;=50,3,IF(P870+Q870&gt;=40,2,IF(P870+Q870&gt;=33,1,0)))))))</f>
        <v/>
      </c>
      <c r="AJ870">
        <f>IF(R870&lt;8.25,0,IF(R870*2&gt;=80,5,IF(R870*2&gt;=70,4,IF(R870*2&gt;=60,3.5,IF(R870*2&gt;=50,3,IF(R870*2&gt;=40,2,IF(R870*2&gt;=33,1,0)))))))</f>
        <v/>
      </c>
      <c r="AK870">
        <f>IF(S870&lt;33,0,IF(S870&gt;=80,5,IF(S870&gt;=70,4,IF(S870&gt;=60,3.5,IF(S870&gt;=50,3,IF(S870&gt;=40,2,IF(S870&gt;=33,1,0)))))))</f>
        <v/>
      </c>
      <c r="AL870">
        <f>(AC870+AD870+AE870+AF870+AG870+AH870+AI870+AJ870)/8</f>
        <v/>
      </c>
      <c r="AM870">
        <f>IF(AK870&gt;=2,(AK870-2)/8,0)</f>
        <v/>
      </c>
    </row>
    <row r="871">
      <c r="T871">
        <f>SUM(C871:R871)</f>
        <v/>
      </c>
      <c r="U871" s="6">
        <f>ROUND(T871/11.5,2)</f>
        <v/>
      </c>
      <c r="V871" s="7">
        <f>IF(B871="","",IF(AB871,0,ROUND(AL871,2)))</f>
        <v/>
      </c>
      <c r="W871" s="7">
        <f>IF(B871="","",IF(AB871,0,MIN(5,ROUND(AL871+AM871,2))))</f>
        <v/>
      </c>
      <c r="X871" s="8">
        <f>IF(B871="","",IF(W871&gt;=5,"A+",IF(W871&gt;=4,"A",IF(W871&gt;=3.5,"A-",IF(W871&gt;=3,"B",IF(W871&gt;=2,"C",IF(W871&gt;=1,"D","F")))))))</f>
        <v/>
      </c>
      <c r="Y871">
        <f>NOT(OR(AND(J871&gt;=10,K871&gt;=23,L871&gt;=10,M871&gt;=23),AND(J871+L871&gt;=20,K871+M871&gt;=46)))</f>
        <v/>
      </c>
      <c r="Z871">
        <f>OR(N871&lt;10,O871&lt;23)</f>
        <v/>
      </c>
      <c r="AA871">
        <f>OR(P871&lt;10,Q871&lt;23)</f>
        <v/>
      </c>
      <c r="AB871">
        <f>OR((C871+D871)&lt;66,(E871+F871)&lt;66,G871&lt;33,(H871+I871)&lt;66,Y871,Z871,AA871,R871&lt;8.25)</f>
        <v/>
      </c>
      <c r="AC871">
        <f>IF(C871+D871&lt;66,0,IF((C871+D871)/2&gt;=80,5,IF((C871+D871)/2&gt;=70,4,IF((C871+D871)/2&gt;=60,3.5,IF((C871+D871)/2&gt;=50,3,IF((C871+D871)/2&gt;=40,2,IF((C871+D871)/2&gt;=33,1,0)))))))</f>
        <v/>
      </c>
      <c r="AD871">
        <f>IF(E871+F871&lt;66,0,IF((E871+F871)/2&gt;=80,5,IF((E871+F871)/2&gt;=70,4,IF((E871+F871)/2&gt;=60,3.5,IF((E871+F871)/2&gt;=50,3,IF((E871+F871)/2&gt;=40,2,IF((E871+F871)/2&gt;=33,1,0)))))))</f>
        <v/>
      </c>
      <c r="AE871">
        <f>IF(G871&lt;33,0,IF(G871&gt;=80,5,IF(G871&gt;=70,4,IF(G871&gt;=60,3.5,IF(G871&gt;=50,3,IF(G871&gt;=40,2,IF(G871&gt;=33,1,0)))))))</f>
        <v/>
      </c>
      <c r="AF871">
        <f>IF(H871+I871&lt;66,0,IF((H871+I871)/2&gt;=80,5,IF((H871+I871)/2&gt;=70,4,IF((H871+I871)/2&gt;=60,3.5,IF((H871+I871)/2&gt;=50,3,IF((H871+I871)/2&gt;=40,2,IF((H871+I871)/2&gt;=33,1,0)))))))</f>
        <v/>
      </c>
      <c r="AG871">
        <f>IF(Y871,0,IF((J871+K871+L871+M871)/2&gt;=80,5,IF((J871+K871+L871+M871)/2&gt;=70,4,IF((J871+K871+L871+M871)/2&gt;=60,3.5,IF((J871+K871+L871+M871)/2&gt;=50,3,IF((J871+K871+L871+M871)/2&gt;=40,2,IF((J871+K871+L871+M871)/2&gt;=33,1,0)))))))</f>
        <v/>
      </c>
      <c r="AH871">
        <f>IF(Z871,0,IF(N871+O871&gt;=80,5,IF(N871+O871&gt;=70,4,IF(N871+O871&gt;=60,3.5,IF(N871+O871&gt;=50,3,IF(N871+O871&gt;=40,2,IF(N871+O871&gt;=33,1,0)))))))</f>
        <v/>
      </c>
      <c r="AI871">
        <f>IF(AA871,0,IF(P871+Q871&gt;=80,5,IF(P871+Q871&gt;=70,4,IF(P871+Q871&gt;=60,3.5,IF(P871+Q871&gt;=50,3,IF(P871+Q871&gt;=40,2,IF(P871+Q871&gt;=33,1,0)))))))</f>
        <v/>
      </c>
      <c r="AJ871">
        <f>IF(R871&lt;8.25,0,IF(R871*2&gt;=80,5,IF(R871*2&gt;=70,4,IF(R871*2&gt;=60,3.5,IF(R871*2&gt;=50,3,IF(R871*2&gt;=40,2,IF(R871*2&gt;=33,1,0)))))))</f>
        <v/>
      </c>
      <c r="AK871">
        <f>IF(S871&lt;33,0,IF(S871&gt;=80,5,IF(S871&gt;=70,4,IF(S871&gt;=60,3.5,IF(S871&gt;=50,3,IF(S871&gt;=40,2,IF(S871&gt;=33,1,0)))))))</f>
        <v/>
      </c>
      <c r="AL871">
        <f>(AC871+AD871+AE871+AF871+AG871+AH871+AI871+AJ871)/8</f>
        <v/>
      </c>
      <c r="AM871">
        <f>IF(AK871&gt;=2,(AK871-2)/8,0)</f>
        <v/>
      </c>
    </row>
    <row r="872">
      <c r="T872">
        <f>SUM(C872:R872)</f>
        <v/>
      </c>
      <c r="U872" s="6">
        <f>ROUND(T872/11.5,2)</f>
        <v/>
      </c>
      <c r="V872" s="7">
        <f>IF(B872="","",IF(AB872,0,ROUND(AL872,2)))</f>
        <v/>
      </c>
      <c r="W872" s="7">
        <f>IF(B872="","",IF(AB872,0,MIN(5,ROUND(AL872+AM872,2))))</f>
        <v/>
      </c>
      <c r="X872" s="8">
        <f>IF(B872="","",IF(W872&gt;=5,"A+",IF(W872&gt;=4,"A",IF(W872&gt;=3.5,"A-",IF(W872&gt;=3,"B",IF(W872&gt;=2,"C",IF(W872&gt;=1,"D","F")))))))</f>
        <v/>
      </c>
      <c r="Y872">
        <f>NOT(OR(AND(J872&gt;=10,K872&gt;=23,L872&gt;=10,M872&gt;=23),AND(J872+L872&gt;=20,K872+M872&gt;=46)))</f>
        <v/>
      </c>
      <c r="Z872">
        <f>OR(N872&lt;10,O872&lt;23)</f>
        <v/>
      </c>
      <c r="AA872">
        <f>OR(P872&lt;10,Q872&lt;23)</f>
        <v/>
      </c>
      <c r="AB872">
        <f>OR((C872+D872)&lt;66,(E872+F872)&lt;66,G872&lt;33,(H872+I872)&lt;66,Y872,Z872,AA872,R872&lt;8.25)</f>
        <v/>
      </c>
      <c r="AC872">
        <f>IF(C872+D872&lt;66,0,IF((C872+D872)/2&gt;=80,5,IF((C872+D872)/2&gt;=70,4,IF((C872+D872)/2&gt;=60,3.5,IF((C872+D872)/2&gt;=50,3,IF((C872+D872)/2&gt;=40,2,IF((C872+D872)/2&gt;=33,1,0)))))))</f>
        <v/>
      </c>
      <c r="AD872">
        <f>IF(E872+F872&lt;66,0,IF((E872+F872)/2&gt;=80,5,IF((E872+F872)/2&gt;=70,4,IF((E872+F872)/2&gt;=60,3.5,IF((E872+F872)/2&gt;=50,3,IF((E872+F872)/2&gt;=40,2,IF((E872+F872)/2&gt;=33,1,0)))))))</f>
        <v/>
      </c>
      <c r="AE872">
        <f>IF(G872&lt;33,0,IF(G872&gt;=80,5,IF(G872&gt;=70,4,IF(G872&gt;=60,3.5,IF(G872&gt;=50,3,IF(G872&gt;=40,2,IF(G872&gt;=33,1,0)))))))</f>
        <v/>
      </c>
      <c r="AF872">
        <f>IF(H872+I872&lt;66,0,IF((H872+I872)/2&gt;=80,5,IF((H872+I872)/2&gt;=70,4,IF((H872+I872)/2&gt;=60,3.5,IF((H872+I872)/2&gt;=50,3,IF((H872+I872)/2&gt;=40,2,IF((H872+I872)/2&gt;=33,1,0)))))))</f>
        <v/>
      </c>
      <c r="AG872">
        <f>IF(Y872,0,IF((J872+K872+L872+M872)/2&gt;=80,5,IF((J872+K872+L872+M872)/2&gt;=70,4,IF((J872+K872+L872+M872)/2&gt;=60,3.5,IF((J872+K872+L872+M872)/2&gt;=50,3,IF((J872+K872+L872+M872)/2&gt;=40,2,IF((J872+K872+L872+M872)/2&gt;=33,1,0)))))))</f>
        <v/>
      </c>
      <c r="AH872">
        <f>IF(Z872,0,IF(N872+O872&gt;=80,5,IF(N872+O872&gt;=70,4,IF(N872+O872&gt;=60,3.5,IF(N872+O872&gt;=50,3,IF(N872+O872&gt;=40,2,IF(N872+O872&gt;=33,1,0)))))))</f>
        <v/>
      </c>
      <c r="AI872">
        <f>IF(AA872,0,IF(P872+Q872&gt;=80,5,IF(P872+Q872&gt;=70,4,IF(P872+Q872&gt;=60,3.5,IF(P872+Q872&gt;=50,3,IF(P872+Q872&gt;=40,2,IF(P872+Q872&gt;=33,1,0)))))))</f>
        <v/>
      </c>
      <c r="AJ872">
        <f>IF(R872&lt;8.25,0,IF(R872*2&gt;=80,5,IF(R872*2&gt;=70,4,IF(R872*2&gt;=60,3.5,IF(R872*2&gt;=50,3,IF(R872*2&gt;=40,2,IF(R872*2&gt;=33,1,0)))))))</f>
        <v/>
      </c>
      <c r="AK872">
        <f>IF(S872&lt;33,0,IF(S872&gt;=80,5,IF(S872&gt;=70,4,IF(S872&gt;=60,3.5,IF(S872&gt;=50,3,IF(S872&gt;=40,2,IF(S872&gt;=33,1,0)))))))</f>
        <v/>
      </c>
      <c r="AL872">
        <f>(AC872+AD872+AE872+AF872+AG872+AH872+AI872+AJ872)/8</f>
        <v/>
      </c>
      <c r="AM872">
        <f>IF(AK872&gt;=2,(AK872-2)/8,0)</f>
        <v/>
      </c>
    </row>
    <row r="873">
      <c r="T873">
        <f>SUM(C873:R873)</f>
        <v/>
      </c>
      <c r="U873" s="6">
        <f>ROUND(T873/11.5,2)</f>
        <v/>
      </c>
      <c r="V873" s="7">
        <f>IF(B873="","",IF(AB873,0,ROUND(AL873,2)))</f>
        <v/>
      </c>
      <c r="W873" s="7">
        <f>IF(B873="","",IF(AB873,0,MIN(5,ROUND(AL873+AM873,2))))</f>
        <v/>
      </c>
      <c r="X873" s="8">
        <f>IF(B873="","",IF(W873&gt;=5,"A+",IF(W873&gt;=4,"A",IF(W873&gt;=3.5,"A-",IF(W873&gt;=3,"B",IF(W873&gt;=2,"C",IF(W873&gt;=1,"D","F")))))))</f>
        <v/>
      </c>
      <c r="Y873">
        <f>NOT(OR(AND(J873&gt;=10,K873&gt;=23,L873&gt;=10,M873&gt;=23),AND(J873+L873&gt;=20,K873+M873&gt;=46)))</f>
        <v/>
      </c>
      <c r="Z873">
        <f>OR(N873&lt;10,O873&lt;23)</f>
        <v/>
      </c>
      <c r="AA873">
        <f>OR(P873&lt;10,Q873&lt;23)</f>
        <v/>
      </c>
      <c r="AB873">
        <f>OR((C873+D873)&lt;66,(E873+F873)&lt;66,G873&lt;33,(H873+I873)&lt;66,Y873,Z873,AA873,R873&lt;8.25)</f>
        <v/>
      </c>
      <c r="AC873">
        <f>IF(C873+D873&lt;66,0,IF((C873+D873)/2&gt;=80,5,IF((C873+D873)/2&gt;=70,4,IF((C873+D873)/2&gt;=60,3.5,IF((C873+D873)/2&gt;=50,3,IF((C873+D873)/2&gt;=40,2,IF((C873+D873)/2&gt;=33,1,0)))))))</f>
        <v/>
      </c>
      <c r="AD873">
        <f>IF(E873+F873&lt;66,0,IF((E873+F873)/2&gt;=80,5,IF((E873+F873)/2&gt;=70,4,IF((E873+F873)/2&gt;=60,3.5,IF((E873+F873)/2&gt;=50,3,IF((E873+F873)/2&gt;=40,2,IF((E873+F873)/2&gt;=33,1,0)))))))</f>
        <v/>
      </c>
      <c r="AE873">
        <f>IF(G873&lt;33,0,IF(G873&gt;=80,5,IF(G873&gt;=70,4,IF(G873&gt;=60,3.5,IF(G873&gt;=50,3,IF(G873&gt;=40,2,IF(G873&gt;=33,1,0)))))))</f>
        <v/>
      </c>
      <c r="AF873">
        <f>IF(H873+I873&lt;66,0,IF((H873+I873)/2&gt;=80,5,IF((H873+I873)/2&gt;=70,4,IF((H873+I873)/2&gt;=60,3.5,IF((H873+I873)/2&gt;=50,3,IF((H873+I873)/2&gt;=40,2,IF((H873+I873)/2&gt;=33,1,0)))))))</f>
        <v/>
      </c>
      <c r="AG873">
        <f>IF(Y873,0,IF((J873+K873+L873+M873)/2&gt;=80,5,IF((J873+K873+L873+M873)/2&gt;=70,4,IF((J873+K873+L873+M873)/2&gt;=60,3.5,IF((J873+K873+L873+M873)/2&gt;=50,3,IF((J873+K873+L873+M873)/2&gt;=40,2,IF((J873+K873+L873+M873)/2&gt;=33,1,0)))))))</f>
        <v/>
      </c>
      <c r="AH873">
        <f>IF(Z873,0,IF(N873+O873&gt;=80,5,IF(N873+O873&gt;=70,4,IF(N873+O873&gt;=60,3.5,IF(N873+O873&gt;=50,3,IF(N873+O873&gt;=40,2,IF(N873+O873&gt;=33,1,0)))))))</f>
        <v/>
      </c>
      <c r="AI873">
        <f>IF(AA873,0,IF(P873+Q873&gt;=80,5,IF(P873+Q873&gt;=70,4,IF(P873+Q873&gt;=60,3.5,IF(P873+Q873&gt;=50,3,IF(P873+Q873&gt;=40,2,IF(P873+Q873&gt;=33,1,0)))))))</f>
        <v/>
      </c>
      <c r="AJ873">
        <f>IF(R873&lt;8.25,0,IF(R873*2&gt;=80,5,IF(R873*2&gt;=70,4,IF(R873*2&gt;=60,3.5,IF(R873*2&gt;=50,3,IF(R873*2&gt;=40,2,IF(R873*2&gt;=33,1,0)))))))</f>
        <v/>
      </c>
      <c r="AK873">
        <f>IF(S873&lt;33,0,IF(S873&gt;=80,5,IF(S873&gt;=70,4,IF(S873&gt;=60,3.5,IF(S873&gt;=50,3,IF(S873&gt;=40,2,IF(S873&gt;=33,1,0)))))))</f>
        <v/>
      </c>
      <c r="AL873">
        <f>(AC873+AD873+AE873+AF873+AG873+AH873+AI873+AJ873)/8</f>
        <v/>
      </c>
      <c r="AM873">
        <f>IF(AK873&gt;=2,(AK873-2)/8,0)</f>
        <v/>
      </c>
    </row>
    <row r="874">
      <c r="T874">
        <f>SUM(C874:R874)</f>
        <v/>
      </c>
      <c r="U874" s="6">
        <f>ROUND(T874/11.5,2)</f>
        <v/>
      </c>
      <c r="V874" s="7">
        <f>IF(B874="","",IF(AB874,0,ROUND(AL874,2)))</f>
        <v/>
      </c>
      <c r="W874" s="7">
        <f>IF(B874="","",IF(AB874,0,MIN(5,ROUND(AL874+AM874,2))))</f>
        <v/>
      </c>
      <c r="X874" s="8">
        <f>IF(B874="","",IF(W874&gt;=5,"A+",IF(W874&gt;=4,"A",IF(W874&gt;=3.5,"A-",IF(W874&gt;=3,"B",IF(W874&gt;=2,"C",IF(W874&gt;=1,"D","F")))))))</f>
        <v/>
      </c>
      <c r="Y874">
        <f>NOT(OR(AND(J874&gt;=10,K874&gt;=23,L874&gt;=10,M874&gt;=23),AND(J874+L874&gt;=20,K874+M874&gt;=46)))</f>
        <v/>
      </c>
      <c r="Z874">
        <f>OR(N874&lt;10,O874&lt;23)</f>
        <v/>
      </c>
      <c r="AA874">
        <f>OR(P874&lt;10,Q874&lt;23)</f>
        <v/>
      </c>
      <c r="AB874">
        <f>OR((C874+D874)&lt;66,(E874+F874)&lt;66,G874&lt;33,(H874+I874)&lt;66,Y874,Z874,AA874,R874&lt;8.25)</f>
        <v/>
      </c>
      <c r="AC874">
        <f>IF(C874+D874&lt;66,0,IF((C874+D874)/2&gt;=80,5,IF((C874+D874)/2&gt;=70,4,IF((C874+D874)/2&gt;=60,3.5,IF((C874+D874)/2&gt;=50,3,IF((C874+D874)/2&gt;=40,2,IF((C874+D874)/2&gt;=33,1,0)))))))</f>
        <v/>
      </c>
      <c r="AD874">
        <f>IF(E874+F874&lt;66,0,IF((E874+F874)/2&gt;=80,5,IF((E874+F874)/2&gt;=70,4,IF((E874+F874)/2&gt;=60,3.5,IF((E874+F874)/2&gt;=50,3,IF((E874+F874)/2&gt;=40,2,IF((E874+F874)/2&gt;=33,1,0)))))))</f>
        <v/>
      </c>
      <c r="AE874">
        <f>IF(G874&lt;33,0,IF(G874&gt;=80,5,IF(G874&gt;=70,4,IF(G874&gt;=60,3.5,IF(G874&gt;=50,3,IF(G874&gt;=40,2,IF(G874&gt;=33,1,0)))))))</f>
        <v/>
      </c>
      <c r="AF874">
        <f>IF(H874+I874&lt;66,0,IF((H874+I874)/2&gt;=80,5,IF((H874+I874)/2&gt;=70,4,IF((H874+I874)/2&gt;=60,3.5,IF((H874+I874)/2&gt;=50,3,IF((H874+I874)/2&gt;=40,2,IF((H874+I874)/2&gt;=33,1,0)))))))</f>
        <v/>
      </c>
      <c r="AG874">
        <f>IF(Y874,0,IF((J874+K874+L874+M874)/2&gt;=80,5,IF((J874+K874+L874+M874)/2&gt;=70,4,IF((J874+K874+L874+M874)/2&gt;=60,3.5,IF((J874+K874+L874+M874)/2&gt;=50,3,IF((J874+K874+L874+M874)/2&gt;=40,2,IF((J874+K874+L874+M874)/2&gt;=33,1,0)))))))</f>
        <v/>
      </c>
      <c r="AH874">
        <f>IF(Z874,0,IF(N874+O874&gt;=80,5,IF(N874+O874&gt;=70,4,IF(N874+O874&gt;=60,3.5,IF(N874+O874&gt;=50,3,IF(N874+O874&gt;=40,2,IF(N874+O874&gt;=33,1,0)))))))</f>
        <v/>
      </c>
      <c r="AI874">
        <f>IF(AA874,0,IF(P874+Q874&gt;=80,5,IF(P874+Q874&gt;=70,4,IF(P874+Q874&gt;=60,3.5,IF(P874+Q874&gt;=50,3,IF(P874+Q874&gt;=40,2,IF(P874+Q874&gt;=33,1,0)))))))</f>
        <v/>
      </c>
      <c r="AJ874">
        <f>IF(R874&lt;8.25,0,IF(R874*2&gt;=80,5,IF(R874*2&gt;=70,4,IF(R874*2&gt;=60,3.5,IF(R874*2&gt;=50,3,IF(R874*2&gt;=40,2,IF(R874*2&gt;=33,1,0)))))))</f>
        <v/>
      </c>
      <c r="AK874">
        <f>IF(S874&lt;33,0,IF(S874&gt;=80,5,IF(S874&gt;=70,4,IF(S874&gt;=60,3.5,IF(S874&gt;=50,3,IF(S874&gt;=40,2,IF(S874&gt;=33,1,0)))))))</f>
        <v/>
      </c>
      <c r="AL874">
        <f>(AC874+AD874+AE874+AF874+AG874+AH874+AI874+AJ874)/8</f>
        <v/>
      </c>
      <c r="AM874">
        <f>IF(AK874&gt;=2,(AK874-2)/8,0)</f>
        <v/>
      </c>
    </row>
    <row r="875">
      <c r="T875">
        <f>SUM(C875:R875)</f>
        <v/>
      </c>
      <c r="U875" s="6">
        <f>ROUND(T875/11.5,2)</f>
        <v/>
      </c>
      <c r="V875" s="7">
        <f>IF(B875="","",IF(AB875,0,ROUND(AL875,2)))</f>
        <v/>
      </c>
      <c r="W875" s="7">
        <f>IF(B875="","",IF(AB875,0,MIN(5,ROUND(AL875+AM875,2))))</f>
        <v/>
      </c>
      <c r="X875" s="8">
        <f>IF(B875="","",IF(W875&gt;=5,"A+",IF(W875&gt;=4,"A",IF(W875&gt;=3.5,"A-",IF(W875&gt;=3,"B",IF(W875&gt;=2,"C",IF(W875&gt;=1,"D","F")))))))</f>
        <v/>
      </c>
      <c r="Y875">
        <f>NOT(OR(AND(J875&gt;=10,K875&gt;=23,L875&gt;=10,M875&gt;=23),AND(J875+L875&gt;=20,K875+M875&gt;=46)))</f>
        <v/>
      </c>
      <c r="Z875">
        <f>OR(N875&lt;10,O875&lt;23)</f>
        <v/>
      </c>
      <c r="AA875">
        <f>OR(P875&lt;10,Q875&lt;23)</f>
        <v/>
      </c>
      <c r="AB875">
        <f>OR((C875+D875)&lt;66,(E875+F875)&lt;66,G875&lt;33,(H875+I875)&lt;66,Y875,Z875,AA875,R875&lt;8.25)</f>
        <v/>
      </c>
      <c r="AC875">
        <f>IF(C875+D875&lt;66,0,IF((C875+D875)/2&gt;=80,5,IF((C875+D875)/2&gt;=70,4,IF((C875+D875)/2&gt;=60,3.5,IF((C875+D875)/2&gt;=50,3,IF((C875+D875)/2&gt;=40,2,IF((C875+D875)/2&gt;=33,1,0)))))))</f>
        <v/>
      </c>
      <c r="AD875">
        <f>IF(E875+F875&lt;66,0,IF((E875+F875)/2&gt;=80,5,IF((E875+F875)/2&gt;=70,4,IF((E875+F875)/2&gt;=60,3.5,IF((E875+F875)/2&gt;=50,3,IF((E875+F875)/2&gt;=40,2,IF((E875+F875)/2&gt;=33,1,0)))))))</f>
        <v/>
      </c>
      <c r="AE875">
        <f>IF(G875&lt;33,0,IF(G875&gt;=80,5,IF(G875&gt;=70,4,IF(G875&gt;=60,3.5,IF(G875&gt;=50,3,IF(G875&gt;=40,2,IF(G875&gt;=33,1,0)))))))</f>
        <v/>
      </c>
      <c r="AF875">
        <f>IF(H875+I875&lt;66,0,IF((H875+I875)/2&gt;=80,5,IF((H875+I875)/2&gt;=70,4,IF((H875+I875)/2&gt;=60,3.5,IF((H875+I875)/2&gt;=50,3,IF((H875+I875)/2&gt;=40,2,IF((H875+I875)/2&gt;=33,1,0)))))))</f>
        <v/>
      </c>
      <c r="AG875">
        <f>IF(Y875,0,IF((J875+K875+L875+M875)/2&gt;=80,5,IF((J875+K875+L875+M875)/2&gt;=70,4,IF((J875+K875+L875+M875)/2&gt;=60,3.5,IF((J875+K875+L875+M875)/2&gt;=50,3,IF((J875+K875+L875+M875)/2&gt;=40,2,IF((J875+K875+L875+M875)/2&gt;=33,1,0)))))))</f>
        <v/>
      </c>
      <c r="AH875">
        <f>IF(Z875,0,IF(N875+O875&gt;=80,5,IF(N875+O875&gt;=70,4,IF(N875+O875&gt;=60,3.5,IF(N875+O875&gt;=50,3,IF(N875+O875&gt;=40,2,IF(N875+O875&gt;=33,1,0)))))))</f>
        <v/>
      </c>
      <c r="AI875">
        <f>IF(AA875,0,IF(P875+Q875&gt;=80,5,IF(P875+Q875&gt;=70,4,IF(P875+Q875&gt;=60,3.5,IF(P875+Q875&gt;=50,3,IF(P875+Q875&gt;=40,2,IF(P875+Q875&gt;=33,1,0)))))))</f>
        <v/>
      </c>
      <c r="AJ875">
        <f>IF(R875&lt;8.25,0,IF(R875*2&gt;=80,5,IF(R875*2&gt;=70,4,IF(R875*2&gt;=60,3.5,IF(R875*2&gt;=50,3,IF(R875*2&gt;=40,2,IF(R875*2&gt;=33,1,0)))))))</f>
        <v/>
      </c>
      <c r="AK875">
        <f>IF(S875&lt;33,0,IF(S875&gt;=80,5,IF(S875&gt;=70,4,IF(S875&gt;=60,3.5,IF(S875&gt;=50,3,IF(S875&gt;=40,2,IF(S875&gt;=33,1,0)))))))</f>
        <v/>
      </c>
      <c r="AL875">
        <f>(AC875+AD875+AE875+AF875+AG875+AH875+AI875+AJ875)/8</f>
        <v/>
      </c>
      <c r="AM875">
        <f>IF(AK875&gt;=2,(AK875-2)/8,0)</f>
        <v/>
      </c>
    </row>
    <row r="876">
      <c r="T876">
        <f>SUM(C876:R876)</f>
        <v/>
      </c>
      <c r="U876" s="6">
        <f>ROUND(T876/11.5,2)</f>
        <v/>
      </c>
      <c r="V876" s="7">
        <f>IF(B876="","",IF(AB876,0,ROUND(AL876,2)))</f>
        <v/>
      </c>
      <c r="W876" s="7">
        <f>IF(B876="","",IF(AB876,0,MIN(5,ROUND(AL876+AM876,2))))</f>
        <v/>
      </c>
      <c r="X876" s="8">
        <f>IF(B876="","",IF(W876&gt;=5,"A+",IF(W876&gt;=4,"A",IF(W876&gt;=3.5,"A-",IF(W876&gt;=3,"B",IF(W876&gt;=2,"C",IF(W876&gt;=1,"D","F")))))))</f>
        <v/>
      </c>
      <c r="Y876">
        <f>NOT(OR(AND(J876&gt;=10,K876&gt;=23,L876&gt;=10,M876&gt;=23),AND(J876+L876&gt;=20,K876+M876&gt;=46)))</f>
        <v/>
      </c>
      <c r="Z876">
        <f>OR(N876&lt;10,O876&lt;23)</f>
        <v/>
      </c>
      <c r="AA876">
        <f>OR(P876&lt;10,Q876&lt;23)</f>
        <v/>
      </c>
      <c r="AB876">
        <f>OR((C876+D876)&lt;66,(E876+F876)&lt;66,G876&lt;33,(H876+I876)&lt;66,Y876,Z876,AA876,R876&lt;8.25)</f>
        <v/>
      </c>
      <c r="AC876">
        <f>IF(C876+D876&lt;66,0,IF((C876+D876)/2&gt;=80,5,IF((C876+D876)/2&gt;=70,4,IF((C876+D876)/2&gt;=60,3.5,IF((C876+D876)/2&gt;=50,3,IF((C876+D876)/2&gt;=40,2,IF((C876+D876)/2&gt;=33,1,0)))))))</f>
        <v/>
      </c>
      <c r="AD876">
        <f>IF(E876+F876&lt;66,0,IF((E876+F876)/2&gt;=80,5,IF((E876+F876)/2&gt;=70,4,IF((E876+F876)/2&gt;=60,3.5,IF((E876+F876)/2&gt;=50,3,IF((E876+F876)/2&gt;=40,2,IF((E876+F876)/2&gt;=33,1,0)))))))</f>
        <v/>
      </c>
      <c r="AE876">
        <f>IF(G876&lt;33,0,IF(G876&gt;=80,5,IF(G876&gt;=70,4,IF(G876&gt;=60,3.5,IF(G876&gt;=50,3,IF(G876&gt;=40,2,IF(G876&gt;=33,1,0)))))))</f>
        <v/>
      </c>
      <c r="AF876">
        <f>IF(H876+I876&lt;66,0,IF((H876+I876)/2&gt;=80,5,IF((H876+I876)/2&gt;=70,4,IF((H876+I876)/2&gt;=60,3.5,IF((H876+I876)/2&gt;=50,3,IF((H876+I876)/2&gt;=40,2,IF((H876+I876)/2&gt;=33,1,0)))))))</f>
        <v/>
      </c>
      <c r="AG876">
        <f>IF(Y876,0,IF((J876+K876+L876+M876)/2&gt;=80,5,IF((J876+K876+L876+M876)/2&gt;=70,4,IF((J876+K876+L876+M876)/2&gt;=60,3.5,IF((J876+K876+L876+M876)/2&gt;=50,3,IF((J876+K876+L876+M876)/2&gt;=40,2,IF((J876+K876+L876+M876)/2&gt;=33,1,0)))))))</f>
        <v/>
      </c>
      <c r="AH876">
        <f>IF(Z876,0,IF(N876+O876&gt;=80,5,IF(N876+O876&gt;=70,4,IF(N876+O876&gt;=60,3.5,IF(N876+O876&gt;=50,3,IF(N876+O876&gt;=40,2,IF(N876+O876&gt;=33,1,0)))))))</f>
        <v/>
      </c>
      <c r="AI876">
        <f>IF(AA876,0,IF(P876+Q876&gt;=80,5,IF(P876+Q876&gt;=70,4,IF(P876+Q876&gt;=60,3.5,IF(P876+Q876&gt;=50,3,IF(P876+Q876&gt;=40,2,IF(P876+Q876&gt;=33,1,0)))))))</f>
        <v/>
      </c>
      <c r="AJ876">
        <f>IF(R876&lt;8.25,0,IF(R876*2&gt;=80,5,IF(R876*2&gt;=70,4,IF(R876*2&gt;=60,3.5,IF(R876*2&gt;=50,3,IF(R876*2&gt;=40,2,IF(R876*2&gt;=33,1,0)))))))</f>
        <v/>
      </c>
      <c r="AK876">
        <f>IF(S876&lt;33,0,IF(S876&gt;=80,5,IF(S876&gt;=70,4,IF(S876&gt;=60,3.5,IF(S876&gt;=50,3,IF(S876&gt;=40,2,IF(S876&gt;=33,1,0)))))))</f>
        <v/>
      </c>
      <c r="AL876">
        <f>(AC876+AD876+AE876+AF876+AG876+AH876+AI876+AJ876)/8</f>
        <v/>
      </c>
      <c r="AM876">
        <f>IF(AK876&gt;=2,(AK876-2)/8,0)</f>
        <v/>
      </c>
    </row>
    <row r="877">
      <c r="T877">
        <f>SUM(C877:R877)</f>
        <v/>
      </c>
      <c r="U877" s="6">
        <f>ROUND(T877/11.5,2)</f>
        <v/>
      </c>
      <c r="V877" s="7">
        <f>IF(B877="","",IF(AB877,0,ROUND(AL877,2)))</f>
        <v/>
      </c>
      <c r="W877" s="7">
        <f>IF(B877="","",IF(AB877,0,MIN(5,ROUND(AL877+AM877,2))))</f>
        <v/>
      </c>
      <c r="X877" s="8">
        <f>IF(B877="","",IF(W877&gt;=5,"A+",IF(W877&gt;=4,"A",IF(W877&gt;=3.5,"A-",IF(W877&gt;=3,"B",IF(W877&gt;=2,"C",IF(W877&gt;=1,"D","F")))))))</f>
        <v/>
      </c>
      <c r="Y877">
        <f>NOT(OR(AND(J877&gt;=10,K877&gt;=23,L877&gt;=10,M877&gt;=23),AND(J877+L877&gt;=20,K877+M877&gt;=46)))</f>
        <v/>
      </c>
      <c r="Z877">
        <f>OR(N877&lt;10,O877&lt;23)</f>
        <v/>
      </c>
      <c r="AA877">
        <f>OR(P877&lt;10,Q877&lt;23)</f>
        <v/>
      </c>
      <c r="AB877">
        <f>OR((C877+D877)&lt;66,(E877+F877)&lt;66,G877&lt;33,(H877+I877)&lt;66,Y877,Z877,AA877,R877&lt;8.25)</f>
        <v/>
      </c>
      <c r="AC877">
        <f>IF(C877+D877&lt;66,0,IF((C877+D877)/2&gt;=80,5,IF((C877+D877)/2&gt;=70,4,IF((C877+D877)/2&gt;=60,3.5,IF((C877+D877)/2&gt;=50,3,IF((C877+D877)/2&gt;=40,2,IF((C877+D877)/2&gt;=33,1,0)))))))</f>
        <v/>
      </c>
      <c r="AD877">
        <f>IF(E877+F877&lt;66,0,IF((E877+F877)/2&gt;=80,5,IF((E877+F877)/2&gt;=70,4,IF((E877+F877)/2&gt;=60,3.5,IF((E877+F877)/2&gt;=50,3,IF((E877+F877)/2&gt;=40,2,IF((E877+F877)/2&gt;=33,1,0)))))))</f>
        <v/>
      </c>
      <c r="AE877">
        <f>IF(G877&lt;33,0,IF(G877&gt;=80,5,IF(G877&gt;=70,4,IF(G877&gt;=60,3.5,IF(G877&gt;=50,3,IF(G877&gt;=40,2,IF(G877&gt;=33,1,0)))))))</f>
        <v/>
      </c>
      <c r="AF877">
        <f>IF(H877+I877&lt;66,0,IF((H877+I877)/2&gt;=80,5,IF((H877+I877)/2&gt;=70,4,IF((H877+I877)/2&gt;=60,3.5,IF((H877+I877)/2&gt;=50,3,IF((H877+I877)/2&gt;=40,2,IF((H877+I877)/2&gt;=33,1,0)))))))</f>
        <v/>
      </c>
      <c r="AG877">
        <f>IF(Y877,0,IF((J877+K877+L877+M877)/2&gt;=80,5,IF((J877+K877+L877+M877)/2&gt;=70,4,IF((J877+K877+L877+M877)/2&gt;=60,3.5,IF((J877+K877+L877+M877)/2&gt;=50,3,IF((J877+K877+L877+M877)/2&gt;=40,2,IF((J877+K877+L877+M877)/2&gt;=33,1,0)))))))</f>
        <v/>
      </c>
      <c r="AH877">
        <f>IF(Z877,0,IF(N877+O877&gt;=80,5,IF(N877+O877&gt;=70,4,IF(N877+O877&gt;=60,3.5,IF(N877+O877&gt;=50,3,IF(N877+O877&gt;=40,2,IF(N877+O877&gt;=33,1,0)))))))</f>
        <v/>
      </c>
      <c r="AI877">
        <f>IF(AA877,0,IF(P877+Q877&gt;=80,5,IF(P877+Q877&gt;=70,4,IF(P877+Q877&gt;=60,3.5,IF(P877+Q877&gt;=50,3,IF(P877+Q877&gt;=40,2,IF(P877+Q877&gt;=33,1,0)))))))</f>
        <v/>
      </c>
      <c r="AJ877">
        <f>IF(R877&lt;8.25,0,IF(R877*2&gt;=80,5,IF(R877*2&gt;=70,4,IF(R877*2&gt;=60,3.5,IF(R877*2&gt;=50,3,IF(R877*2&gt;=40,2,IF(R877*2&gt;=33,1,0)))))))</f>
        <v/>
      </c>
      <c r="AK877">
        <f>IF(S877&lt;33,0,IF(S877&gt;=80,5,IF(S877&gt;=70,4,IF(S877&gt;=60,3.5,IF(S877&gt;=50,3,IF(S877&gt;=40,2,IF(S877&gt;=33,1,0)))))))</f>
        <v/>
      </c>
      <c r="AL877">
        <f>(AC877+AD877+AE877+AF877+AG877+AH877+AI877+AJ877)/8</f>
        <v/>
      </c>
      <c r="AM877">
        <f>IF(AK877&gt;=2,(AK877-2)/8,0)</f>
        <v/>
      </c>
    </row>
    <row r="878">
      <c r="T878">
        <f>SUM(C878:R878)</f>
        <v/>
      </c>
      <c r="U878" s="6">
        <f>ROUND(T878/11.5,2)</f>
        <v/>
      </c>
      <c r="V878" s="7">
        <f>IF(B878="","",IF(AB878,0,ROUND(AL878,2)))</f>
        <v/>
      </c>
      <c r="W878" s="7">
        <f>IF(B878="","",IF(AB878,0,MIN(5,ROUND(AL878+AM878,2))))</f>
        <v/>
      </c>
      <c r="X878" s="8">
        <f>IF(B878="","",IF(W878&gt;=5,"A+",IF(W878&gt;=4,"A",IF(W878&gt;=3.5,"A-",IF(W878&gt;=3,"B",IF(W878&gt;=2,"C",IF(W878&gt;=1,"D","F")))))))</f>
        <v/>
      </c>
      <c r="Y878">
        <f>NOT(OR(AND(J878&gt;=10,K878&gt;=23,L878&gt;=10,M878&gt;=23),AND(J878+L878&gt;=20,K878+M878&gt;=46)))</f>
        <v/>
      </c>
      <c r="Z878">
        <f>OR(N878&lt;10,O878&lt;23)</f>
        <v/>
      </c>
      <c r="AA878">
        <f>OR(P878&lt;10,Q878&lt;23)</f>
        <v/>
      </c>
      <c r="AB878">
        <f>OR((C878+D878)&lt;66,(E878+F878)&lt;66,G878&lt;33,(H878+I878)&lt;66,Y878,Z878,AA878,R878&lt;8.25)</f>
        <v/>
      </c>
      <c r="AC878">
        <f>IF(C878+D878&lt;66,0,IF((C878+D878)/2&gt;=80,5,IF((C878+D878)/2&gt;=70,4,IF((C878+D878)/2&gt;=60,3.5,IF((C878+D878)/2&gt;=50,3,IF((C878+D878)/2&gt;=40,2,IF((C878+D878)/2&gt;=33,1,0)))))))</f>
        <v/>
      </c>
      <c r="AD878">
        <f>IF(E878+F878&lt;66,0,IF((E878+F878)/2&gt;=80,5,IF((E878+F878)/2&gt;=70,4,IF((E878+F878)/2&gt;=60,3.5,IF((E878+F878)/2&gt;=50,3,IF((E878+F878)/2&gt;=40,2,IF((E878+F878)/2&gt;=33,1,0)))))))</f>
        <v/>
      </c>
      <c r="AE878">
        <f>IF(G878&lt;33,0,IF(G878&gt;=80,5,IF(G878&gt;=70,4,IF(G878&gt;=60,3.5,IF(G878&gt;=50,3,IF(G878&gt;=40,2,IF(G878&gt;=33,1,0)))))))</f>
        <v/>
      </c>
      <c r="AF878">
        <f>IF(H878+I878&lt;66,0,IF((H878+I878)/2&gt;=80,5,IF((H878+I878)/2&gt;=70,4,IF((H878+I878)/2&gt;=60,3.5,IF((H878+I878)/2&gt;=50,3,IF((H878+I878)/2&gt;=40,2,IF((H878+I878)/2&gt;=33,1,0)))))))</f>
        <v/>
      </c>
      <c r="AG878">
        <f>IF(Y878,0,IF((J878+K878+L878+M878)/2&gt;=80,5,IF((J878+K878+L878+M878)/2&gt;=70,4,IF((J878+K878+L878+M878)/2&gt;=60,3.5,IF((J878+K878+L878+M878)/2&gt;=50,3,IF((J878+K878+L878+M878)/2&gt;=40,2,IF((J878+K878+L878+M878)/2&gt;=33,1,0)))))))</f>
        <v/>
      </c>
      <c r="AH878">
        <f>IF(Z878,0,IF(N878+O878&gt;=80,5,IF(N878+O878&gt;=70,4,IF(N878+O878&gt;=60,3.5,IF(N878+O878&gt;=50,3,IF(N878+O878&gt;=40,2,IF(N878+O878&gt;=33,1,0)))))))</f>
        <v/>
      </c>
      <c r="AI878">
        <f>IF(AA878,0,IF(P878+Q878&gt;=80,5,IF(P878+Q878&gt;=70,4,IF(P878+Q878&gt;=60,3.5,IF(P878+Q878&gt;=50,3,IF(P878+Q878&gt;=40,2,IF(P878+Q878&gt;=33,1,0)))))))</f>
        <v/>
      </c>
      <c r="AJ878">
        <f>IF(R878&lt;8.25,0,IF(R878*2&gt;=80,5,IF(R878*2&gt;=70,4,IF(R878*2&gt;=60,3.5,IF(R878*2&gt;=50,3,IF(R878*2&gt;=40,2,IF(R878*2&gt;=33,1,0)))))))</f>
        <v/>
      </c>
      <c r="AK878">
        <f>IF(S878&lt;33,0,IF(S878&gt;=80,5,IF(S878&gt;=70,4,IF(S878&gt;=60,3.5,IF(S878&gt;=50,3,IF(S878&gt;=40,2,IF(S878&gt;=33,1,0)))))))</f>
        <v/>
      </c>
      <c r="AL878">
        <f>(AC878+AD878+AE878+AF878+AG878+AH878+AI878+AJ878)/8</f>
        <v/>
      </c>
      <c r="AM878">
        <f>IF(AK878&gt;=2,(AK878-2)/8,0)</f>
        <v/>
      </c>
    </row>
    <row r="879">
      <c r="T879">
        <f>SUM(C879:R879)</f>
        <v/>
      </c>
      <c r="U879" s="6">
        <f>ROUND(T879/11.5,2)</f>
        <v/>
      </c>
      <c r="V879" s="7">
        <f>IF(B879="","",IF(AB879,0,ROUND(AL879,2)))</f>
        <v/>
      </c>
      <c r="W879" s="7">
        <f>IF(B879="","",IF(AB879,0,MIN(5,ROUND(AL879+AM879,2))))</f>
        <v/>
      </c>
      <c r="X879" s="8">
        <f>IF(B879="","",IF(W879&gt;=5,"A+",IF(W879&gt;=4,"A",IF(W879&gt;=3.5,"A-",IF(W879&gt;=3,"B",IF(W879&gt;=2,"C",IF(W879&gt;=1,"D","F")))))))</f>
        <v/>
      </c>
      <c r="Y879">
        <f>NOT(OR(AND(J879&gt;=10,K879&gt;=23,L879&gt;=10,M879&gt;=23),AND(J879+L879&gt;=20,K879+M879&gt;=46)))</f>
        <v/>
      </c>
      <c r="Z879">
        <f>OR(N879&lt;10,O879&lt;23)</f>
        <v/>
      </c>
      <c r="AA879">
        <f>OR(P879&lt;10,Q879&lt;23)</f>
        <v/>
      </c>
      <c r="AB879">
        <f>OR((C879+D879)&lt;66,(E879+F879)&lt;66,G879&lt;33,(H879+I879)&lt;66,Y879,Z879,AA879,R879&lt;8.25)</f>
        <v/>
      </c>
      <c r="AC879">
        <f>IF(C879+D879&lt;66,0,IF((C879+D879)/2&gt;=80,5,IF((C879+D879)/2&gt;=70,4,IF((C879+D879)/2&gt;=60,3.5,IF((C879+D879)/2&gt;=50,3,IF((C879+D879)/2&gt;=40,2,IF((C879+D879)/2&gt;=33,1,0)))))))</f>
        <v/>
      </c>
      <c r="AD879">
        <f>IF(E879+F879&lt;66,0,IF((E879+F879)/2&gt;=80,5,IF((E879+F879)/2&gt;=70,4,IF((E879+F879)/2&gt;=60,3.5,IF((E879+F879)/2&gt;=50,3,IF((E879+F879)/2&gt;=40,2,IF((E879+F879)/2&gt;=33,1,0)))))))</f>
        <v/>
      </c>
      <c r="AE879">
        <f>IF(G879&lt;33,0,IF(G879&gt;=80,5,IF(G879&gt;=70,4,IF(G879&gt;=60,3.5,IF(G879&gt;=50,3,IF(G879&gt;=40,2,IF(G879&gt;=33,1,0)))))))</f>
        <v/>
      </c>
      <c r="AF879">
        <f>IF(H879+I879&lt;66,0,IF((H879+I879)/2&gt;=80,5,IF((H879+I879)/2&gt;=70,4,IF((H879+I879)/2&gt;=60,3.5,IF((H879+I879)/2&gt;=50,3,IF((H879+I879)/2&gt;=40,2,IF((H879+I879)/2&gt;=33,1,0)))))))</f>
        <v/>
      </c>
      <c r="AG879">
        <f>IF(Y879,0,IF((J879+K879+L879+M879)/2&gt;=80,5,IF((J879+K879+L879+M879)/2&gt;=70,4,IF((J879+K879+L879+M879)/2&gt;=60,3.5,IF((J879+K879+L879+M879)/2&gt;=50,3,IF((J879+K879+L879+M879)/2&gt;=40,2,IF((J879+K879+L879+M879)/2&gt;=33,1,0)))))))</f>
        <v/>
      </c>
      <c r="AH879">
        <f>IF(Z879,0,IF(N879+O879&gt;=80,5,IF(N879+O879&gt;=70,4,IF(N879+O879&gt;=60,3.5,IF(N879+O879&gt;=50,3,IF(N879+O879&gt;=40,2,IF(N879+O879&gt;=33,1,0)))))))</f>
        <v/>
      </c>
      <c r="AI879">
        <f>IF(AA879,0,IF(P879+Q879&gt;=80,5,IF(P879+Q879&gt;=70,4,IF(P879+Q879&gt;=60,3.5,IF(P879+Q879&gt;=50,3,IF(P879+Q879&gt;=40,2,IF(P879+Q879&gt;=33,1,0)))))))</f>
        <v/>
      </c>
      <c r="AJ879">
        <f>IF(R879&lt;8.25,0,IF(R879*2&gt;=80,5,IF(R879*2&gt;=70,4,IF(R879*2&gt;=60,3.5,IF(R879*2&gt;=50,3,IF(R879*2&gt;=40,2,IF(R879*2&gt;=33,1,0)))))))</f>
        <v/>
      </c>
      <c r="AK879">
        <f>IF(S879&lt;33,0,IF(S879&gt;=80,5,IF(S879&gt;=70,4,IF(S879&gt;=60,3.5,IF(S879&gt;=50,3,IF(S879&gt;=40,2,IF(S879&gt;=33,1,0)))))))</f>
        <v/>
      </c>
      <c r="AL879">
        <f>(AC879+AD879+AE879+AF879+AG879+AH879+AI879+AJ879)/8</f>
        <v/>
      </c>
      <c r="AM879">
        <f>IF(AK879&gt;=2,(AK879-2)/8,0)</f>
        <v/>
      </c>
    </row>
    <row r="880">
      <c r="T880">
        <f>SUM(C880:R880)</f>
        <v/>
      </c>
      <c r="U880" s="6">
        <f>ROUND(T880/11.5,2)</f>
        <v/>
      </c>
      <c r="V880" s="7">
        <f>IF(B880="","",IF(AB880,0,ROUND(AL880,2)))</f>
        <v/>
      </c>
      <c r="W880" s="7">
        <f>IF(B880="","",IF(AB880,0,MIN(5,ROUND(AL880+AM880,2))))</f>
        <v/>
      </c>
      <c r="X880" s="8">
        <f>IF(B880="","",IF(W880&gt;=5,"A+",IF(W880&gt;=4,"A",IF(W880&gt;=3.5,"A-",IF(W880&gt;=3,"B",IF(W880&gt;=2,"C",IF(W880&gt;=1,"D","F")))))))</f>
        <v/>
      </c>
      <c r="Y880">
        <f>NOT(OR(AND(J880&gt;=10,K880&gt;=23,L880&gt;=10,M880&gt;=23),AND(J880+L880&gt;=20,K880+M880&gt;=46)))</f>
        <v/>
      </c>
      <c r="Z880">
        <f>OR(N880&lt;10,O880&lt;23)</f>
        <v/>
      </c>
      <c r="AA880">
        <f>OR(P880&lt;10,Q880&lt;23)</f>
        <v/>
      </c>
      <c r="AB880">
        <f>OR((C880+D880)&lt;66,(E880+F880)&lt;66,G880&lt;33,(H880+I880)&lt;66,Y880,Z880,AA880,R880&lt;8.25)</f>
        <v/>
      </c>
      <c r="AC880">
        <f>IF(C880+D880&lt;66,0,IF((C880+D880)/2&gt;=80,5,IF((C880+D880)/2&gt;=70,4,IF((C880+D880)/2&gt;=60,3.5,IF((C880+D880)/2&gt;=50,3,IF((C880+D880)/2&gt;=40,2,IF((C880+D880)/2&gt;=33,1,0)))))))</f>
        <v/>
      </c>
      <c r="AD880">
        <f>IF(E880+F880&lt;66,0,IF((E880+F880)/2&gt;=80,5,IF((E880+F880)/2&gt;=70,4,IF((E880+F880)/2&gt;=60,3.5,IF((E880+F880)/2&gt;=50,3,IF((E880+F880)/2&gt;=40,2,IF((E880+F880)/2&gt;=33,1,0)))))))</f>
        <v/>
      </c>
      <c r="AE880">
        <f>IF(G880&lt;33,0,IF(G880&gt;=80,5,IF(G880&gt;=70,4,IF(G880&gt;=60,3.5,IF(G880&gt;=50,3,IF(G880&gt;=40,2,IF(G880&gt;=33,1,0)))))))</f>
        <v/>
      </c>
      <c r="AF880">
        <f>IF(H880+I880&lt;66,0,IF((H880+I880)/2&gt;=80,5,IF((H880+I880)/2&gt;=70,4,IF((H880+I880)/2&gt;=60,3.5,IF((H880+I880)/2&gt;=50,3,IF((H880+I880)/2&gt;=40,2,IF((H880+I880)/2&gt;=33,1,0)))))))</f>
        <v/>
      </c>
      <c r="AG880">
        <f>IF(Y880,0,IF((J880+K880+L880+M880)/2&gt;=80,5,IF((J880+K880+L880+M880)/2&gt;=70,4,IF((J880+K880+L880+M880)/2&gt;=60,3.5,IF((J880+K880+L880+M880)/2&gt;=50,3,IF((J880+K880+L880+M880)/2&gt;=40,2,IF((J880+K880+L880+M880)/2&gt;=33,1,0)))))))</f>
        <v/>
      </c>
      <c r="AH880">
        <f>IF(Z880,0,IF(N880+O880&gt;=80,5,IF(N880+O880&gt;=70,4,IF(N880+O880&gt;=60,3.5,IF(N880+O880&gt;=50,3,IF(N880+O880&gt;=40,2,IF(N880+O880&gt;=33,1,0)))))))</f>
        <v/>
      </c>
      <c r="AI880">
        <f>IF(AA880,0,IF(P880+Q880&gt;=80,5,IF(P880+Q880&gt;=70,4,IF(P880+Q880&gt;=60,3.5,IF(P880+Q880&gt;=50,3,IF(P880+Q880&gt;=40,2,IF(P880+Q880&gt;=33,1,0)))))))</f>
        <v/>
      </c>
      <c r="AJ880">
        <f>IF(R880&lt;8.25,0,IF(R880*2&gt;=80,5,IF(R880*2&gt;=70,4,IF(R880*2&gt;=60,3.5,IF(R880*2&gt;=50,3,IF(R880*2&gt;=40,2,IF(R880*2&gt;=33,1,0)))))))</f>
        <v/>
      </c>
      <c r="AK880">
        <f>IF(S880&lt;33,0,IF(S880&gt;=80,5,IF(S880&gt;=70,4,IF(S880&gt;=60,3.5,IF(S880&gt;=50,3,IF(S880&gt;=40,2,IF(S880&gt;=33,1,0)))))))</f>
        <v/>
      </c>
      <c r="AL880">
        <f>(AC880+AD880+AE880+AF880+AG880+AH880+AI880+AJ880)/8</f>
        <v/>
      </c>
      <c r="AM880">
        <f>IF(AK880&gt;=2,(AK880-2)/8,0)</f>
        <v/>
      </c>
    </row>
    <row r="881">
      <c r="T881">
        <f>SUM(C881:R881)</f>
        <v/>
      </c>
      <c r="U881" s="6">
        <f>ROUND(T881/11.5,2)</f>
        <v/>
      </c>
      <c r="V881" s="7">
        <f>IF(B881="","",IF(AB881,0,ROUND(AL881,2)))</f>
        <v/>
      </c>
      <c r="W881" s="7">
        <f>IF(B881="","",IF(AB881,0,MIN(5,ROUND(AL881+AM881,2))))</f>
        <v/>
      </c>
      <c r="X881" s="8">
        <f>IF(B881="","",IF(W881&gt;=5,"A+",IF(W881&gt;=4,"A",IF(W881&gt;=3.5,"A-",IF(W881&gt;=3,"B",IF(W881&gt;=2,"C",IF(W881&gt;=1,"D","F")))))))</f>
        <v/>
      </c>
      <c r="Y881">
        <f>NOT(OR(AND(J881&gt;=10,K881&gt;=23,L881&gt;=10,M881&gt;=23),AND(J881+L881&gt;=20,K881+M881&gt;=46)))</f>
        <v/>
      </c>
      <c r="Z881">
        <f>OR(N881&lt;10,O881&lt;23)</f>
        <v/>
      </c>
      <c r="AA881">
        <f>OR(P881&lt;10,Q881&lt;23)</f>
        <v/>
      </c>
      <c r="AB881">
        <f>OR((C881+D881)&lt;66,(E881+F881)&lt;66,G881&lt;33,(H881+I881)&lt;66,Y881,Z881,AA881,R881&lt;8.25)</f>
        <v/>
      </c>
      <c r="AC881">
        <f>IF(C881+D881&lt;66,0,IF((C881+D881)/2&gt;=80,5,IF((C881+D881)/2&gt;=70,4,IF((C881+D881)/2&gt;=60,3.5,IF((C881+D881)/2&gt;=50,3,IF((C881+D881)/2&gt;=40,2,IF((C881+D881)/2&gt;=33,1,0)))))))</f>
        <v/>
      </c>
      <c r="AD881">
        <f>IF(E881+F881&lt;66,0,IF((E881+F881)/2&gt;=80,5,IF((E881+F881)/2&gt;=70,4,IF((E881+F881)/2&gt;=60,3.5,IF((E881+F881)/2&gt;=50,3,IF((E881+F881)/2&gt;=40,2,IF((E881+F881)/2&gt;=33,1,0)))))))</f>
        <v/>
      </c>
      <c r="AE881">
        <f>IF(G881&lt;33,0,IF(G881&gt;=80,5,IF(G881&gt;=70,4,IF(G881&gt;=60,3.5,IF(G881&gt;=50,3,IF(G881&gt;=40,2,IF(G881&gt;=33,1,0)))))))</f>
        <v/>
      </c>
      <c r="AF881">
        <f>IF(H881+I881&lt;66,0,IF((H881+I881)/2&gt;=80,5,IF((H881+I881)/2&gt;=70,4,IF((H881+I881)/2&gt;=60,3.5,IF((H881+I881)/2&gt;=50,3,IF((H881+I881)/2&gt;=40,2,IF((H881+I881)/2&gt;=33,1,0)))))))</f>
        <v/>
      </c>
      <c r="AG881">
        <f>IF(Y881,0,IF((J881+K881+L881+M881)/2&gt;=80,5,IF((J881+K881+L881+M881)/2&gt;=70,4,IF((J881+K881+L881+M881)/2&gt;=60,3.5,IF((J881+K881+L881+M881)/2&gt;=50,3,IF((J881+K881+L881+M881)/2&gt;=40,2,IF((J881+K881+L881+M881)/2&gt;=33,1,0)))))))</f>
        <v/>
      </c>
      <c r="AH881">
        <f>IF(Z881,0,IF(N881+O881&gt;=80,5,IF(N881+O881&gt;=70,4,IF(N881+O881&gt;=60,3.5,IF(N881+O881&gt;=50,3,IF(N881+O881&gt;=40,2,IF(N881+O881&gt;=33,1,0)))))))</f>
        <v/>
      </c>
      <c r="AI881">
        <f>IF(AA881,0,IF(P881+Q881&gt;=80,5,IF(P881+Q881&gt;=70,4,IF(P881+Q881&gt;=60,3.5,IF(P881+Q881&gt;=50,3,IF(P881+Q881&gt;=40,2,IF(P881+Q881&gt;=33,1,0)))))))</f>
        <v/>
      </c>
      <c r="AJ881">
        <f>IF(R881&lt;8.25,0,IF(R881*2&gt;=80,5,IF(R881*2&gt;=70,4,IF(R881*2&gt;=60,3.5,IF(R881*2&gt;=50,3,IF(R881*2&gt;=40,2,IF(R881*2&gt;=33,1,0)))))))</f>
        <v/>
      </c>
      <c r="AK881">
        <f>IF(S881&lt;33,0,IF(S881&gt;=80,5,IF(S881&gt;=70,4,IF(S881&gt;=60,3.5,IF(S881&gt;=50,3,IF(S881&gt;=40,2,IF(S881&gt;=33,1,0)))))))</f>
        <v/>
      </c>
      <c r="AL881">
        <f>(AC881+AD881+AE881+AF881+AG881+AH881+AI881+AJ881)/8</f>
        <v/>
      </c>
      <c r="AM881">
        <f>IF(AK881&gt;=2,(AK881-2)/8,0)</f>
        <v/>
      </c>
    </row>
    <row r="882">
      <c r="T882">
        <f>SUM(C882:R882)</f>
        <v/>
      </c>
      <c r="U882" s="6">
        <f>ROUND(T882/11.5,2)</f>
        <v/>
      </c>
      <c r="V882" s="7">
        <f>IF(B882="","",IF(AB882,0,ROUND(AL882,2)))</f>
        <v/>
      </c>
      <c r="W882" s="7">
        <f>IF(B882="","",IF(AB882,0,MIN(5,ROUND(AL882+AM882,2))))</f>
        <v/>
      </c>
      <c r="X882" s="8">
        <f>IF(B882="","",IF(W882&gt;=5,"A+",IF(W882&gt;=4,"A",IF(W882&gt;=3.5,"A-",IF(W882&gt;=3,"B",IF(W882&gt;=2,"C",IF(W882&gt;=1,"D","F")))))))</f>
        <v/>
      </c>
      <c r="Y882">
        <f>NOT(OR(AND(J882&gt;=10,K882&gt;=23,L882&gt;=10,M882&gt;=23),AND(J882+L882&gt;=20,K882+M882&gt;=46)))</f>
        <v/>
      </c>
      <c r="Z882">
        <f>OR(N882&lt;10,O882&lt;23)</f>
        <v/>
      </c>
      <c r="AA882">
        <f>OR(P882&lt;10,Q882&lt;23)</f>
        <v/>
      </c>
      <c r="AB882">
        <f>OR((C882+D882)&lt;66,(E882+F882)&lt;66,G882&lt;33,(H882+I882)&lt;66,Y882,Z882,AA882,R882&lt;8.25)</f>
        <v/>
      </c>
      <c r="AC882">
        <f>IF(C882+D882&lt;66,0,IF((C882+D882)/2&gt;=80,5,IF((C882+D882)/2&gt;=70,4,IF((C882+D882)/2&gt;=60,3.5,IF((C882+D882)/2&gt;=50,3,IF((C882+D882)/2&gt;=40,2,IF((C882+D882)/2&gt;=33,1,0)))))))</f>
        <v/>
      </c>
      <c r="AD882">
        <f>IF(E882+F882&lt;66,0,IF((E882+F882)/2&gt;=80,5,IF((E882+F882)/2&gt;=70,4,IF((E882+F882)/2&gt;=60,3.5,IF((E882+F882)/2&gt;=50,3,IF((E882+F882)/2&gt;=40,2,IF((E882+F882)/2&gt;=33,1,0)))))))</f>
        <v/>
      </c>
      <c r="AE882">
        <f>IF(G882&lt;33,0,IF(G882&gt;=80,5,IF(G882&gt;=70,4,IF(G882&gt;=60,3.5,IF(G882&gt;=50,3,IF(G882&gt;=40,2,IF(G882&gt;=33,1,0)))))))</f>
        <v/>
      </c>
      <c r="AF882">
        <f>IF(H882+I882&lt;66,0,IF((H882+I882)/2&gt;=80,5,IF((H882+I882)/2&gt;=70,4,IF((H882+I882)/2&gt;=60,3.5,IF((H882+I882)/2&gt;=50,3,IF((H882+I882)/2&gt;=40,2,IF((H882+I882)/2&gt;=33,1,0)))))))</f>
        <v/>
      </c>
      <c r="AG882">
        <f>IF(Y882,0,IF((J882+K882+L882+M882)/2&gt;=80,5,IF((J882+K882+L882+M882)/2&gt;=70,4,IF((J882+K882+L882+M882)/2&gt;=60,3.5,IF((J882+K882+L882+M882)/2&gt;=50,3,IF((J882+K882+L882+M882)/2&gt;=40,2,IF((J882+K882+L882+M882)/2&gt;=33,1,0)))))))</f>
        <v/>
      </c>
      <c r="AH882">
        <f>IF(Z882,0,IF(N882+O882&gt;=80,5,IF(N882+O882&gt;=70,4,IF(N882+O882&gt;=60,3.5,IF(N882+O882&gt;=50,3,IF(N882+O882&gt;=40,2,IF(N882+O882&gt;=33,1,0)))))))</f>
        <v/>
      </c>
      <c r="AI882">
        <f>IF(AA882,0,IF(P882+Q882&gt;=80,5,IF(P882+Q882&gt;=70,4,IF(P882+Q882&gt;=60,3.5,IF(P882+Q882&gt;=50,3,IF(P882+Q882&gt;=40,2,IF(P882+Q882&gt;=33,1,0)))))))</f>
        <v/>
      </c>
      <c r="AJ882">
        <f>IF(R882&lt;8.25,0,IF(R882*2&gt;=80,5,IF(R882*2&gt;=70,4,IF(R882*2&gt;=60,3.5,IF(R882*2&gt;=50,3,IF(R882*2&gt;=40,2,IF(R882*2&gt;=33,1,0)))))))</f>
        <v/>
      </c>
      <c r="AK882">
        <f>IF(S882&lt;33,0,IF(S882&gt;=80,5,IF(S882&gt;=70,4,IF(S882&gt;=60,3.5,IF(S882&gt;=50,3,IF(S882&gt;=40,2,IF(S882&gt;=33,1,0)))))))</f>
        <v/>
      </c>
      <c r="AL882">
        <f>(AC882+AD882+AE882+AF882+AG882+AH882+AI882+AJ882)/8</f>
        <v/>
      </c>
      <c r="AM882">
        <f>IF(AK882&gt;=2,(AK882-2)/8,0)</f>
        <v/>
      </c>
    </row>
    <row r="883">
      <c r="T883">
        <f>SUM(C883:R883)</f>
        <v/>
      </c>
      <c r="U883" s="6">
        <f>ROUND(T883/11.5,2)</f>
        <v/>
      </c>
      <c r="V883" s="7">
        <f>IF(B883="","",IF(AB883,0,ROUND(AL883,2)))</f>
        <v/>
      </c>
      <c r="W883" s="7">
        <f>IF(B883="","",IF(AB883,0,MIN(5,ROUND(AL883+AM883,2))))</f>
        <v/>
      </c>
      <c r="X883" s="8">
        <f>IF(B883="","",IF(W883&gt;=5,"A+",IF(W883&gt;=4,"A",IF(W883&gt;=3.5,"A-",IF(W883&gt;=3,"B",IF(W883&gt;=2,"C",IF(W883&gt;=1,"D","F")))))))</f>
        <v/>
      </c>
      <c r="Y883">
        <f>NOT(OR(AND(J883&gt;=10,K883&gt;=23,L883&gt;=10,M883&gt;=23),AND(J883+L883&gt;=20,K883+M883&gt;=46)))</f>
        <v/>
      </c>
      <c r="Z883">
        <f>OR(N883&lt;10,O883&lt;23)</f>
        <v/>
      </c>
      <c r="AA883">
        <f>OR(P883&lt;10,Q883&lt;23)</f>
        <v/>
      </c>
      <c r="AB883">
        <f>OR((C883+D883)&lt;66,(E883+F883)&lt;66,G883&lt;33,(H883+I883)&lt;66,Y883,Z883,AA883,R883&lt;8.25)</f>
        <v/>
      </c>
      <c r="AC883">
        <f>IF(C883+D883&lt;66,0,IF((C883+D883)/2&gt;=80,5,IF((C883+D883)/2&gt;=70,4,IF((C883+D883)/2&gt;=60,3.5,IF((C883+D883)/2&gt;=50,3,IF((C883+D883)/2&gt;=40,2,IF((C883+D883)/2&gt;=33,1,0)))))))</f>
        <v/>
      </c>
      <c r="AD883">
        <f>IF(E883+F883&lt;66,0,IF((E883+F883)/2&gt;=80,5,IF((E883+F883)/2&gt;=70,4,IF((E883+F883)/2&gt;=60,3.5,IF((E883+F883)/2&gt;=50,3,IF((E883+F883)/2&gt;=40,2,IF((E883+F883)/2&gt;=33,1,0)))))))</f>
        <v/>
      </c>
      <c r="AE883">
        <f>IF(G883&lt;33,0,IF(G883&gt;=80,5,IF(G883&gt;=70,4,IF(G883&gt;=60,3.5,IF(G883&gt;=50,3,IF(G883&gt;=40,2,IF(G883&gt;=33,1,0)))))))</f>
        <v/>
      </c>
      <c r="AF883">
        <f>IF(H883+I883&lt;66,0,IF((H883+I883)/2&gt;=80,5,IF((H883+I883)/2&gt;=70,4,IF((H883+I883)/2&gt;=60,3.5,IF((H883+I883)/2&gt;=50,3,IF((H883+I883)/2&gt;=40,2,IF((H883+I883)/2&gt;=33,1,0)))))))</f>
        <v/>
      </c>
      <c r="AG883">
        <f>IF(Y883,0,IF((J883+K883+L883+M883)/2&gt;=80,5,IF((J883+K883+L883+M883)/2&gt;=70,4,IF((J883+K883+L883+M883)/2&gt;=60,3.5,IF((J883+K883+L883+M883)/2&gt;=50,3,IF((J883+K883+L883+M883)/2&gt;=40,2,IF((J883+K883+L883+M883)/2&gt;=33,1,0)))))))</f>
        <v/>
      </c>
      <c r="AH883">
        <f>IF(Z883,0,IF(N883+O883&gt;=80,5,IF(N883+O883&gt;=70,4,IF(N883+O883&gt;=60,3.5,IF(N883+O883&gt;=50,3,IF(N883+O883&gt;=40,2,IF(N883+O883&gt;=33,1,0)))))))</f>
        <v/>
      </c>
      <c r="AI883">
        <f>IF(AA883,0,IF(P883+Q883&gt;=80,5,IF(P883+Q883&gt;=70,4,IF(P883+Q883&gt;=60,3.5,IF(P883+Q883&gt;=50,3,IF(P883+Q883&gt;=40,2,IF(P883+Q883&gt;=33,1,0)))))))</f>
        <v/>
      </c>
      <c r="AJ883">
        <f>IF(R883&lt;8.25,0,IF(R883*2&gt;=80,5,IF(R883*2&gt;=70,4,IF(R883*2&gt;=60,3.5,IF(R883*2&gt;=50,3,IF(R883*2&gt;=40,2,IF(R883*2&gt;=33,1,0)))))))</f>
        <v/>
      </c>
      <c r="AK883">
        <f>IF(S883&lt;33,0,IF(S883&gt;=80,5,IF(S883&gt;=70,4,IF(S883&gt;=60,3.5,IF(S883&gt;=50,3,IF(S883&gt;=40,2,IF(S883&gt;=33,1,0)))))))</f>
        <v/>
      </c>
      <c r="AL883">
        <f>(AC883+AD883+AE883+AF883+AG883+AH883+AI883+AJ883)/8</f>
        <v/>
      </c>
      <c r="AM883">
        <f>IF(AK883&gt;=2,(AK883-2)/8,0)</f>
        <v/>
      </c>
    </row>
    <row r="884">
      <c r="T884">
        <f>SUM(C884:R884)</f>
        <v/>
      </c>
      <c r="U884" s="6">
        <f>ROUND(T884/11.5,2)</f>
        <v/>
      </c>
      <c r="V884" s="7">
        <f>IF(B884="","",IF(AB884,0,ROUND(AL884,2)))</f>
        <v/>
      </c>
      <c r="W884" s="7">
        <f>IF(B884="","",IF(AB884,0,MIN(5,ROUND(AL884+AM884,2))))</f>
        <v/>
      </c>
      <c r="X884" s="8">
        <f>IF(B884="","",IF(W884&gt;=5,"A+",IF(W884&gt;=4,"A",IF(W884&gt;=3.5,"A-",IF(W884&gt;=3,"B",IF(W884&gt;=2,"C",IF(W884&gt;=1,"D","F")))))))</f>
        <v/>
      </c>
      <c r="Y884">
        <f>NOT(OR(AND(J884&gt;=10,K884&gt;=23,L884&gt;=10,M884&gt;=23),AND(J884+L884&gt;=20,K884+M884&gt;=46)))</f>
        <v/>
      </c>
      <c r="Z884">
        <f>OR(N884&lt;10,O884&lt;23)</f>
        <v/>
      </c>
      <c r="AA884">
        <f>OR(P884&lt;10,Q884&lt;23)</f>
        <v/>
      </c>
      <c r="AB884">
        <f>OR((C884+D884)&lt;66,(E884+F884)&lt;66,G884&lt;33,(H884+I884)&lt;66,Y884,Z884,AA884,R884&lt;8.25)</f>
        <v/>
      </c>
      <c r="AC884">
        <f>IF(C884+D884&lt;66,0,IF((C884+D884)/2&gt;=80,5,IF((C884+D884)/2&gt;=70,4,IF((C884+D884)/2&gt;=60,3.5,IF((C884+D884)/2&gt;=50,3,IF((C884+D884)/2&gt;=40,2,IF((C884+D884)/2&gt;=33,1,0)))))))</f>
        <v/>
      </c>
      <c r="AD884">
        <f>IF(E884+F884&lt;66,0,IF((E884+F884)/2&gt;=80,5,IF((E884+F884)/2&gt;=70,4,IF((E884+F884)/2&gt;=60,3.5,IF((E884+F884)/2&gt;=50,3,IF((E884+F884)/2&gt;=40,2,IF((E884+F884)/2&gt;=33,1,0)))))))</f>
        <v/>
      </c>
      <c r="AE884">
        <f>IF(G884&lt;33,0,IF(G884&gt;=80,5,IF(G884&gt;=70,4,IF(G884&gt;=60,3.5,IF(G884&gt;=50,3,IF(G884&gt;=40,2,IF(G884&gt;=33,1,0)))))))</f>
        <v/>
      </c>
      <c r="AF884">
        <f>IF(H884+I884&lt;66,0,IF((H884+I884)/2&gt;=80,5,IF((H884+I884)/2&gt;=70,4,IF((H884+I884)/2&gt;=60,3.5,IF((H884+I884)/2&gt;=50,3,IF((H884+I884)/2&gt;=40,2,IF((H884+I884)/2&gt;=33,1,0)))))))</f>
        <v/>
      </c>
      <c r="AG884">
        <f>IF(Y884,0,IF((J884+K884+L884+M884)/2&gt;=80,5,IF((J884+K884+L884+M884)/2&gt;=70,4,IF((J884+K884+L884+M884)/2&gt;=60,3.5,IF((J884+K884+L884+M884)/2&gt;=50,3,IF((J884+K884+L884+M884)/2&gt;=40,2,IF((J884+K884+L884+M884)/2&gt;=33,1,0)))))))</f>
        <v/>
      </c>
      <c r="AH884">
        <f>IF(Z884,0,IF(N884+O884&gt;=80,5,IF(N884+O884&gt;=70,4,IF(N884+O884&gt;=60,3.5,IF(N884+O884&gt;=50,3,IF(N884+O884&gt;=40,2,IF(N884+O884&gt;=33,1,0)))))))</f>
        <v/>
      </c>
      <c r="AI884">
        <f>IF(AA884,0,IF(P884+Q884&gt;=80,5,IF(P884+Q884&gt;=70,4,IF(P884+Q884&gt;=60,3.5,IF(P884+Q884&gt;=50,3,IF(P884+Q884&gt;=40,2,IF(P884+Q884&gt;=33,1,0)))))))</f>
        <v/>
      </c>
      <c r="AJ884">
        <f>IF(R884&lt;8.25,0,IF(R884*2&gt;=80,5,IF(R884*2&gt;=70,4,IF(R884*2&gt;=60,3.5,IF(R884*2&gt;=50,3,IF(R884*2&gt;=40,2,IF(R884*2&gt;=33,1,0)))))))</f>
        <v/>
      </c>
      <c r="AK884">
        <f>IF(S884&lt;33,0,IF(S884&gt;=80,5,IF(S884&gt;=70,4,IF(S884&gt;=60,3.5,IF(S884&gt;=50,3,IF(S884&gt;=40,2,IF(S884&gt;=33,1,0)))))))</f>
        <v/>
      </c>
      <c r="AL884">
        <f>(AC884+AD884+AE884+AF884+AG884+AH884+AI884+AJ884)/8</f>
        <v/>
      </c>
      <c r="AM884">
        <f>IF(AK884&gt;=2,(AK884-2)/8,0)</f>
        <v/>
      </c>
    </row>
    <row r="885">
      <c r="T885">
        <f>SUM(C885:R885)</f>
        <v/>
      </c>
      <c r="U885" s="6">
        <f>ROUND(T885/11.5,2)</f>
        <v/>
      </c>
      <c r="V885" s="7">
        <f>IF(B885="","",IF(AB885,0,ROUND(AL885,2)))</f>
        <v/>
      </c>
      <c r="W885" s="7">
        <f>IF(B885="","",IF(AB885,0,MIN(5,ROUND(AL885+AM885,2))))</f>
        <v/>
      </c>
      <c r="X885" s="8">
        <f>IF(B885="","",IF(W885&gt;=5,"A+",IF(W885&gt;=4,"A",IF(W885&gt;=3.5,"A-",IF(W885&gt;=3,"B",IF(W885&gt;=2,"C",IF(W885&gt;=1,"D","F")))))))</f>
        <v/>
      </c>
      <c r="Y885">
        <f>NOT(OR(AND(J885&gt;=10,K885&gt;=23,L885&gt;=10,M885&gt;=23),AND(J885+L885&gt;=20,K885+M885&gt;=46)))</f>
        <v/>
      </c>
      <c r="Z885">
        <f>OR(N885&lt;10,O885&lt;23)</f>
        <v/>
      </c>
      <c r="AA885">
        <f>OR(P885&lt;10,Q885&lt;23)</f>
        <v/>
      </c>
      <c r="AB885">
        <f>OR((C885+D885)&lt;66,(E885+F885)&lt;66,G885&lt;33,(H885+I885)&lt;66,Y885,Z885,AA885,R885&lt;8.25)</f>
        <v/>
      </c>
      <c r="AC885">
        <f>IF(C885+D885&lt;66,0,IF((C885+D885)/2&gt;=80,5,IF((C885+D885)/2&gt;=70,4,IF((C885+D885)/2&gt;=60,3.5,IF((C885+D885)/2&gt;=50,3,IF((C885+D885)/2&gt;=40,2,IF((C885+D885)/2&gt;=33,1,0)))))))</f>
        <v/>
      </c>
      <c r="AD885">
        <f>IF(E885+F885&lt;66,0,IF((E885+F885)/2&gt;=80,5,IF((E885+F885)/2&gt;=70,4,IF((E885+F885)/2&gt;=60,3.5,IF((E885+F885)/2&gt;=50,3,IF((E885+F885)/2&gt;=40,2,IF((E885+F885)/2&gt;=33,1,0)))))))</f>
        <v/>
      </c>
      <c r="AE885">
        <f>IF(G885&lt;33,0,IF(G885&gt;=80,5,IF(G885&gt;=70,4,IF(G885&gt;=60,3.5,IF(G885&gt;=50,3,IF(G885&gt;=40,2,IF(G885&gt;=33,1,0)))))))</f>
        <v/>
      </c>
      <c r="AF885">
        <f>IF(H885+I885&lt;66,0,IF((H885+I885)/2&gt;=80,5,IF((H885+I885)/2&gt;=70,4,IF((H885+I885)/2&gt;=60,3.5,IF((H885+I885)/2&gt;=50,3,IF((H885+I885)/2&gt;=40,2,IF((H885+I885)/2&gt;=33,1,0)))))))</f>
        <v/>
      </c>
      <c r="AG885">
        <f>IF(Y885,0,IF((J885+K885+L885+M885)/2&gt;=80,5,IF((J885+K885+L885+M885)/2&gt;=70,4,IF((J885+K885+L885+M885)/2&gt;=60,3.5,IF((J885+K885+L885+M885)/2&gt;=50,3,IF((J885+K885+L885+M885)/2&gt;=40,2,IF((J885+K885+L885+M885)/2&gt;=33,1,0)))))))</f>
        <v/>
      </c>
      <c r="AH885">
        <f>IF(Z885,0,IF(N885+O885&gt;=80,5,IF(N885+O885&gt;=70,4,IF(N885+O885&gt;=60,3.5,IF(N885+O885&gt;=50,3,IF(N885+O885&gt;=40,2,IF(N885+O885&gt;=33,1,0)))))))</f>
        <v/>
      </c>
      <c r="AI885">
        <f>IF(AA885,0,IF(P885+Q885&gt;=80,5,IF(P885+Q885&gt;=70,4,IF(P885+Q885&gt;=60,3.5,IF(P885+Q885&gt;=50,3,IF(P885+Q885&gt;=40,2,IF(P885+Q885&gt;=33,1,0)))))))</f>
        <v/>
      </c>
      <c r="AJ885">
        <f>IF(R885&lt;8.25,0,IF(R885*2&gt;=80,5,IF(R885*2&gt;=70,4,IF(R885*2&gt;=60,3.5,IF(R885*2&gt;=50,3,IF(R885*2&gt;=40,2,IF(R885*2&gt;=33,1,0)))))))</f>
        <v/>
      </c>
      <c r="AK885">
        <f>IF(S885&lt;33,0,IF(S885&gt;=80,5,IF(S885&gt;=70,4,IF(S885&gt;=60,3.5,IF(S885&gt;=50,3,IF(S885&gt;=40,2,IF(S885&gt;=33,1,0)))))))</f>
        <v/>
      </c>
      <c r="AL885">
        <f>(AC885+AD885+AE885+AF885+AG885+AH885+AI885+AJ885)/8</f>
        <v/>
      </c>
      <c r="AM885">
        <f>IF(AK885&gt;=2,(AK885-2)/8,0)</f>
        <v/>
      </c>
    </row>
    <row r="886">
      <c r="T886">
        <f>SUM(C886:R886)</f>
        <v/>
      </c>
      <c r="U886" s="6">
        <f>ROUND(T886/11.5,2)</f>
        <v/>
      </c>
      <c r="V886" s="7">
        <f>IF(B886="","",IF(AB886,0,ROUND(AL886,2)))</f>
        <v/>
      </c>
      <c r="W886" s="7">
        <f>IF(B886="","",IF(AB886,0,MIN(5,ROUND(AL886+AM886,2))))</f>
        <v/>
      </c>
      <c r="X886" s="8">
        <f>IF(B886="","",IF(W886&gt;=5,"A+",IF(W886&gt;=4,"A",IF(W886&gt;=3.5,"A-",IF(W886&gt;=3,"B",IF(W886&gt;=2,"C",IF(W886&gt;=1,"D","F")))))))</f>
        <v/>
      </c>
      <c r="Y886">
        <f>NOT(OR(AND(J886&gt;=10,K886&gt;=23,L886&gt;=10,M886&gt;=23),AND(J886+L886&gt;=20,K886+M886&gt;=46)))</f>
        <v/>
      </c>
      <c r="Z886">
        <f>OR(N886&lt;10,O886&lt;23)</f>
        <v/>
      </c>
      <c r="AA886">
        <f>OR(P886&lt;10,Q886&lt;23)</f>
        <v/>
      </c>
      <c r="AB886">
        <f>OR((C886+D886)&lt;66,(E886+F886)&lt;66,G886&lt;33,(H886+I886)&lt;66,Y886,Z886,AA886,R886&lt;8.25)</f>
        <v/>
      </c>
      <c r="AC886">
        <f>IF(C886+D886&lt;66,0,IF((C886+D886)/2&gt;=80,5,IF((C886+D886)/2&gt;=70,4,IF((C886+D886)/2&gt;=60,3.5,IF((C886+D886)/2&gt;=50,3,IF((C886+D886)/2&gt;=40,2,IF((C886+D886)/2&gt;=33,1,0)))))))</f>
        <v/>
      </c>
      <c r="AD886">
        <f>IF(E886+F886&lt;66,0,IF((E886+F886)/2&gt;=80,5,IF((E886+F886)/2&gt;=70,4,IF((E886+F886)/2&gt;=60,3.5,IF((E886+F886)/2&gt;=50,3,IF((E886+F886)/2&gt;=40,2,IF((E886+F886)/2&gt;=33,1,0)))))))</f>
        <v/>
      </c>
      <c r="AE886">
        <f>IF(G886&lt;33,0,IF(G886&gt;=80,5,IF(G886&gt;=70,4,IF(G886&gt;=60,3.5,IF(G886&gt;=50,3,IF(G886&gt;=40,2,IF(G886&gt;=33,1,0)))))))</f>
        <v/>
      </c>
      <c r="AF886">
        <f>IF(H886+I886&lt;66,0,IF((H886+I886)/2&gt;=80,5,IF((H886+I886)/2&gt;=70,4,IF((H886+I886)/2&gt;=60,3.5,IF((H886+I886)/2&gt;=50,3,IF((H886+I886)/2&gt;=40,2,IF((H886+I886)/2&gt;=33,1,0)))))))</f>
        <v/>
      </c>
      <c r="AG886">
        <f>IF(Y886,0,IF((J886+K886+L886+M886)/2&gt;=80,5,IF((J886+K886+L886+M886)/2&gt;=70,4,IF((J886+K886+L886+M886)/2&gt;=60,3.5,IF((J886+K886+L886+M886)/2&gt;=50,3,IF((J886+K886+L886+M886)/2&gt;=40,2,IF((J886+K886+L886+M886)/2&gt;=33,1,0)))))))</f>
        <v/>
      </c>
      <c r="AH886">
        <f>IF(Z886,0,IF(N886+O886&gt;=80,5,IF(N886+O886&gt;=70,4,IF(N886+O886&gt;=60,3.5,IF(N886+O886&gt;=50,3,IF(N886+O886&gt;=40,2,IF(N886+O886&gt;=33,1,0)))))))</f>
        <v/>
      </c>
      <c r="AI886">
        <f>IF(AA886,0,IF(P886+Q886&gt;=80,5,IF(P886+Q886&gt;=70,4,IF(P886+Q886&gt;=60,3.5,IF(P886+Q886&gt;=50,3,IF(P886+Q886&gt;=40,2,IF(P886+Q886&gt;=33,1,0)))))))</f>
        <v/>
      </c>
      <c r="AJ886">
        <f>IF(R886&lt;8.25,0,IF(R886*2&gt;=80,5,IF(R886*2&gt;=70,4,IF(R886*2&gt;=60,3.5,IF(R886*2&gt;=50,3,IF(R886*2&gt;=40,2,IF(R886*2&gt;=33,1,0)))))))</f>
        <v/>
      </c>
      <c r="AK886">
        <f>IF(S886&lt;33,0,IF(S886&gt;=80,5,IF(S886&gt;=70,4,IF(S886&gt;=60,3.5,IF(S886&gt;=50,3,IF(S886&gt;=40,2,IF(S886&gt;=33,1,0)))))))</f>
        <v/>
      </c>
      <c r="AL886">
        <f>(AC886+AD886+AE886+AF886+AG886+AH886+AI886+AJ886)/8</f>
        <v/>
      </c>
      <c r="AM886">
        <f>IF(AK886&gt;=2,(AK886-2)/8,0)</f>
        <v/>
      </c>
    </row>
    <row r="887">
      <c r="T887">
        <f>SUM(C887:R887)</f>
        <v/>
      </c>
      <c r="U887" s="6">
        <f>ROUND(T887/11.5,2)</f>
        <v/>
      </c>
      <c r="V887" s="7">
        <f>IF(B887="","",IF(AB887,0,ROUND(AL887,2)))</f>
        <v/>
      </c>
      <c r="W887" s="7">
        <f>IF(B887="","",IF(AB887,0,MIN(5,ROUND(AL887+AM887,2))))</f>
        <v/>
      </c>
      <c r="X887" s="8">
        <f>IF(B887="","",IF(W887&gt;=5,"A+",IF(W887&gt;=4,"A",IF(W887&gt;=3.5,"A-",IF(W887&gt;=3,"B",IF(W887&gt;=2,"C",IF(W887&gt;=1,"D","F")))))))</f>
        <v/>
      </c>
      <c r="Y887">
        <f>NOT(OR(AND(J887&gt;=10,K887&gt;=23,L887&gt;=10,M887&gt;=23),AND(J887+L887&gt;=20,K887+M887&gt;=46)))</f>
        <v/>
      </c>
      <c r="Z887">
        <f>OR(N887&lt;10,O887&lt;23)</f>
        <v/>
      </c>
      <c r="AA887">
        <f>OR(P887&lt;10,Q887&lt;23)</f>
        <v/>
      </c>
      <c r="AB887">
        <f>OR((C887+D887)&lt;66,(E887+F887)&lt;66,G887&lt;33,(H887+I887)&lt;66,Y887,Z887,AA887,R887&lt;8.25)</f>
        <v/>
      </c>
      <c r="AC887">
        <f>IF(C887+D887&lt;66,0,IF((C887+D887)/2&gt;=80,5,IF((C887+D887)/2&gt;=70,4,IF((C887+D887)/2&gt;=60,3.5,IF((C887+D887)/2&gt;=50,3,IF((C887+D887)/2&gt;=40,2,IF((C887+D887)/2&gt;=33,1,0)))))))</f>
        <v/>
      </c>
      <c r="AD887">
        <f>IF(E887+F887&lt;66,0,IF((E887+F887)/2&gt;=80,5,IF((E887+F887)/2&gt;=70,4,IF((E887+F887)/2&gt;=60,3.5,IF((E887+F887)/2&gt;=50,3,IF((E887+F887)/2&gt;=40,2,IF((E887+F887)/2&gt;=33,1,0)))))))</f>
        <v/>
      </c>
      <c r="AE887">
        <f>IF(G887&lt;33,0,IF(G887&gt;=80,5,IF(G887&gt;=70,4,IF(G887&gt;=60,3.5,IF(G887&gt;=50,3,IF(G887&gt;=40,2,IF(G887&gt;=33,1,0)))))))</f>
        <v/>
      </c>
      <c r="AF887">
        <f>IF(H887+I887&lt;66,0,IF((H887+I887)/2&gt;=80,5,IF((H887+I887)/2&gt;=70,4,IF((H887+I887)/2&gt;=60,3.5,IF((H887+I887)/2&gt;=50,3,IF((H887+I887)/2&gt;=40,2,IF((H887+I887)/2&gt;=33,1,0)))))))</f>
        <v/>
      </c>
      <c r="AG887">
        <f>IF(Y887,0,IF((J887+K887+L887+M887)/2&gt;=80,5,IF((J887+K887+L887+M887)/2&gt;=70,4,IF((J887+K887+L887+M887)/2&gt;=60,3.5,IF((J887+K887+L887+M887)/2&gt;=50,3,IF((J887+K887+L887+M887)/2&gt;=40,2,IF((J887+K887+L887+M887)/2&gt;=33,1,0)))))))</f>
        <v/>
      </c>
      <c r="AH887">
        <f>IF(Z887,0,IF(N887+O887&gt;=80,5,IF(N887+O887&gt;=70,4,IF(N887+O887&gt;=60,3.5,IF(N887+O887&gt;=50,3,IF(N887+O887&gt;=40,2,IF(N887+O887&gt;=33,1,0)))))))</f>
        <v/>
      </c>
      <c r="AI887">
        <f>IF(AA887,0,IF(P887+Q887&gt;=80,5,IF(P887+Q887&gt;=70,4,IF(P887+Q887&gt;=60,3.5,IF(P887+Q887&gt;=50,3,IF(P887+Q887&gt;=40,2,IF(P887+Q887&gt;=33,1,0)))))))</f>
        <v/>
      </c>
      <c r="AJ887">
        <f>IF(R887&lt;8.25,0,IF(R887*2&gt;=80,5,IF(R887*2&gt;=70,4,IF(R887*2&gt;=60,3.5,IF(R887*2&gt;=50,3,IF(R887*2&gt;=40,2,IF(R887*2&gt;=33,1,0)))))))</f>
        <v/>
      </c>
      <c r="AK887">
        <f>IF(S887&lt;33,0,IF(S887&gt;=80,5,IF(S887&gt;=70,4,IF(S887&gt;=60,3.5,IF(S887&gt;=50,3,IF(S887&gt;=40,2,IF(S887&gt;=33,1,0)))))))</f>
        <v/>
      </c>
      <c r="AL887">
        <f>(AC887+AD887+AE887+AF887+AG887+AH887+AI887+AJ887)/8</f>
        <v/>
      </c>
      <c r="AM887">
        <f>IF(AK887&gt;=2,(AK887-2)/8,0)</f>
        <v/>
      </c>
    </row>
    <row r="888">
      <c r="T888">
        <f>SUM(C888:R888)</f>
        <v/>
      </c>
      <c r="U888" s="6">
        <f>ROUND(T888/11.5,2)</f>
        <v/>
      </c>
      <c r="V888" s="7">
        <f>IF(B888="","",IF(AB888,0,ROUND(AL888,2)))</f>
        <v/>
      </c>
      <c r="W888" s="7">
        <f>IF(B888="","",IF(AB888,0,MIN(5,ROUND(AL888+AM888,2))))</f>
        <v/>
      </c>
      <c r="X888" s="8">
        <f>IF(B888="","",IF(W888&gt;=5,"A+",IF(W888&gt;=4,"A",IF(W888&gt;=3.5,"A-",IF(W888&gt;=3,"B",IF(W888&gt;=2,"C",IF(W888&gt;=1,"D","F")))))))</f>
        <v/>
      </c>
      <c r="Y888">
        <f>NOT(OR(AND(J888&gt;=10,K888&gt;=23,L888&gt;=10,M888&gt;=23),AND(J888+L888&gt;=20,K888+M888&gt;=46)))</f>
        <v/>
      </c>
      <c r="Z888">
        <f>OR(N888&lt;10,O888&lt;23)</f>
        <v/>
      </c>
      <c r="AA888">
        <f>OR(P888&lt;10,Q888&lt;23)</f>
        <v/>
      </c>
      <c r="AB888">
        <f>OR((C888+D888)&lt;66,(E888+F888)&lt;66,G888&lt;33,(H888+I888)&lt;66,Y888,Z888,AA888,R888&lt;8.25)</f>
        <v/>
      </c>
      <c r="AC888">
        <f>IF(C888+D888&lt;66,0,IF((C888+D888)/2&gt;=80,5,IF((C888+D888)/2&gt;=70,4,IF((C888+D888)/2&gt;=60,3.5,IF((C888+D888)/2&gt;=50,3,IF((C888+D888)/2&gt;=40,2,IF((C888+D888)/2&gt;=33,1,0)))))))</f>
        <v/>
      </c>
      <c r="AD888">
        <f>IF(E888+F888&lt;66,0,IF((E888+F888)/2&gt;=80,5,IF((E888+F888)/2&gt;=70,4,IF((E888+F888)/2&gt;=60,3.5,IF((E888+F888)/2&gt;=50,3,IF((E888+F888)/2&gt;=40,2,IF((E888+F888)/2&gt;=33,1,0)))))))</f>
        <v/>
      </c>
      <c r="AE888">
        <f>IF(G888&lt;33,0,IF(G888&gt;=80,5,IF(G888&gt;=70,4,IF(G888&gt;=60,3.5,IF(G888&gt;=50,3,IF(G888&gt;=40,2,IF(G888&gt;=33,1,0)))))))</f>
        <v/>
      </c>
      <c r="AF888">
        <f>IF(H888+I888&lt;66,0,IF((H888+I888)/2&gt;=80,5,IF((H888+I888)/2&gt;=70,4,IF((H888+I888)/2&gt;=60,3.5,IF((H888+I888)/2&gt;=50,3,IF((H888+I888)/2&gt;=40,2,IF((H888+I888)/2&gt;=33,1,0)))))))</f>
        <v/>
      </c>
      <c r="AG888">
        <f>IF(Y888,0,IF((J888+K888+L888+M888)/2&gt;=80,5,IF((J888+K888+L888+M888)/2&gt;=70,4,IF((J888+K888+L888+M888)/2&gt;=60,3.5,IF((J888+K888+L888+M888)/2&gt;=50,3,IF((J888+K888+L888+M888)/2&gt;=40,2,IF((J888+K888+L888+M888)/2&gt;=33,1,0)))))))</f>
        <v/>
      </c>
      <c r="AH888">
        <f>IF(Z888,0,IF(N888+O888&gt;=80,5,IF(N888+O888&gt;=70,4,IF(N888+O888&gt;=60,3.5,IF(N888+O888&gt;=50,3,IF(N888+O888&gt;=40,2,IF(N888+O888&gt;=33,1,0)))))))</f>
        <v/>
      </c>
      <c r="AI888">
        <f>IF(AA888,0,IF(P888+Q888&gt;=80,5,IF(P888+Q888&gt;=70,4,IF(P888+Q888&gt;=60,3.5,IF(P888+Q888&gt;=50,3,IF(P888+Q888&gt;=40,2,IF(P888+Q888&gt;=33,1,0)))))))</f>
        <v/>
      </c>
      <c r="AJ888">
        <f>IF(R888&lt;8.25,0,IF(R888*2&gt;=80,5,IF(R888*2&gt;=70,4,IF(R888*2&gt;=60,3.5,IF(R888*2&gt;=50,3,IF(R888*2&gt;=40,2,IF(R888*2&gt;=33,1,0)))))))</f>
        <v/>
      </c>
      <c r="AK888">
        <f>IF(S888&lt;33,0,IF(S888&gt;=80,5,IF(S888&gt;=70,4,IF(S888&gt;=60,3.5,IF(S888&gt;=50,3,IF(S888&gt;=40,2,IF(S888&gt;=33,1,0)))))))</f>
        <v/>
      </c>
      <c r="AL888">
        <f>(AC888+AD888+AE888+AF888+AG888+AH888+AI888+AJ888)/8</f>
        <v/>
      </c>
      <c r="AM888">
        <f>IF(AK888&gt;=2,(AK888-2)/8,0)</f>
        <v/>
      </c>
    </row>
    <row r="889">
      <c r="T889">
        <f>SUM(C889:R889)</f>
        <v/>
      </c>
      <c r="U889" s="6">
        <f>ROUND(T889/11.5,2)</f>
        <v/>
      </c>
      <c r="V889" s="7">
        <f>IF(B889="","",IF(AB889,0,ROUND(AL889,2)))</f>
        <v/>
      </c>
      <c r="W889" s="7">
        <f>IF(B889="","",IF(AB889,0,MIN(5,ROUND(AL889+AM889,2))))</f>
        <v/>
      </c>
      <c r="X889" s="8">
        <f>IF(B889="","",IF(W889&gt;=5,"A+",IF(W889&gt;=4,"A",IF(W889&gt;=3.5,"A-",IF(W889&gt;=3,"B",IF(W889&gt;=2,"C",IF(W889&gt;=1,"D","F")))))))</f>
        <v/>
      </c>
      <c r="Y889">
        <f>NOT(OR(AND(J889&gt;=10,K889&gt;=23,L889&gt;=10,M889&gt;=23),AND(J889+L889&gt;=20,K889+M889&gt;=46)))</f>
        <v/>
      </c>
      <c r="Z889">
        <f>OR(N889&lt;10,O889&lt;23)</f>
        <v/>
      </c>
      <c r="AA889">
        <f>OR(P889&lt;10,Q889&lt;23)</f>
        <v/>
      </c>
      <c r="AB889">
        <f>OR((C889+D889)&lt;66,(E889+F889)&lt;66,G889&lt;33,(H889+I889)&lt;66,Y889,Z889,AA889,R889&lt;8.25)</f>
        <v/>
      </c>
      <c r="AC889">
        <f>IF(C889+D889&lt;66,0,IF((C889+D889)/2&gt;=80,5,IF((C889+D889)/2&gt;=70,4,IF((C889+D889)/2&gt;=60,3.5,IF((C889+D889)/2&gt;=50,3,IF((C889+D889)/2&gt;=40,2,IF((C889+D889)/2&gt;=33,1,0)))))))</f>
        <v/>
      </c>
      <c r="AD889">
        <f>IF(E889+F889&lt;66,0,IF((E889+F889)/2&gt;=80,5,IF((E889+F889)/2&gt;=70,4,IF((E889+F889)/2&gt;=60,3.5,IF((E889+F889)/2&gt;=50,3,IF((E889+F889)/2&gt;=40,2,IF((E889+F889)/2&gt;=33,1,0)))))))</f>
        <v/>
      </c>
      <c r="AE889">
        <f>IF(G889&lt;33,0,IF(G889&gt;=80,5,IF(G889&gt;=70,4,IF(G889&gt;=60,3.5,IF(G889&gt;=50,3,IF(G889&gt;=40,2,IF(G889&gt;=33,1,0)))))))</f>
        <v/>
      </c>
      <c r="AF889">
        <f>IF(H889+I889&lt;66,0,IF((H889+I889)/2&gt;=80,5,IF((H889+I889)/2&gt;=70,4,IF((H889+I889)/2&gt;=60,3.5,IF((H889+I889)/2&gt;=50,3,IF((H889+I889)/2&gt;=40,2,IF((H889+I889)/2&gt;=33,1,0)))))))</f>
        <v/>
      </c>
      <c r="AG889">
        <f>IF(Y889,0,IF((J889+K889+L889+M889)/2&gt;=80,5,IF((J889+K889+L889+M889)/2&gt;=70,4,IF((J889+K889+L889+M889)/2&gt;=60,3.5,IF((J889+K889+L889+M889)/2&gt;=50,3,IF((J889+K889+L889+M889)/2&gt;=40,2,IF((J889+K889+L889+M889)/2&gt;=33,1,0)))))))</f>
        <v/>
      </c>
      <c r="AH889">
        <f>IF(Z889,0,IF(N889+O889&gt;=80,5,IF(N889+O889&gt;=70,4,IF(N889+O889&gt;=60,3.5,IF(N889+O889&gt;=50,3,IF(N889+O889&gt;=40,2,IF(N889+O889&gt;=33,1,0)))))))</f>
        <v/>
      </c>
      <c r="AI889">
        <f>IF(AA889,0,IF(P889+Q889&gt;=80,5,IF(P889+Q889&gt;=70,4,IF(P889+Q889&gt;=60,3.5,IF(P889+Q889&gt;=50,3,IF(P889+Q889&gt;=40,2,IF(P889+Q889&gt;=33,1,0)))))))</f>
        <v/>
      </c>
      <c r="AJ889">
        <f>IF(R889&lt;8.25,0,IF(R889*2&gt;=80,5,IF(R889*2&gt;=70,4,IF(R889*2&gt;=60,3.5,IF(R889*2&gt;=50,3,IF(R889*2&gt;=40,2,IF(R889*2&gt;=33,1,0)))))))</f>
        <v/>
      </c>
      <c r="AK889">
        <f>IF(S889&lt;33,0,IF(S889&gt;=80,5,IF(S889&gt;=70,4,IF(S889&gt;=60,3.5,IF(S889&gt;=50,3,IF(S889&gt;=40,2,IF(S889&gt;=33,1,0)))))))</f>
        <v/>
      </c>
      <c r="AL889">
        <f>(AC889+AD889+AE889+AF889+AG889+AH889+AI889+AJ889)/8</f>
        <v/>
      </c>
      <c r="AM889">
        <f>IF(AK889&gt;=2,(AK889-2)/8,0)</f>
        <v/>
      </c>
    </row>
    <row r="890">
      <c r="T890">
        <f>SUM(C890:R890)</f>
        <v/>
      </c>
      <c r="U890" s="6">
        <f>ROUND(T890/11.5,2)</f>
        <v/>
      </c>
      <c r="V890" s="7">
        <f>IF(B890="","",IF(AB890,0,ROUND(AL890,2)))</f>
        <v/>
      </c>
      <c r="W890" s="7">
        <f>IF(B890="","",IF(AB890,0,MIN(5,ROUND(AL890+AM890,2))))</f>
        <v/>
      </c>
      <c r="X890" s="8">
        <f>IF(B890="","",IF(W890&gt;=5,"A+",IF(W890&gt;=4,"A",IF(W890&gt;=3.5,"A-",IF(W890&gt;=3,"B",IF(W890&gt;=2,"C",IF(W890&gt;=1,"D","F")))))))</f>
        <v/>
      </c>
      <c r="Y890">
        <f>NOT(OR(AND(J890&gt;=10,K890&gt;=23,L890&gt;=10,M890&gt;=23),AND(J890+L890&gt;=20,K890+M890&gt;=46)))</f>
        <v/>
      </c>
      <c r="Z890">
        <f>OR(N890&lt;10,O890&lt;23)</f>
        <v/>
      </c>
      <c r="AA890">
        <f>OR(P890&lt;10,Q890&lt;23)</f>
        <v/>
      </c>
      <c r="AB890">
        <f>OR((C890+D890)&lt;66,(E890+F890)&lt;66,G890&lt;33,(H890+I890)&lt;66,Y890,Z890,AA890,R890&lt;8.25)</f>
        <v/>
      </c>
      <c r="AC890">
        <f>IF(C890+D890&lt;66,0,IF((C890+D890)/2&gt;=80,5,IF((C890+D890)/2&gt;=70,4,IF((C890+D890)/2&gt;=60,3.5,IF((C890+D890)/2&gt;=50,3,IF((C890+D890)/2&gt;=40,2,IF((C890+D890)/2&gt;=33,1,0)))))))</f>
        <v/>
      </c>
      <c r="AD890">
        <f>IF(E890+F890&lt;66,0,IF((E890+F890)/2&gt;=80,5,IF((E890+F890)/2&gt;=70,4,IF((E890+F890)/2&gt;=60,3.5,IF((E890+F890)/2&gt;=50,3,IF((E890+F890)/2&gt;=40,2,IF((E890+F890)/2&gt;=33,1,0)))))))</f>
        <v/>
      </c>
      <c r="AE890">
        <f>IF(G890&lt;33,0,IF(G890&gt;=80,5,IF(G890&gt;=70,4,IF(G890&gt;=60,3.5,IF(G890&gt;=50,3,IF(G890&gt;=40,2,IF(G890&gt;=33,1,0)))))))</f>
        <v/>
      </c>
      <c r="AF890">
        <f>IF(H890+I890&lt;66,0,IF((H890+I890)/2&gt;=80,5,IF((H890+I890)/2&gt;=70,4,IF((H890+I890)/2&gt;=60,3.5,IF((H890+I890)/2&gt;=50,3,IF((H890+I890)/2&gt;=40,2,IF((H890+I890)/2&gt;=33,1,0)))))))</f>
        <v/>
      </c>
      <c r="AG890">
        <f>IF(Y890,0,IF((J890+K890+L890+M890)/2&gt;=80,5,IF((J890+K890+L890+M890)/2&gt;=70,4,IF((J890+K890+L890+M890)/2&gt;=60,3.5,IF((J890+K890+L890+M890)/2&gt;=50,3,IF((J890+K890+L890+M890)/2&gt;=40,2,IF((J890+K890+L890+M890)/2&gt;=33,1,0)))))))</f>
        <v/>
      </c>
      <c r="AH890">
        <f>IF(Z890,0,IF(N890+O890&gt;=80,5,IF(N890+O890&gt;=70,4,IF(N890+O890&gt;=60,3.5,IF(N890+O890&gt;=50,3,IF(N890+O890&gt;=40,2,IF(N890+O890&gt;=33,1,0)))))))</f>
        <v/>
      </c>
      <c r="AI890">
        <f>IF(AA890,0,IF(P890+Q890&gt;=80,5,IF(P890+Q890&gt;=70,4,IF(P890+Q890&gt;=60,3.5,IF(P890+Q890&gt;=50,3,IF(P890+Q890&gt;=40,2,IF(P890+Q890&gt;=33,1,0)))))))</f>
        <v/>
      </c>
      <c r="AJ890">
        <f>IF(R890&lt;8.25,0,IF(R890*2&gt;=80,5,IF(R890*2&gt;=70,4,IF(R890*2&gt;=60,3.5,IF(R890*2&gt;=50,3,IF(R890*2&gt;=40,2,IF(R890*2&gt;=33,1,0)))))))</f>
        <v/>
      </c>
      <c r="AK890">
        <f>IF(S890&lt;33,0,IF(S890&gt;=80,5,IF(S890&gt;=70,4,IF(S890&gt;=60,3.5,IF(S890&gt;=50,3,IF(S890&gt;=40,2,IF(S890&gt;=33,1,0)))))))</f>
        <v/>
      </c>
      <c r="AL890">
        <f>(AC890+AD890+AE890+AF890+AG890+AH890+AI890+AJ890)/8</f>
        <v/>
      </c>
      <c r="AM890">
        <f>IF(AK890&gt;=2,(AK890-2)/8,0)</f>
        <v/>
      </c>
    </row>
    <row r="891">
      <c r="T891">
        <f>SUM(C891:R891)</f>
        <v/>
      </c>
      <c r="U891" s="6">
        <f>ROUND(T891/11.5,2)</f>
        <v/>
      </c>
      <c r="V891" s="7">
        <f>IF(B891="","",IF(AB891,0,ROUND(AL891,2)))</f>
        <v/>
      </c>
      <c r="W891" s="7">
        <f>IF(B891="","",IF(AB891,0,MIN(5,ROUND(AL891+AM891,2))))</f>
        <v/>
      </c>
      <c r="X891" s="8">
        <f>IF(B891="","",IF(W891&gt;=5,"A+",IF(W891&gt;=4,"A",IF(W891&gt;=3.5,"A-",IF(W891&gt;=3,"B",IF(W891&gt;=2,"C",IF(W891&gt;=1,"D","F")))))))</f>
        <v/>
      </c>
      <c r="Y891">
        <f>NOT(OR(AND(J891&gt;=10,K891&gt;=23,L891&gt;=10,M891&gt;=23),AND(J891+L891&gt;=20,K891+M891&gt;=46)))</f>
        <v/>
      </c>
      <c r="Z891">
        <f>OR(N891&lt;10,O891&lt;23)</f>
        <v/>
      </c>
      <c r="AA891">
        <f>OR(P891&lt;10,Q891&lt;23)</f>
        <v/>
      </c>
      <c r="AB891">
        <f>OR((C891+D891)&lt;66,(E891+F891)&lt;66,G891&lt;33,(H891+I891)&lt;66,Y891,Z891,AA891,R891&lt;8.25)</f>
        <v/>
      </c>
      <c r="AC891">
        <f>IF(C891+D891&lt;66,0,IF((C891+D891)/2&gt;=80,5,IF((C891+D891)/2&gt;=70,4,IF((C891+D891)/2&gt;=60,3.5,IF((C891+D891)/2&gt;=50,3,IF((C891+D891)/2&gt;=40,2,IF((C891+D891)/2&gt;=33,1,0)))))))</f>
        <v/>
      </c>
      <c r="AD891">
        <f>IF(E891+F891&lt;66,0,IF((E891+F891)/2&gt;=80,5,IF((E891+F891)/2&gt;=70,4,IF((E891+F891)/2&gt;=60,3.5,IF((E891+F891)/2&gt;=50,3,IF((E891+F891)/2&gt;=40,2,IF((E891+F891)/2&gt;=33,1,0)))))))</f>
        <v/>
      </c>
      <c r="AE891">
        <f>IF(G891&lt;33,0,IF(G891&gt;=80,5,IF(G891&gt;=70,4,IF(G891&gt;=60,3.5,IF(G891&gt;=50,3,IF(G891&gt;=40,2,IF(G891&gt;=33,1,0)))))))</f>
        <v/>
      </c>
      <c r="AF891">
        <f>IF(H891+I891&lt;66,0,IF((H891+I891)/2&gt;=80,5,IF((H891+I891)/2&gt;=70,4,IF((H891+I891)/2&gt;=60,3.5,IF((H891+I891)/2&gt;=50,3,IF((H891+I891)/2&gt;=40,2,IF((H891+I891)/2&gt;=33,1,0)))))))</f>
        <v/>
      </c>
      <c r="AG891">
        <f>IF(Y891,0,IF((J891+K891+L891+M891)/2&gt;=80,5,IF((J891+K891+L891+M891)/2&gt;=70,4,IF((J891+K891+L891+M891)/2&gt;=60,3.5,IF((J891+K891+L891+M891)/2&gt;=50,3,IF((J891+K891+L891+M891)/2&gt;=40,2,IF((J891+K891+L891+M891)/2&gt;=33,1,0)))))))</f>
        <v/>
      </c>
      <c r="AH891">
        <f>IF(Z891,0,IF(N891+O891&gt;=80,5,IF(N891+O891&gt;=70,4,IF(N891+O891&gt;=60,3.5,IF(N891+O891&gt;=50,3,IF(N891+O891&gt;=40,2,IF(N891+O891&gt;=33,1,0)))))))</f>
        <v/>
      </c>
      <c r="AI891">
        <f>IF(AA891,0,IF(P891+Q891&gt;=80,5,IF(P891+Q891&gt;=70,4,IF(P891+Q891&gt;=60,3.5,IF(P891+Q891&gt;=50,3,IF(P891+Q891&gt;=40,2,IF(P891+Q891&gt;=33,1,0)))))))</f>
        <v/>
      </c>
      <c r="AJ891">
        <f>IF(R891&lt;8.25,0,IF(R891*2&gt;=80,5,IF(R891*2&gt;=70,4,IF(R891*2&gt;=60,3.5,IF(R891*2&gt;=50,3,IF(R891*2&gt;=40,2,IF(R891*2&gt;=33,1,0)))))))</f>
        <v/>
      </c>
      <c r="AK891">
        <f>IF(S891&lt;33,0,IF(S891&gt;=80,5,IF(S891&gt;=70,4,IF(S891&gt;=60,3.5,IF(S891&gt;=50,3,IF(S891&gt;=40,2,IF(S891&gt;=33,1,0)))))))</f>
        <v/>
      </c>
      <c r="AL891">
        <f>(AC891+AD891+AE891+AF891+AG891+AH891+AI891+AJ891)/8</f>
        <v/>
      </c>
      <c r="AM891">
        <f>IF(AK891&gt;=2,(AK891-2)/8,0)</f>
        <v/>
      </c>
    </row>
    <row r="892">
      <c r="T892">
        <f>SUM(C892:R892)</f>
        <v/>
      </c>
      <c r="U892" s="6">
        <f>ROUND(T892/11.5,2)</f>
        <v/>
      </c>
      <c r="V892" s="7">
        <f>IF(B892="","",IF(AB892,0,ROUND(AL892,2)))</f>
        <v/>
      </c>
      <c r="W892" s="7">
        <f>IF(B892="","",IF(AB892,0,MIN(5,ROUND(AL892+AM892,2))))</f>
        <v/>
      </c>
      <c r="X892" s="8">
        <f>IF(B892="","",IF(W892&gt;=5,"A+",IF(W892&gt;=4,"A",IF(W892&gt;=3.5,"A-",IF(W892&gt;=3,"B",IF(W892&gt;=2,"C",IF(W892&gt;=1,"D","F")))))))</f>
        <v/>
      </c>
      <c r="Y892">
        <f>NOT(OR(AND(J892&gt;=10,K892&gt;=23,L892&gt;=10,M892&gt;=23),AND(J892+L892&gt;=20,K892+M892&gt;=46)))</f>
        <v/>
      </c>
      <c r="Z892">
        <f>OR(N892&lt;10,O892&lt;23)</f>
        <v/>
      </c>
      <c r="AA892">
        <f>OR(P892&lt;10,Q892&lt;23)</f>
        <v/>
      </c>
      <c r="AB892">
        <f>OR((C892+D892)&lt;66,(E892+F892)&lt;66,G892&lt;33,(H892+I892)&lt;66,Y892,Z892,AA892,R892&lt;8.25)</f>
        <v/>
      </c>
      <c r="AC892">
        <f>IF(C892+D892&lt;66,0,IF((C892+D892)/2&gt;=80,5,IF((C892+D892)/2&gt;=70,4,IF((C892+D892)/2&gt;=60,3.5,IF((C892+D892)/2&gt;=50,3,IF((C892+D892)/2&gt;=40,2,IF((C892+D892)/2&gt;=33,1,0)))))))</f>
        <v/>
      </c>
      <c r="AD892">
        <f>IF(E892+F892&lt;66,0,IF((E892+F892)/2&gt;=80,5,IF((E892+F892)/2&gt;=70,4,IF((E892+F892)/2&gt;=60,3.5,IF((E892+F892)/2&gt;=50,3,IF((E892+F892)/2&gt;=40,2,IF((E892+F892)/2&gt;=33,1,0)))))))</f>
        <v/>
      </c>
      <c r="AE892">
        <f>IF(G892&lt;33,0,IF(G892&gt;=80,5,IF(G892&gt;=70,4,IF(G892&gt;=60,3.5,IF(G892&gt;=50,3,IF(G892&gt;=40,2,IF(G892&gt;=33,1,0)))))))</f>
        <v/>
      </c>
      <c r="AF892">
        <f>IF(H892+I892&lt;66,0,IF((H892+I892)/2&gt;=80,5,IF((H892+I892)/2&gt;=70,4,IF((H892+I892)/2&gt;=60,3.5,IF((H892+I892)/2&gt;=50,3,IF((H892+I892)/2&gt;=40,2,IF((H892+I892)/2&gt;=33,1,0)))))))</f>
        <v/>
      </c>
      <c r="AG892">
        <f>IF(Y892,0,IF((J892+K892+L892+M892)/2&gt;=80,5,IF((J892+K892+L892+M892)/2&gt;=70,4,IF((J892+K892+L892+M892)/2&gt;=60,3.5,IF((J892+K892+L892+M892)/2&gt;=50,3,IF((J892+K892+L892+M892)/2&gt;=40,2,IF((J892+K892+L892+M892)/2&gt;=33,1,0)))))))</f>
        <v/>
      </c>
      <c r="AH892">
        <f>IF(Z892,0,IF(N892+O892&gt;=80,5,IF(N892+O892&gt;=70,4,IF(N892+O892&gt;=60,3.5,IF(N892+O892&gt;=50,3,IF(N892+O892&gt;=40,2,IF(N892+O892&gt;=33,1,0)))))))</f>
        <v/>
      </c>
      <c r="AI892">
        <f>IF(AA892,0,IF(P892+Q892&gt;=80,5,IF(P892+Q892&gt;=70,4,IF(P892+Q892&gt;=60,3.5,IF(P892+Q892&gt;=50,3,IF(P892+Q892&gt;=40,2,IF(P892+Q892&gt;=33,1,0)))))))</f>
        <v/>
      </c>
      <c r="AJ892">
        <f>IF(R892&lt;8.25,0,IF(R892*2&gt;=80,5,IF(R892*2&gt;=70,4,IF(R892*2&gt;=60,3.5,IF(R892*2&gt;=50,3,IF(R892*2&gt;=40,2,IF(R892*2&gt;=33,1,0)))))))</f>
        <v/>
      </c>
      <c r="AK892">
        <f>IF(S892&lt;33,0,IF(S892&gt;=80,5,IF(S892&gt;=70,4,IF(S892&gt;=60,3.5,IF(S892&gt;=50,3,IF(S892&gt;=40,2,IF(S892&gt;=33,1,0)))))))</f>
        <v/>
      </c>
      <c r="AL892">
        <f>(AC892+AD892+AE892+AF892+AG892+AH892+AI892+AJ892)/8</f>
        <v/>
      </c>
      <c r="AM892">
        <f>IF(AK892&gt;=2,(AK892-2)/8,0)</f>
        <v/>
      </c>
    </row>
    <row r="893">
      <c r="T893">
        <f>SUM(C893:R893)</f>
        <v/>
      </c>
      <c r="U893" s="6">
        <f>ROUND(T893/11.5,2)</f>
        <v/>
      </c>
      <c r="V893" s="7">
        <f>IF(B893="","",IF(AB893,0,ROUND(AL893,2)))</f>
        <v/>
      </c>
      <c r="W893" s="7">
        <f>IF(B893="","",IF(AB893,0,MIN(5,ROUND(AL893+AM893,2))))</f>
        <v/>
      </c>
      <c r="X893" s="8">
        <f>IF(B893="","",IF(W893&gt;=5,"A+",IF(W893&gt;=4,"A",IF(W893&gt;=3.5,"A-",IF(W893&gt;=3,"B",IF(W893&gt;=2,"C",IF(W893&gt;=1,"D","F")))))))</f>
        <v/>
      </c>
      <c r="Y893">
        <f>NOT(OR(AND(J893&gt;=10,K893&gt;=23,L893&gt;=10,M893&gt;=23),AND(J893+L893&gt;=20,K893+M893&gt;=46)))</f>
        <v/>
      </c>
      <c r="Z893">
        <f>OR(N893&lt;10,O893&lt;23)</f>
        <v/>
      </c>
      <c r="AA893">
        <f>OR(P893&lt;10,Q893&lt;23)</f>
        <v/>
      </c>
      <c r="AB893">
        <f>OR((C893+D893)&lt;66,(E893+F893)&lt;66,G893&lt;33,(H893+I893)&lt;66,Y893,Z893,AA893,R893&lt;8.25)</f>
        <v/>
      </c>
      <c r="AC893">
        <f>IF(C893+D893&lt;66,0,IF((C893+D893)/2&gt;=80,5,IF((C893+D893)/2&gt;=70,4,IF((C893+D893)/2&gt;=60,3.5,IF((C893+D893)/2&gt;=50,3,IF((C893+D893)/2&gt;=40,2,IF((C893+D893)/2&gt;=33,1,0)))))))</f>
        <v/>
      </c>
      <c r="AD893">
        <f>IF(E893+F893&lt;66,0,IF((E893+F893)/2&gt;=80,5,IF((E893+F893)/2&gt;=70,4,IF((E893+F893)/2&gt;=60,3.5,IF((E893+F893)/2&gt;=50,3,IF((E893+F893)/2&gt;=40,2,IF((E893+F893)/2&gt;=33,1,0)))))))</f>
        <v/>
      </c>
      <c r="AE893">
        <f>IF(G893&lt;33,0,IF(G893&gt;=80,5,IF(G893&gt;=70,4,IF(G893&gt;=60,3.5,IF(G893&gt;=50,3,IF(G893&gt;=40,2,IF(G893&gt;=33,1,0)))))))</f>
        <v/>
      </c>
      <c r="AF893">
        <f>IF(H893+I893&lt;66,0,IF((H893+I893)/2&gt;=80,5,IF((H893+I893)/2&gt;=70,4,IF((H893+I893)/2&gt;=60,3.5,IF((H893+I893)/2&gt;=50,3,IF((H893+I893)/2&gt;=40,2,IF((H893+I893)/2&gt;=33,1,0)))))))</f>
        <v/>
      </c>
      <c r="AG893">
        <f>IF(Y893,0,IF((J893+K893+L893+M893)/2&gt;=80,5,IF((J893+K893+L893+M893)/2&gt;=70,4,IF((J893+K893+L893+M893)/2&gt;=60,3.5,IF((J893+K893+L893+M893)/2&gt;=50,3,IF((J893+K893+L893+M893)/2&gt;=40,2,IF((J893+K893+L893+M893)/2&gt;=33,1,0)))))))</f>
        <v/>
      </c>
      <c r="AH893">
        <f>IF(Z893,0,IF(N893+O893&gt;=80,5,IF(N893+O893&gt;=70,4,IF(N893+O893&gt;=60,3.5,IF(N893+O893&gt;=50,3,IF(N893+O893&gt;=40,2,IF(N893+O893&gt;=33,1,0)))))))</f>
        <v/>
      </c>
      <c r="AI893">
        <f>IF(AA893,0,IF(P893+Q893&gt;=80,5,IF(P893+Q893&gt;=70,4,IF(P893+Q893&gt;=60,3.5,IF(P893+Q893&gt;=50,3,IF(P893+Q893&gt;=40,2,IF(P893+Q893&gt;=33,1,0)))))))</f>
        <v/>
      </c>
      <c r="AJ893">
        <f>IF(R893&lt;8.25,0,IF(R893*2&gt;=80,5,IF(R893*2&gt;=70,4,IF(R893*2&gt;=60,3.5,IF(R893*2&gt;=50,3,IF(R893*2&gt;=40,2,IF(R893*2&gt;=33,1,0)))))))</f>
        <v/>
      </c>
      <c r="AK893">
        <f>IF(S893&lt;33,0,IF(S893&gt;=80,5,IF(S893&gt;=70,4,IF(S893&gt;=60,3.5,IF(S893&gt;=50,3,IF(S893&gt;=40,2,IF(S893&gt;=33,1,0)))))))</f>
        <v/>
      </c>
      <c r="AL893">
        <f>(AC893+AD893+AE893+AF893+AG893+AH893+AI893+AJ893)/8</f>
        <v/>
      </c>
      <c r="AM893">
        <f>IF(AK893&gt;=2,(AK893-2)/8,0)</f>
        <v/>
      </c>
    </row>
    <row r="894">
      <c r="T894">
        <f>SUM(C894:R894)</f>
        <v/>
      </c>
      <c r="U894" s="6">
        <f>ROUND(T894/11.5,2)</f>
        <v/>
      </c>
      <c r="V894" s="7">
        <f>IF(B894="","",IF(AB894,0,ROUND(AL894,2)))</f>
        <v/>
      </c>
      <c r="W894" s="7">
        <f>IF(B894="","",IF(AB894,0,MIN(5,ROUND(AL894+AM894,2))))</f>
        <v/>
      </c>
      <c r="X894" s="8">
        <f>IF(B894="","",IF(W894&gt;=5,"A+",IF(W894&gt;=4,"A",IF(W894&gt;=3.5,"A-",IF(W894&gt;=3,"B",IF(W894&gt;=2,"C",IF(W894&gt;=1,"D","F")))))))</f>
        <v/>
      </c>
      <c r="Y894">
        <f>NOT(OR(AND(J894&gt;=10,K894&gt;=23,L894&gt;=10,M894&gt;=23),AND(J894+L894&gt;=20,K894+M894&gt;=46)))</f>
        <v/>
      </c>
      <c r="Z894">
        <f>OR(N894&lt;10,O894&lt;23)</f>
        <v/>
      </c>
      <c r="AA894">
        <f>OR(P894&lt;10,Q894&lt;23)</f>
        <v/>
      </c>
      <c r="AB894">
        <f>OR((C894+D894)&lt;66,(E894+F894)&lt;66,G894&lt;33,(H894+I894)&lt;66,Y894,Z894,AA894,R894&lt;8.25)</f>
        <v/>
      </c>
      <c r="AC894">
        <f>IF(C894+D894&lt;66,0,IF((C894+D894)/2&gt;=80,5,IF((C894+D894)/2&gt;=70,4,IF((C894+D894)/2&gt;=60,3.5,IF((C894+D894)/2&gt;=50,3,IF((C894+D894)/2&gt;=40,2,IF((C894+D894)/2&gt;=33,1,0)))))))</f>
        <v/>
      </c>
      <c r="AD894">
        <f>IF(E894+F894&lt;66,0,IF((E894+F894)/2&gt;=80,5,IF((E894+F894)/2&gt;=70,4,IF((E894+F894)/2&gt;=60,3.5,IF((E894+F894)/2&gt;=50,3,IF((E894+F894)/2&gt;=40,2,IF((E894+F894)/2&gt;=33,1,0)))))))</f>
        <v/>
      </c>
      <c r="AE894">
        <f>IF(G894&lt;33,0,IF(G894&gt;=80,5,IF(G894&gt;=70,4,IF(G894&gt;=60,3.5,IF(G894&gt;=50,3,IF(G894&gt;=40,2,IF(G894&gt;=33,1,0)))))))</f>
        <v/>
      </c>
      <c r="AF894">
        <f>IF(H894+I894&lt;66,0,IF((H894+I894)/2&gt;=80,5,IF((H894+I894)/2&gt;=70,4,IF((H894+I894)/2&gt;=60,3.5,IF((H894+I894)/2&gt;=50,3,IF((H894+I894)/2&gt;=40,2,IF((H894+I894)/2&gt;=33,1,0)))))))</f>
        <v/>
      </c>
      <c r="AG894">
        <f>IF(Y894,0,IF((J894+K894+L894+M894)/2&gt;=80,5,IF((J894+K894+L894+M894)/2&gt;=70,4,IF((J894+K894+L894+M894)/2&gt;=60,3.5,IF((J894+K894+L894+M894)/2&gt;=50,3,IF((J894+K894+L894+M894)/2&gt;=40,2,IF((J894+K894+L894+M894)/2&gt;=33,1,0)))))))</f>
        <v/>
      </c>
      <c r="AH894">
        <f>IF(Z894,0,IF(N894+O894&gt;=80,5,IF(N894+O894&gt;=70,4,IF(N894+O894&gt;=60,3.5,IF(N894+O894&gt;=50,3,IF(N894+O894&gt;=40,2,IF(N894+O894&gt;=33,1,0)))))))</f>
        <v/>
      </c>
      <c r="AI894">
        <f>IF(AA894,0,IF(P894+Q894&gt;=80,5,IF(P894+Q894&gt;=70,4,IF(P894+Q894&gt;=60,3.5,IF(P894+Q894&gt;=50,3,IF(P894+Q894&gt;=40,2,IF(P894+Q894&gt;=33,1,0)))))))</f>
        <v/>
      </c>
      <c r="AJ894">
        <f>IF(R894&lt;8.25,0,IF(R894*2&gt;=80,5,IF(R894*2&gt;=70,4,IF(R894*2&gt;=60,3.5,IF(R894*2&gt;=50,3,IF(R894*2&gt;=40,2,IF(R894*2&gt;=33,1,0)))))))</f>
        <v/>
      </c>
      <c r="AK894">
        <f>IF(S894&lt;33,0,IF(S894&gt;=80,5,IF(S894&gt;=70,4,IF(S894&gt;=60,3.5,IF(S894&gt;=50,3,IF(S894&gt;=40,2,IF(S894&gt;=33,1,0)))))))</f>
        <v/>
      </c>
      <c r="AL894">
        <f>(AC894+AD894+AE894+AF894+AG894+AH894+AI894+AJ894)/8</f>
        <v/>
      </c>
      <c r="AM894">
        <f>IF(AK894&gt;=2,(AK894-2)/8,0)</f>
        <v/>
      </c>
    </row>
    <row r="895">
      <c r="T895">
        <f>SUM(C895:R895)</f>
        <v/>
      </c>
      <c r="U895" s="6">
        <f>ROUND(T895/11.5,2)</f>
        <v/>
      </c>
      <c r="V895" s="7">
        <f>IF(B895="","",IF(AB895,0,ROUND(AL895,2)))</f>
        <v/>
      </c>
      <c r="W895" s="7">
        <f>IF(B895="","",IF(AB895,0,MIN(5,ROUND(AL895+AM895,2))))</f>
        <v/>
      </c>
      <c r="X895" s="8">
        <f>IF(B895="","",IF(W895&gt;=5,"A+",IF(W895&gt;=4,"A",IF(W895&gt;=3.5,"A-",IF(W895&gt;=3,"B",IF(W895&gt;=2,"C",IF(W895&gt;=1,"D","F")))))))</f>
        <v/>
      </c>
      <c r="Y895">
        <f>NOT(OR(AND(J895&gt;=10,K895&gt;=23,L895&gt;=10,M895&gt;=23),AND(J895+L895&gt;=20,K895+M895&gt;=46)))</f>
        <v/>
      </c>
      <c r="Z895">
        <f>OR(N895&lt;10,O895&lt;23)</f>
        <v/>
      </c>
      <c r="AA895">
        <f>OR(P895&lt;10,Q895&lt;23)</f>
        <v/>
      </c>
      <c r="AB895">
        <f>OR((C895+D895)&lt;66,(E895+F895)&lt;66,G895&lt;33,(H895+I895)&lt;66,Y895,Z895,AA895,R895&lt;8.25)</f>
        <v/>
      </c>
      <c r="AC895">
        <f>IF(C895+D895&lt;66,0,IF((C895+D895)/2&gt;=80,5,IF((C895+D895)/2&gt;=70,4,IF((C895+D895)/2&gt;=60,3.5,IF((C895+D895)/2&gt;=50,3,IF((C895+D895)/2&gt;=40,2,IF((C895+D895)/2&gt;=33,1,0)))))))</f>
        <v/>
      </c>
      <c r="AD895">
        <f>IF(E895+F895&lt;66,0,IF((E895+F895)/2&gt;=80,5,IF((E895+F895)/2&gt;=70,4,IF((E895+F895)/2&gt;=60,3.5,IF((E895+F895)/2&gt;=50,3,IF((E895+F895)/2&gt;=40,2,IF((E895+F895)/2&gt;=33,1,0)))))))</f>
        <v/>
      </c>
      <c r="AE895">
        <f>IF(G895&lt;33,0,IF(G895&gt;=80,5,IF(G895&gt;=70,4,IF(G895&gt;=60,3.5,IF(G895&gt;=50,3,IF(G895&gt;=40,2,IF(G895&gt;=33,1,0)))))))</f>
        <v/>
      </c>
      <c r="AF895">
        <f>IF(H895+I895&lt;66,0,IF((H895+I895)/2&gt;=80,5,IF((H895+I895)/2&gt;=70,4,IF((H895+I895)/2&gt;=60,3.5,IF((H895+I895)/2&gt;=50,3,IF((H895+I895)/2&gt;=40,2,IF((H895+I895)/2&gt;=33,1,0)))))))</f>
        <v/>
      </c>
      <c r="AG895">
        <f>IF(Y895,0,IF((J895+K895+L895+M895)/2&gt;=80,5,IF((J895+K895+L895+M895)/2&gt;=70,4,IF((J895+K895+L895+M895)/2&gt;=60,3.5,IF((J895+K895+L895+M895)/2&gt;=50,3,IF((J895+K895+L895+M895)/2&gt;=40,2,IF((J895+K895+L895+M895)/2&gt;=33,1,0)))))))</f>
        <v/>
      </c>
      <c r="AH895">
        <f>IF(Z895,0,IF(N895+O895&gt;=80,5,IF(N895+O895&gt;=70,4,IF(N895+O895&gt;=60,3.5,IF(N895+O895&gt;=50,3,IF(N895+O895&gt;=40,2,IF(N895+O895&gt;=33,1,0)))))))</f>
        <v/>
      </c>
      <c r="AI895">
        <f>IF(AA895,0,IF(P895+Q895&gt;=80,5,IF(P895+Q895&gt;=70,4,IF(P895+Q895&gt;=60,3.5,IF(P895+Q895&gt;=50,3,IF(P895+Q895&gt;=40,2,IF(P895+Q895&gt;=33,1,0)))))))</f>
        <v/>
      </c>
      <c r="AJ895">
        <f>IF(R895&lt;8.25,0,IF(R895*2&gt;=80,5,IF(R895*2&gt;=70,4,IF(R895*2&gt;=60,3.5,IF(R895*2&gt;=50,3,IF(R895*2&gt;=40,2,IF(R895*2&gt;=33,1,0)))))))</f>
        <v/>
      </c>
      <c r="AK895">
        <f>IF(S895&lt;33,0,IF(S895&gt;=80,5,IF(S895&gt;=70,4,IF(S895&gt;=60,3.5,IF(S895&gt;=50,3,IF(S895&gt;=40,2,IF(S895&gt;=33,1,0)))))))</f>
        <v/>
      </c>
      <c r="AL895">
        <f>(AC895+AD895+AE895+AF895+AG895+AH895+AI895+AJ895)/8</f>
        <v/>
      </c>
      <c r="AM895">
        <f>IF(AK895&gt;=2,(AK895-2)/8,0)</f>
        <v/>
      </c>
    </row>
    <row r="896">
      <c r="T896">
        <f>SUM(C896:R896)</f>
        <v/>
      </c>
      <c r="U896" s="6">
        <f>ROUND(T896/11.5,2)</f>
        <v/>
      </c>
      <c r="V896" s="7">
        <f>IF(B896="","",IF(AB896,0,ROUND(AL896,2)))</f>
        <v/>
      </c>
      <c r="W896" s="7">
        <f>IF(B896="","",IF(AB896,0,MIN(5,ROUND(AL896+AM896,2))))</f>
        <v/>
      </c>
      <c r="X896" s="8">
        <f>IF(B896="","",IF(W896&gt;=5,"A+",IF(W896&gt;=4,"A",IF(W896&gt;=3.5,"A-",IF(W896&gt;=3,"B",IF(W896&gt;=2,"C",IF(W896&gt;=1,"D","F")))))))</f>
        <v/>
      </c>
      <c r="Y896">
        <f>NOT(OR(AND(J896&gt;=10,K896&gt;=23,L896&gt;=10,M896&gt;=23),AND(J896+L896&gt;=20,K896+M896&gt;=46)))</f>
        <v/>
      </c>
      <c r="Z896">
        <f>OR(N896&lt;10,O896&lt;23)</f>
        <v/>
      </c>
      <c r="AA896">
        <f>OR(P896&lt;10,Q896&lt;23)</f>
        <v/>
      </c>
      <c r="AB896">
        <f>OR((C896+D896)&lt;66,(E896+F896)&lt;66,G896&lt;33,(H896+I896)&lt;66,Y896,Z896,AA896,R896&lt;8.25)</f>
        <v/>
      </c>
      <c r="AC896">
        <f>IF(C896+D896&lt;66,0,IF((C896+D896)/2&gt;=80,5,IF((C896+D896)/2&gt;=70,4,IF((C896+D896)/2&gt;=60,3.5,IF((C896+D896)/2&gt;=50,3,IF((C896+D896)/2&gt;=40,2,IF((C896+D896)/2&gt;=33,1,0)))))))</f>
        <v/>
      </c>
      <c r="AD896">
        <f>IF(E896+F896&lt;66,0,IF((E896+F896)/2&gt;=80,5,IF((E896+F896)/2&gt;=70,4,IF((E896+F896)/2&gt;=60,3.5,IF((E896+F896)/2&gt;=50,3,IF((E896+F896)/2&gt;=40,2,IF((E896+F896)/2&gt;=33,1,0)))))))</f>
        <v/>
      </c>
      <c r="AE896">
        <f>IF(G896&lt;33,0,IF(G896&gt;=80,5,IF(G896&gt;=70,4,IF(G896&gt;=60,3.5,IF(G896&gt;=50,3,IF(G896&gt;=40,2,IF(G896&gt;=33,1,0)))))))</f>
        <v/>
      </c>
      <c r="AF896">
        <f>IF(H896+I896&lt;66,0,IF((H896+I896)/2&gt;=80,5,IF((H896+I896)/2&gt;=70,4,IF((H896+I896)/2&gt;=60,3.5,IF((H896+I896)/2&gt;=50,3,IF((H896+I896)/2&gt;=40,2,IF((H896+I896)/2&gt;=33,1,0)))))))</f>
        <v/>
      </c>
      <c r="AG896">
        <f>IF(Y896,0,IF((J896+K896+L896+M896)/2&gt;=80,5,IF((J896+K896+L896+M896)/2&gt;=70,4,IF((J896+K896+L896+M896)/2&gt;=60,3.5,IF((J896+K896+L896+M896)/2&gt;=50,3,IF((J896+K896+L896+M896)/2&gt;=40,2,IF((J896+K896+L896+M896)/2&gt;=33,1,0)))))))</f>
        <v/>
      </c>
      <c r="AH896">
        <f>IF(Z896,0,IF(N896+O896&gt;=80,5,IF(N896+O896&gt;=70,4,IF(N896+O896&gt;=60,3.5,IF(N896+O896&gt;=50,3,IF(N896+O896&gt;=40,2,IF(N896+O896&gt;=33,1,0)))))))</f>
        <v/>
      </c>
      <c r="AI896">
        <f>IF(AA896,0,IF(P896+Q896&gt;=80,5,IF(P896+Q896&gt;=70,4,IF(P896+Q896&gt;=60,3.5,IF(P896+Q896&gt;=50,3,IF(P896+Q896&gt;=40,2,IF(P896+Q896&gt;=33,1,0)))))))</f>
        <v/>
      </c>
      <c r="AJ896">
        <f>IF(R896&lt;8.25,0,IF(R896*2&gt;=80,5,IF(R896*2&gt;=70,4,IF(R896*2&gt;=60,3.5,IF(R896*2&gt;=50,3,IF(R896*2&gt;=40,2,IF(R896*2&gt;=33,1,0)))))))</f>
        <v/>
      </c>
      <c r="AK896">
        <f>IF(S896&lt;33,0,IF(S896&gt;=80,5,IF(S896&gt;=70,4,IF(S896&gt;=60,3.5,IF(S896&gt;=50,3,IF(S896&gt;=40,2,IF(S896&gt;=33,1,0)))))))</f>
        <v/>
      </c>
      <c r="AL896">
        <f>(AC896+AD896+AE896+AF896+AG896+AH896+AI896+AJ896)/8</f>
        <v/>
      </c>
      <c r="AM896">
        <f>IF(AK896&gt;=2,(AK896-2)/8,0)</f>
        <v/>
      </c>
    </row>
    <row r="897">
      <c r="T897">
        <f>SUM(C897:R897)</f>
        <v/>
      </c>
      <c r="U897" s="6">
        <f>ROUND(T897/11.5,2)</f>
        <v/>
      </c>
      <c r="V897" s="7">
        <f>IF(B897="","",IF(AB897,0,ROUND(AL897,2)))</f>
        <v/>
      </c>
      <c r="W897" s="7">
        <f>IF(B897="","",IF(AB897,0,MIN(5,ROUND(AL897+AM897,2))))</f>
        <v/>
      </c>
      <c r="X897" s="8">
        <f>IF(B897="","",IF(W897&gt;=5,"A+",IF(W897&gt;=4,"A",IF(W897&gt;=3.5,"A-",IF(W897&gt;=3,"B",IF(W897&gt;=2,"C",IF(W897&gt;=1,"D","F")))))))</f>
        <v/>
      </c>
      <c r="Y897">
        <f>NOT(OR(AND(J897&gt;=10,K897&gt;=23,L897&gt;=10,M897&gt;=23),AND(J897+L897&gt;=20,K897+M897&gt;=46)))</f>
        <v/>
      </c>
      <c r="Z897">
        <f>OR(N897&lt;10,O897&lt;23)</f>
        <v/>
      </c>
      <c r="AA897">
        <f>OR(P897&lt;10,Q897&lt;23)</f>
        <v/>
      </c>
      <c r="AB897">
        <f>OR((C897+D897)&lt;66,(E897+F897)&lt;66,G897&lt;33,(H897+I897)&lt;66,Y897,Z897,AA897,R897&lt;8.25)</f>
        <v/>
      </c>
      <c r="AC897">
        <f>IF(C897+D897&lt;66,0,IF((C897+D897)/2&gt;=80,5,IF((C897+D897)/2&gt;=70,4,IF((C897+D897)/2&gt;=60,3.5,IF((C897+D897)/2&gt;=50,3,IF((C897+D897)/2&gt;=40,2,IF((C897+D897)/2&gt;=33,1,0)))))))</f>
        <v/>
      </c>
      <c r="AD897">
        <f>IF(E897+F897&lt;66,0,IF((E897+F897)/2&gt;=80,5,IF((E897+F897)/2&gt;=70,4,IF((E897+F897)/2&gt;=60,3.5,IF((E897+F897)/2&gt;=50,3,IF((E897+F897)/2&gt;=40,2,IF((E897+F897)/2&gt;=33,1,0)))))))</f>
        <v/>
      </c>
      <c r="AE897">
        <f>IF(G897&lt;33,0,IF(G897&gt;=80,5,IF(G897&gt;=70,4,IF(G897&gt;=60,3.5,IF(G897&gt;=50,3,IF(G897&gt;=40,2,IF(G897&gt;=33,1,0)))))))</f>
        <v/>
      </c>
      <c r="AF897">
        <f>IF(H897+I897&lt;66,0,IF((H897+I897)/2&gt;=80,5,IF((H897+I897)/2&gt;=70,4,IF((H897+I897)/2&gt;=60,3.5,IF((H897+I897)/2&gt;=50,3,IF((H897+I897)/2&gt;=40,2,IF((H897+I897)/2&gt;=33,1,0)))))))</f>
        <v/>
      </c>
      <c r="AG897">
        <f>IF(Y897,0,IF((J897+K897+L897+M897)/2&gt;=80,5,IF((J897+K897+L897+M897)/2&gt;=70,4,IF((J897+K897+L897+M897)/2&gt;=60,3.5,IF((J897+K897+L897+M897)/2&gt;=50,3,IF((J897+K897+L897+M897)/2&gt;=40,2,IF((J897+K897+L897+M897)/2&gt;=33,1,0)))))))</f>
        <v/>
      </c>
      <c r="AH897">
        <f>IF(Z897,0,IF(N897+O897&gt;=80,5,IF(N897+O897&gt;=70,4,IF(N897+O897&gt;=60,3.5,IF(N897+O897&gt;=50,3,IF(N897+O897&gt;=40,2,IF(N897+O897&gt;=33,1,0)))))))</f>
        <v/>
      </c>
      <c r="AI897">
        <f>IF(AA897,0,IF(P897+Q897&gt;=80,5,IF(P897+Q897&gt;=70,4,IF(P897+Q897&gt;=60,3.5,IF(P897+Q897&gt;=50,3,IF(P897+Q897&gt;=40,2,IF(P897+Q897&gt;=33,1,0)))))))</f>
        <v/>
      </c>
      <c r="AJ897">
        <f>IF(R897&lt;8.25,0,IF(R897*2&gt;=80,5,IF(R897*2&gt;=70,4,IF(R897*2&gt;=60,3.5,IF(R897*2&gt;=50,3,IF(R897*2&gt;=40,2,IF(R897*2&gt;=33,1,0)))))))</f>
        <v/>
      </c>
      <c r="AK897">
        <f>IF(S897&lt;33,0,IF(S897&gt;=80,5,IF(S897&gt;=70,4,IF(S897&gt;=60,3.5,IF(S897&gt;=50,3,IF(S897&gt;=40,2,IF(S897&gt;=33,1,0)))))))</f>
        <v/>
      </c>
      <c r="AL897">
        <f>(AC897+AD897+AE897+AF897+AG897+AH897+AI897+AJ897)/8</f>
        <v/>
      </c>
      <c r="AM897">
        <f>IF(AK897&gt;=2,(AK897-2)/8,0)</f>
        <v/>
      </c>
    </row>
    <row r="898">
      <c r="T898">
        <f>SUM(C898:R898)</f>
        <v/>
      </c>
      <c r="U898" s="6">
        <f>ROUND(T898/11.5,2)</f>
        <v/>
      </c>
      <c r="V898" s="7">
        <f>IF(B898="","",IF(AB898,0,ROUND(AL898,2)))</f>
        <v/>
      </c>
      <c r="W898" s="7">
        <f>IF(B898="","",IF(AB898,0,MIN(5,ROUND(AL898+AM898,2))))</f>
        <v/>
      </c>
      <c r="X898" s="8">
        <f>IF(B898="","",IF(W898&gt;=5,"A+",IF(W898&gt;=4,"A",IF(W898&gt;=3.5,"A-",IF(W898&gt;=3,"B",IF(W898&gt;=2,"C",IF(W898&gt;=1,"D","F")))))))</f>
        <v/>
      </c>
      <c r="Y898">
        <f>NOT(OR(AND(J898&gt;=10,K898&gt;=23,L898&gt;=10,M898&gt;=23),AND(J898+L898&gt;=20,K898+M898&gt;=46)))</f>
        <v/>
      </c>
      <c r="Z898">
        <f>OR(N898&lt;10,O898&lt;23)</f>
        <v/>
      </c>
      <c r="AA898">
        <f>OR(P898&lt;10,Q898&lt;23)</f>
        <v/>
      </c>
      <c r="AB898">
        <f>OR((C898+D898)&lt;66,(E898+F898)&lt;66,G898&lt;33,(H898+I898)&lt;66,Y898,Z898,AA898,R898&lt;8.25)</f>
        <v/>
      </c>
      <c r="AC898">
        <f>IF(C898+D898&lt;66,0,IF((C898+D898)/2&gt;=80,5,IF((C898+D898)/2&gt;=70,4,IF((C898+D898)/2&gt;=60,3.5,IF((C898+D898)/2&gt;=50,3,IF((C898+D898)/2&gt;=40,2,IF((C898+D898)/2&gt;=33,1,0)))))))</f>
        <v/>
      </c>
      <c r="AD898">
        <f>IF(E898+F898&lt;66,0,IF((E898+F898)/2&gt;=80,5,IF((E898+F898)/2&gt;=70,4,IF((E898+F898)/2&gt;=60,3.5,IF((E898+F898)/2&gt;=50,3,IF((E898+F898)/2&gt;=40,2,IF((E898+F898)/2&gt;=33,1,0)))))))</f>
        <v/>
      </c>
      <c r="AE898">
        <f>IF(G898&lt;33,0,IF(G898&gt;=80,5,IF(G898&gt;=70,4,IF(G898&gt;=60,3.5,IF(G898&gt;=50,3,IF(G898&gt;=40,2,IF(G898&gt;=33,1,0)))))))</f>
        <v/>
      </c>
      <c r="AF898">
        <f>IF(H898+I898&lt;66,0,IF((H898+I898)/2&gt;=80,5,IF((H898+I898)/2&gt;=70,4,IF((H898+I898)/2&gt;=60,3.5,IF((H898+I898)/2&gt;=50,3,IF((H898+I898)/2&gt;=40,2,IF((H898+I898)/2&gt;=33,1,0)))))))</f>
        <v/>
      </c>
      <c r="AG898">
        <f>IF(Y898,0,IF((J898+K898+L898+M898)/2&gt;=80,5,IF((J898+K898+L898+M898)/2&gt;=70,4,IF((J898+K898+L898+M898)/2&gt;=60,3.5,IF((J898+K898+L898+M898)/2&gt;=50,3,IF((J898+K898+L898+M898)/2&gt;=40,2,IF((J898+K898+L898+M898)/2&gt;=33,1,0)))))))</f>
        <v/>
      </c>
      <c r="AH898">
        <f>IF(Z898,0,IF(N898+O898&gt;=80,5,IF(N898+O898&gt;=70,4,IF(N898+O898&gt;=60,3.5,IF(N898+O898&gt;=50,3,IF(N898+O898&gt;=40,2,IF(N898+O898&gt;=33,1,0)))))))</f>
        <v/>
      </c>
      <c r="AI898">
        <f>IF(AA898,0,IF(P898+Q898&gt;=80,5,IF(P898+Q898&gt;=70,4,IF(P898+Q898&gt;=60,3.5,IF(P898+Q898&gt;=50,3,IF(P898+Q898&gt;=40,2,IF(P898+Q898&gt;=33,1,0)))))))</f>
        <v/>
      </c>
      <c r="AJ898">
        <f>IF(R898&lt;8.25,0,IF(R898*2&gt;=80,5,IF(R898*2&gt;=70,4,IF(R898*2&gt;=60,3.5,IF(R898*2&gt;=50,3,IF(R898*2&gt;=40,2,IF(R898*2&gt;=33,1,0)))))))</f>
        <v/>
      </c>
      <c r="AK898">
        <f>IF(S898&lt;33,0,IF(S898&gt;=80,5,IF(S898&gt;=70,4,IF(S898&gt;=60,3.5,IF(S898&gt;=50,3,IF(S898&gt;=40,2,IF(S898&gt;=33,1,0)))))))</f>
        <v/>
      </c>
      <c r="AL898">
        <f>(AC898+AD898+AE898+AF898+AG898+AH898+AI898+AJ898)/8</f>
        <v/>
      </c>
      <c r="AM898">
        <f>IF(AK898&gt;=2,(AK898-2)/8,0)</f>
        <v/>
      </c>
    </row>
    <row r="899">
      <c r="T899">
        <f>SUM(C899:R899)</f>
        <v/>
      </c>
      <c r="U899" s="6">
        <f>ROUND(T899/11.5,2)</f>
        <v/>
      </c>
      <c r="V899" s="7">
        <f>IF(B899="","",IF(AB899,0,ROUND(AL899,2)))</f>
        <v/>
      </c>
      <c r="W899" s="7">
        <f>IF(B899="","",IF(AB899,0,MIN(5,ROUND(AL899+AM899,2))))</f>
        <v/>
      </c>
      <c r="X899" s="8">
        <f>IF(B899="","",IF(W899&gt;=5,"A+",IF(W899&gt;=4,"A",IF(W899&gt;=3.5,"A-",IF(W899&gt;=3,"B",IF(W899&gt;=2,"C",IF(W899&gt;=1,"D","F")))))))</f>
        <v/>
      </c>
      <c r="Y899">
        <f>NOT(OR(AND(J899&gt;=10,K899&gt;=23,L899&gt;=10,M899&gt;=23),AND(J899+L899&gt;=20,K899+M899&gt;=46)))</f>
        <v/>
      </c>
      <c r="Z899">
        <f>OR(N899&lt;10,O899&lt;23)</f>
        <v/>
      </c>
      <c r="AA899">
        <f>OR(P899&lt;10,Q899&lt;23)</f>
        <v/>
      </c>
      <c r="AB899">
        <f>OR((C899+D899)&lt;66,(E899+F899)&lt;66,G899&lt;33,(H899+I899)&lt;66,Y899,Z899,AA899,R899&lt;8.25)</f>
        <v/>
      </c>
      <c r="AC899">
        <f>IF(C899+D899&lt;66,0,IF((C899+D899)/2&gt;=80,5,IF((C899+D899)/2&gt;=70,4,IF((C899+D899)/2&gt;=60,3.5,IF((C899+D899)/2&gt;=50,3,IF((C899+D899)/2&gt;=40,2,IF((C899+D899)/2&gt;=33,1,0)))))))</f>
        <v/>
      </c>
      <c r="AD899">
        <f>IF(E899+F899&lt;66,0,IF((E899+F899)/2&gt;=80,5,IF((E899+F899)/2&gt;=70,4,IF((E899+F899)/2&gt;=60,3.5,IF((E899+F899)/2&gt;=50,3,IF((E899+F899)/2&gt;=40,2,IF((E899+F899)/2&gt;=33,1,0)))))))</f>
        <v/>
      </c>
      <c r="AE899">
        <f>IF(G899&lt;33,0,IF(G899&gt;=80,5,IF(G899&gt;=70,4,IF(G899&gt;=60,3.5,IF(G899&gt;=50,3,IF(G899&gt;=40,2,IF(G899&gt;=33,1,0)))))))</f>
        <v/>
      </c>
      <c r="AF899">
        <f>IF(H899+I899&lt;66,0,IF((H899+I899)/2&gt;=80,5,IF((H899+I899)/2&gt;=70,4,IF((H899+I899)/2&gt;=60,3.5,IF((H899+I899)/2&gt;=50,3,IF((H899+I899)/2&gt;=40,2,IF((H899+I899)/2&gt;=33,1,0)))))))</f>
        <v/>
      </c>
      <c r="AG899">
        <f>IF(Y899,0,IF((J899+K899+L899+M899)/2&gt;=80,5,IF((J899+K899+L899+M899)/2&gt;=70,4,IF((J899+K899+L899+M899)/2&gt;=60,3.5,IF((J899+K899+L899+M899)/2&gt;=50,3,IF((J899+K899+L899+M899)/2&gt;=40,2,IF((J899+K899+L899+M899)/2&gt;=33,1,0)))))))</f>
        <v/>
      </c>
      <c r="AH899">
        <f>IF(Z899,0,IF(N899+O899&gt;=80,5,IF(N899+O899&gt;=70,4,IF(N899+O899&gt;=60,3.5,IF(N899+O899&gt;=50,3,IF(N899+O899&gt;=40,2,IF(N899+O899&gt;=33,1,0)))))))</f>
        <v/>
      </c>
      <c r="AI899">
        <f>IF(AA899,0,IF(P899+Q899&gt;=80,5,IF(P899+Q899&gt;=70,4,IF(P899+Q899&gt;=60,3.5,IF(P899+Q899&gt;=50,3,IF(P899+Q899&gt;=40,2,IF(P899+Q899&gt;=33,1,0)))))))</f>
        <v/>
      </c>
      <c r="AJ899">
        <f>IF(R899&lt;8.25,0,IF(R899*2&gt;=80,5,IF(R899*2&gt;=70,4,IF(R899*2&gt;=60,3.5,IF(R899*2&gt;=50,3,IF(R899*2&gt;=40,2,IF(R899*2&gt;=33,1,0)))))))</f>
        <v/>
      </c>
      <c r="AK899">
        <f>IF(S899&lt;33,0,IF(S899&gt;=80,5,IF(S899&gt;=70,4,IF(S899&gt;=60,3.5,IF(S899&gt;=50,3,IF(S899&gt;=40,2,IF(S899&gt;=33,1,0)))))))</f>
        <v/>
      </c>
      <c r="AL899">
        <f>(AC899+AD899+AE899+AF899+AG899+AH899+AI899+AJ899)/8</f>
        <v/>
      </c>
      <c r="AM899">
        <f>IF(AK899&gt;=2,(AK899-2)/8,0)</f>
        <v/>
      </c>
    </row>
    <row r="900">
      <c r="T900">
        <f>SUM(C900:R900)</f>
        <v/>
      </c>
      <c r="U900" s="6">
        <f>ROUND(T900/11.5,2)</f>
        <v/>
      </c>
      <c r="V900" s="7">
        <f>IF(B900="","",IF(AB900,0,ROUND(AL900,2)))</f>
        <v/>
      </c>
      <c r="W900" s="7">
        <f>IF(B900="","",IF(AB900,0,MIN(5,ROUND(AL900+AM900,2))))</f>
        <v/>
      </c>
      <c r="X900" s="8">
        <f>IF(B900="","",IF(W900&gt;=5,"A+",IF(W900&gt;=4,"A",IF(W900&gt;=3.5,"A-",IF(W900&gt;=3,"B",IF(W900&gt;=2,"C",IF(W900&gt;=1,"D","F")))))))</f>
        <v/>
      </c>
      <c r="Y900">
        <f>NOT(OR(AND(J900&gt;=10,K900&gt;=23,L900&gt;=10,M900&gt;=23),AND(J900+L900&gt;=20,K900+M900&gt;=46)))</f>
        <v/>
      </c>
      <c r="Z900">
        <f>OR(N900&lt;10,O900&lt;23)</f>
        <v/>
      </c>
      <c r="AA900">
        <f>OR(P900&lt;10,Q900&lt;23)</f>
        <v/>
      </c>
      <c r="AB900">
        <f>OR((C900+D900)&lt;66,(E900+F900)&lt;66,G900&lt;33,(H900+I900)&lt;66,Y900,Z900,AA900,R900&lt;8.25)</f>
        <v/>
      </c>
      <c r="AC900">
        <f>IF(C900+D900&lt;66,0,IF((C900+D900)/2&gt;=80,5,IF((C900+D900)/2&gt;=70,4,IF((C900+D900)/2&gt;=60,3.5,IF((C900+D900)/2&gt;=50,3,IF((C900+D900)/2&gt;=40,2,IF((C900+D900)/2&gt;=33,1,0)))))))</f>
        <v/>
      </c>
      <c r="AD900">
        <f>IF(E900+F900&lt;66,0,IF((E900+F900)/2&gt;=80,5,IF((E900+F900)/2&gt;=70,4,IF((E900+F900)/2&gt;=60,3.5,IF((E900+F900)/2&gt;=50,3,IF((E900+F900)/2&gt;=40,2,IF((E900+F900)/2&gt;=33,1,0)))))))</f>
        <v/>
      </c>
      <c r="AE900">
        <f>IF(G900&lt;33,0,IF(G900&gt;=80,5,IF(G900&gt;=70,4,IF(G900&gt;=60,3.5,IF(G900&gt;=50,3,IF(G900&gt;=40,2,IF(G900&gt;=33,1,0)))))))</f>
        <v/>
      </c>
      <c r="AF900">
        <f>IF(H900+I900&lt;66,0,IF((H900+I900)/2&gt;=80,5,IF((H900+I900)/2&gt;=70,4,IF((H900+I900)/2&gt;=60,3.5,IF((H900+I900)/2&gt;=50,3,IF((H900+I900)/2&gt;=40,2,IF((H900+I900)/2&gt;=33,1,0)))))))</f>
        <v/>
      </c>
      <c r="AG900">
        <f>IF(Y900,0,IF((J900+K900+L900+M900)/2&gt;=80,5,IF((J900+K900+L900+M900)/2&gt;=70,4,IF((J900+K900+L900+M900)/2&gt;=60,3.5,IF((J900+K900+L900+M900)/2&gt;=50,3,IF((J900+K900+L900+M900)/2&gt;=40,2,IF((J900+K900+L900+M900)/2&gt;=33,1,0)))))))</f>
        <v/>
      </c>
      <c r="AH900">
        <f>IF(Z900,0,IF(N900+O900&gt;=80,5,IF(N900+O900&gt;=70,4,IF(N900+O900&gt;=60,3.5,IF(N900+O900&gt;=50,3,IF(N900+O900&gt;=40,2,IF(N900+O900&gt;=33,1,0)))))))</f>
        <v/>
      </c>
      <c r="AI900">
        <f>IF(AA900,0,IF(P900+Q900&gt;=80,5,IF(P900+Q900&gt;=70,4,IF(P900+Q900&gt;=60,3.5,IF(P900+Q900&gt;=50,3,IF(P900+Q900&gt;=40,2,IF(P900+Q900&gt;=33,1,0)))))))</f>
        <v/>
      </c>
      <c r="AJ900">
        <f>IF(R900&lt;8.25,0,IF(R900*2&gt;=80,5,IF(R900*2&gt;=70,4,IF(R900*2&gt;=60,3.5,IF(R900*2&gt;=50,3,IF(R900*2&gt;=40,2,IF(R900*2&gt;=33,1,0)))))))</f>
        <v/>
      </c>
      <c r="AK900">
        <f>IF(S900&lt;33,0,IF(S900&gt;=80,5,IF(S900&gt;=70,4,IF(S900&gt;=60,3.5,IF(S900&gt;=50,3,IF(S900&gt;=40,2,IF(S900&gt;=33,1,0)))))))</f>
        <v/>
      </c>
      <c r="AL900">
        <f>(AC900+AD900+AE900+AF900+AG900+AH900+AI900+AJ900)/8</f>
        <v/>
      </c>
      <c r="AM900">
        <f>IF(AK900&gt;=2,(AK900-2)/8,0)</f>
        <v/>
      </c>
    </row>
    <row r="901">
      <c r="T901">
        <f>SUM(C901:R901)</f>
        <v/>
      </c>
      <c r="U901" s="6">
        <f>ROUND(T901/11.5,2)</f>
        <v/>
      </c>
      <c r="V901" s="7">
        <f>IF(B901="","",IF(AB901,0,ROUND(AL901,2)))</f>
        <v/>
      </c>
      <c r="W901" s="7">
        <f>IF(B901="","",IF(AB901,0,MIN(5,ROUND(AL901+AM901,2))))</f>
        <v/>
      </c>
      <c r="X901" s="8">
        <f>IF(B901="","",IF(W901&gt;=5,"A+",IF(W901&gt;=4,"A",IF(W901&gt;=3.5,"A-",IF(W901&gt;=3,"B",IF(W901&gt;=2,"C",IF(W901&gt;=1,"D","F")))))))</f>
        <v/>
      </c>
      <c r="Y901">
        <f>NOT(OR(AND(J901&gt;=10,K901&gt;=23,L901&gt;=10,M901&gt;=23),AND(J901+L901&gt;=20,K901+M901&gt;=46)))</f>
        <v/>
      </c>
      <c r="Z901">
        <f>OR(N901&lt;10,O901&lt;23)</f>
        <v/>
      </c>
      <c r="AA901">
        <f>OR(P901&lt;10,Q901&lt;23)</f>
        <v/>
      </c>
      <c r="AB901">
        <f>OR((C901+D901)&lt;66,(E901+F901)&lt;66,G901&lt;33,(H901+I901)&lt;66,Y901,Z901,AA901,R901&lt;8.25)</f>
        <v/>
      </c>
      <c r="AC901">
        <f>IF(C901+D901&lt;66,0,IF((C901+D901)/2&gt;=80,5,IF((C901+D901)/2&gt;=70,4,IF((C901+D901)/2&gt;=60,3.5,IF((C901+D901)/2&gt;=50,3,IF((C901+D901)/2&gt;=40,2,IF((C901+D901)/2&gt;=33,1,0)))))))</f>
        <v/>
      </c>
      <c r="AD901">
        <f>IF(E901+F901&lt;66,0,IF((E901+F901)/2&gt;=80,5,IF((E901+F901)/2&gt;=70,4,IF((E901+F901)/2&gt;=60,3.5,IF((E901+F901)/2&gt;=50,3,IF((E901+F901)/2&gt;=40,2,IF((E901+F901)/2&gt;=33,1,0)))))))</f>
        <v/>
      </c>
      <c r="AE901">
        <f>IF(G901&lt;33,0,IF(G901&gt;=80,5,IF(G901&gt;=70,4,IF(G901&gt;=60,3.5,IF(G901&gt;=50,3,IF(G901&gt;=40,2,IF(G901&gt;=33,1,0)))))))</f>
        <v/>
      </c>
      <c r="AF901">
        <f>IF(H901+I901&lt;66,0,IF((H901+I901)/2&gt;=80,5,IF((H901+I901)/2&gt;=70,4,IF((H901+I901)/2&gt;=60,3.5,IF((H901+I901)/2&gt;=50,3,IF((H901+I901)/2&gt;=40,2,IF((H901+I901)/2&gt;=33,1,0)))))))</f>
        <v/>
      </c>
      <c r="AG901">
        <f>IF(Y901,0,IF((J901+K901+L901+M901)/2&gt;=80,5,IF((J901+K901+L901+M901)/2&gt;=70,4,IF((J901+K901+L901+M901)/2&gt;=60,3.5,IF((J901+K901+L901+M901)/2&gt;=50,3,IF((J901+K901+L901+M901)/2&gt;=40,2,IF((J901+K901+L901+M901)/2&gt;=33,1,0)))))))</f>
        <v/>
      </c>
      <c r="AH901">
        <f>IF(Z901,0,IF(N901+O901&gt;=80,5,IF(N901+O901&gt;=70,4,IF(N901+O901&gt;=60,3.5,IF(N901+O901&gt;=50,3,IF(N901+O901&gt;=40,2,IF(N901+O901&gt;=33,1,0)))))))</f>
        <v/>
      </c>
      <c r="AI901">
        <f>IF(AA901,0,IF(P901+Q901&gt;=80,5,IF(P901+Q901&gt;=70,4,IF(P901+Q901&gt;=60,3.5,IF(P901+Q901&gt;=50,3,IF(P901+Q901&gt;=40,2,IF(P901+Q901&gt;=33,1,0)))))))</f>
        <v/>
      </c>
      <c r="AJ901">
        <f>IF(R901&lt;8.25,0,IF(R901*2&gt;=80,5,IF(R901*2&gt;=70,4,IF(R901*2&gt;=60,3.5,IF(R901*2&gt;=50,3,IF(R901*2&gt;=40,2,IF(R901*2&gt;=33,1,0)))))))</f>
        <v/>
      </c>
      <c r="AK901">
        <f>IF(S901&lt;33,0,IF(S901&gt;=80,5,IF(S901&gt;=70,4,IF(S901&gt;=60,3.5,IF(S901&gt;=50,3,IF(S901&gt;=40,2,IF(S901&gt;=33,1,0)))))))</f>
        <v/>
      </c>
      <c r="AL901">
        <f>(AC901+AD901+AE901+AF901+AG901+AH901+AI901+AJ901)/8</f>
        <v/>
      </c>
      <c r="AM901">
        <f>IF(AK901&gt;=2,(AK901-2)/8,0)</f>
        <v/>
      </c>
    </row>
    <row r="902">
      <c r="T902">
        <f>SUM(C902:R902)</f>
        <v/>
      </c>
      <c r="U902" s="6">
        <f>ROUND(T902/11.5,2)</f>
        <v/>
      </c>
      <c r="V902" s="7">
        <f>IF(B902="","",IF(AB902,0,ROUND(AL902,2)))</f>
        <v/>
      </c>
      <c r="W902" s="7">
        <f>IF(B902="","",IF(AB902,0,MIN(5,ROUND(AL902+AM902,2))))</f>
        <v/>
      </c>
      <c r="X902" s="8">
        <f>IF(B902="","",IF(W902&gt;=5,"A+",IF(W902&gt;=4,"A",IF(W902&gt;=3.5,"A-",IF(W902&gt;=3,"B",IF(W902&gt;=2,"C",IF(W902&gt;=1,"D","F")))))))</f>
        <v/>
      </c>
      <c r="Y902">
        <f>NOT(OR(AND(J902&gt;=10,K902&gt;=23,L902&gt;=10,M902&gt;=23),AND(J902+L902&gt;=20,K902+M902&gt;=46)))</f>
        <v/>
      </c>
      <c r="Z902">
        <f>OR(N902&lt;10,O902&lt;23)</f>
        <v/>
      </c>
      <c r="AA902">
        <f>OR(P902&lt;10,Q902&lt;23)</f>
        <v/>
      </c>
      <c r="AB902">
        <f>OR((C902+D902)&lt;66,(E902+F902)&lt;66,G902&lt;33,(H902+I902)&lt;66,Y902,Z902,AA902,R902&lt;8.25)</f>
        <v/>
      </c>
      <c r="AC902">
        <f>IF(C902+D902&lt;66,0,IF((C902+D902)/2&gt;=80,5,IF((C902+D902)/2&gt;=70,4,IF((C902+D902)/2&gt;=60,3.5,IF((C902+D902)/2&gt;=50,3,IF((C902+D902)/2&gt;=40,2,IF((C902+D902)/2&gt;=33,1,0)))))))</f>
        <v/>
      </c>
      <c r="AD902">
        <f>IF(E902+F902&lt;66,0,IF((E902+F902)/2&gt;=80,5,IF((E902+F902)/2&gt;=70,4,IF((E902+F902)/2&gt;=60,3.5,IF((E902+F902)/2&gt;=50,3,IF((E902+F902)/2&gt;=40,2,IF((E902+F902)/2&gt;=33,1,0)))))))</f>
        <v/>
      </c>
      <c r="AE902">
        <f>IF(G902&lt;33,0,IF(G902&gt;=80,5,IF(G902&gt;=70,4,IF(G902&gt;=60,3.5,IF(G902&gt;=50,3,IF(G902&gt;=40,2,IF(G902&gt;=33,1,0)))))))</f>
        <v/>
      </c>
      <c r="AF902">
        <f>IF(H902+I902&lt;66,0,IF((H902+I902)/2&gt;=80,5,IF((H902+I902)/2&gt;=70,4,IF((H902+I902)/2&gt;=60,3.5,IF((H902+I902)/2&gt;=50,3,IF((H902+I902)/2&gt;=40,2,IF((H902+I902)/2&gt;=33,1,0)))))))</f>
        <v/>
      </c>
      <c r="AG902">
        <f>IF(Y902,0,IF((J902+K902+L902+M902)/2&gt;=80,5,IF((J902+K902+L902+M902)/2&gt;=70,4,IF((J902+K902+L902+M902)/2&gt;=60,3.5,IF((J902+K902+L902+M902)/2&gt;=50,3,IF((J902+K902+L902+M902)/2&gt;=40,2,IF((J902+K902+L902+M902)/2&gt;=33,1,0)))))))</f>
        <v/>
      </c>
      <c r="AH902">
        <f>IF(Z902,0,IF(N902+O902&gt;=80,5,IF(N902+O902&gt;=70,4,IF(N902+O902&gt;=60,3.5,IF(N902+O902&gt;=50,3,IF(N902+O902&gt;=40,2,IF(N902+O902&gt;=33,1,0)))))))</f>
        <v/>
      </c>
      <c r="AI902">
        <f>IF(AA902,0,IF(P902+Q902&gt;=80,5,IF(P902+Q902&gt;=70,4,IF(P902+Q902&gt;=60,3.5,IF(P902+Q902&gt;=50,3,IF(P902+Q902&gt;=40,2,IF(P902+Q902&gt;=33,1,0)))))))</f>
        <v/>
      </c>
      <c r="AJ902">
        <f>IF(R902&lt;8.25,0,IF(R902*2&gt;=80,5,IF(R902*2&gt;=70,4,IF(R902*2&gt;=60,3.5,IF(R902*2&gt;=50,3,IF(R902*2&gt;=40,2,IF(R902*2&gt;=33,1,0)))))))</f>
        <v/>
      </c>
      <c r="AK902">
        <f>IF(S902&lt;33,0,IF(S902&gt;=80,5,IF(S902&gt;=70,4,IF(S902&gt;=60,3.5,IF(S902&gt;=50,3,IF(S902&gt;=40,2,IF(S902&gt;=33,1,0)))))))</f>
        <v/>
      </c>
      <c r="AL902">
        <f>(AC902+AD902+AE902+AF902+AG902+AH902+AI902+AJ902)/8</f>
        <v/>
      </c>
      <c r="AM902">
        <f>IF(AK902&gt;=2,(AK902-2)/8,0)</f>
        <v/>
      </c>
    </row>
    <row r="903">
      <c r="T903">
        <f>SUM(C903:R903)</f>
        <v/>
      </c>
      <c r="U903" s="6">
        <f>ROUND(T903/11.5,2)</f>
        <v/>
      </c>
      <c r="V903" s="7">
        <f>IF(B903="","",IF(AB903,0,ROUND(AL903,2)))</f>
        <v/>
      </c>
      <c r="W903" s="7">
        <f>IF(B903="","",IF(AB903,0,MIN(5,ROUND(AL903+AM903,2))))</f>
        <v/>
      </c>
      <c r="X903" s="8">
        <f>IF(B903="","",IF(W903&gt;=5,"A+",IF(W903&gt;=4,"A",IF(W903&gt;=3.5,"A-",IF(W903&gt;=3,"B",IF(W903&gt;=2,"C",IF(W903&gt;=1,"D","F")))))))</f>
        <v/>
      </c>
      <c r="Y903">
        <f>NOT(OR(AND(J903&gt;=10,K903&gt;=23,L903&gt;=10,M903&gt;=23),AND(J903+L903&gt;=20,K903+M903&gt;=46)))</f>
        <v/>
      </c>
      <c r="Z903">
        <f>OR(N903&lt;10,O903&lt;23)</f>
        <v/>
      </c>
      <c r="AA903">
        <f>OR(P903&lt;10,Q903&lt;23)</f>
        <v/>
      </c>
      <c r="AB903">
        <f>OR((C903+D903)&lt;66,(E903+F903)&lt;66,G903&lt;33,(H903+I903)&lt;66,Y903,Z903,AA903,R903&lt;8.25)</f>
        <v/>
      </c>
      <c r="AC903">
        <f>IF(C903+D903&lt;66,0,IF((C903+D903)/2&gt;=80,5,IF((C903+D903)/2&gt;=70,4,IF((C903+D903)/2&gt;=60,3.5,IF((C903+D903)/2&gt;=50,3,IF((C903+D903)/2&gt;=40,2,IF((C903+D903)/2&gt;=33,1,0)))))))</f>
        <v/>
      </c>
      <c r="AD903">
        <f>IF(E903+F903&lt;66,0,IF((E903+F903)/2&gt;=80,5,IF((E903+F903)/2&gt;=70,4,IF((E903+F903)/2&gt;=60,3.5,IF((E903+F903)/2&gt;=50,3,IF((E903+F903)/2&gt;=40,2,IF((E903+F903)/2&gt;=33,1,0)))))))</f>
        <v/>
      </c>
      <c r="AE903">
        <f>IF(G903&lt;33,0,IF(G903&gt;=80,5,IF(G903&gt;=70,4,IF(G903&gt;=60,3.5,IF(G903&gt;=50,3,IF(G903&gt;=40,2,IF(G903&gt;=33,1,0)))))))</f>
        <v/>
      </c>
      <c r="AF903">
        <f>IF(H903+I903&lt;66,0,IF((H903+I903)/2&gt;=80,5,IF((H903+I903)/2&gt;=70,4,IF((H903+I903)/2&gt;=60,3.5,IF((H903+I903)/2&gt;=50,3,IF((H903+I903)/2&gt;=40,2,IF((H903+I903)/2&gt;=33,1,0)))))))</f>
        <v/>
      </c>
      <c r="AG903">
        <f>IF(Y903,0,IF((J903+K903+L903+M903)/2&gt;=80,5,IF((J903+K903+L903+M903)/2&gt;=70,4,IF((J903+K903+L903+M903)/2&gt;=60,3.5,IF((J903+K903+L903+M903)/2&gt;=50,3,IF((J903+K903+L903+M903)/2&gt;=40,2,IF((J903+K903+L903+M903)/2&gt;=33,1,0)))))))</f>
        <v/>
      </c>
      <c r="AH903">
        <f>IF(Z903,0,IF(N903+O903&gt;=80,5,IF(N903+O903&gt;=70,4,IF(N903+O903&gt;=60,3.5,IF(N903+O903&gt;=50,3,IF(N903+O903&gt;=40,2,IF(N903+O903&gt;=33,1,0)))))))</f>
        <v/>
      </c>
      <c r="AI903">
        <f>IF(AA903,0,IF(P903+Q903&gt;=80,5,IF(P903+Q903&gt;=70,4,IF(P903+Q903&gt;=60,3.5,IF(P903+Q903&gt;=50,3,IF(P903+Q903&gt;=40,2,IF(P903+Q903&gt;=33,1,0)))))))</f>
        <v/>
      </c>
      <c r="AJ903">
        <f>IF(R903&lt;8.25,0,IF(R903*2&gt;=80,5,IF(R903*2&gt;=70,4,IF(R903*2&gt;=60,3.5,IF(R903*2&gt;=50,3,IF(R903*2&gt;=40,2,IF(R903*2&gt;=33,1,0)))))))</f>
        <v/>
      </c>
      <c r="AK903">
        <f>IF(S903&lt;33,0,IF(S903&gt;=80,5,IF(S903&gt;=70,4,IF(S903&gt;=60,3.5,IF(S903&gt;=50,3,IF(S903&gt;=40,2,IF(S903&gt;=33,1,0)))))))</f>
        <v/>
      </c>
      <c r="AL903">
        <f>(AC903+AD903+AE903+AF903+AG903+AH903+AI903+AJ903)/8</f>
        <v/>
      </c>
      <c r="AM903">
        <f>IF(AK903&gt;=2,(AK903-2)/8,0)</f>
        <v/>
      </c>
    </row>
    <row r="904">
      <c r="T904">
        <f>SUM(C904:R904)</f>
        <v/>
      </c>
      <c r="U904" s="6">
        <f>ROUND(T904/11.5,2)</f>
        <v/>
      </c>
      <c r="V904" s="7">
        <f>IF(B904="","",IF(AB904,0,ROUND(AL904,2)))</f>
        <v/>
      </c>
      <c r="W904" s="7">
        <f>IF(B904="","",IF(AB904,0,MIN(5,ROUND(AL904+AM904,2))))</f>
        <v/>
      </c>
      <c r="X904" s="8">
        <f>IF(B904="","",IF(W904&gt;=5,"A+",IF(W904&gt;=4,"A",IF(W904&gt;=3.5,"A-",IF(W904&gt;=3,"B",IF(W904&gt;=2,"C",IF(W904&gt;=1,"D","F")))))))</f>
        <v/>
      </c>
      <c r="Y904">
        <f>NOT(OR(AND(J904&gt;=10,K904&gt;=23,L904&gt;=10,M904&gt;=23),AND(J904+L904&gt;=20,K904+M904&gt;=46)))</f>
        <v/>
      </c>
      <c r="Z904">
        <f>OR(N904&lt;10,O904&lt;23)</f>
        <v/>
      </c>
      <c r="AA904">
        <f>OR(P904&lt;10,Q904&lt;23)</f>
        <v/>
      </c>
      <c r="AB904">
        <f>OR((C904+D904)&lt;66,(E904+F904)&lt;66,G904&lt;33,(H904+I904)&lt;66,Y904,Z904,AA904,R904&lt;8.25)</f>
        <v/>
      </c>
      <c r="AC904">
        <f>IF(C904+D904&lt;66,0,IF((C904+D904)/2&gt;=80,5,IF((C904+D904)/2&gt;=70,4,IF((C904+D904)/2&gt;=60,3.5,IF((C904+D904)/2&gt;=50,3,IF((C904+D904)/2&gt;=40,2,IF((C904+D904)/2&gt;=33,1,0)))))))</f>
        <v/>
      </c>
      <c r="AD904">
        <f>IF(E904+F904&lt;66,0,IF((E904+F904)/2&gt;=80,5,IF((E904+F904)/2&gt;=70,4,IF((E904+F904)/2&gt;=60,3.5,IF((E904+F904)/2&gt;=50,3,IF((E904+F904)/2&gt;=40,2,IF((E904+F904)/2&gt;=33,1,0)))))))</f>
        <v/>
      </c>
      <c r="AE904">
        <f>IF(G904&lt;33,0,IF(G904&gt;=80,5,IF(G904&gt;=70,4,IF(G904&gt;=60,3.5,IF(G904&gt;=50,3,IF(G904&gt;=40,2,IF(G904&gt;=33,1,0)))))))</f>
        <v/>
      </c>
      <c r="AF904">
        <f>IF(H904+I904&lt;66,0,IF((H904+I904)/2&gt;=80,5,IF((H904+I904)/2&gt;=70,4,IF((H904+I904)/2&gt;=60,3.5,IF((H904+I904)/2&gt;=50,3,IF((H904+I904)/2&gt;=40,2,IF((H904+I904)/2&gt;=33,1,0)))))))</f>
        <v/>
      </c>
      <c r="AG904">
        <f>IF(Y904,0,IF((J904+K904+L904+M904)/2&gt;=80,5,IF((J904+K904+L904+M904)/2&gt;=70,4,IF((J904+K904+L904+M904)/2&gt;=60,3.5,IF((J904+K904+L904+M904)/2&gt;=50,3,IF((J904+K904+L904+M904)/2&gt;=40,2,IF((J904+K904+L904+M904)/2&gt;=33,1,0)))))))</f>
        <v/>
      </c>
      <c r="AH904">
        <f>IF(Z904,0,IF(N904+O904&gt;=80,5,IF(N904+O904&gt;=70,4,IF(N904+O904&gt;=60,3.5,IF(N904+O904&gt;=50,3,IF(N904+O904&gt;=40,2,IF(N904+O904&gt;=33,1,0)))))))</f>
        <v/>
      </c>
      <c r="AI904">
        <f>IF(AA904,0,IF(P904+Q904&gt;=80,5,IF(P904+Q904&gt;=70,4,IF(P904+Q904&gt;=60,3.5,IF(P904+Q904&gt;=50,3,IF(P904+Q904&gt;=40,2,IF(P904+Q904&gt;=33,1,0)))))))</f>
        <v/>
      </c>
      <c r="AJ904">
        <f>IF(R904&lt;8.25,0,IF(R904*2&gt;=80,5,IF(R904*2&gt;=70,4,IF(R904*2&gt;=60,3.5,IF(R904*2&gt;=50,3,IF(R904*2&gt;=40,2,IF(R904*2&gt;=33,1,0)))))))</f>
        <v/>
      </c>
      <c r="AK904">
        <f>IF(S904&lt;33,0,IF(S904&gt;=80,5,IF(S904&gt;=70,4,IF(S904&gt;=60,3.5,IF(S904&gt;=50,3,IF(S904&gt;=40,2,IF(S904&gt;=33,1,0)))))))</f>
        <v/>
      </c>
      <c r="AL904">
        <f>(AC904+AD904+AE904+AF904+AG904+AH904+AI904+AJ904)/8</f>
        <v/>
      </c>
      <c r="AM904">
        <f>IF(AK904&gt;=2,(AK904-2)/8,0)</f>
        <v/>
      </c>
    </row>
    <row r="905">
      <c r="T905">
        <f>SUM(C905:R905)</f>
        <v/>
      </c>
      <c r="U905" s="6">
        <f>ROUND(T905/11.5,2)</f>
        <v/>
      </c>
      <c r="V905" s="7">
        <f>IF(B905="","",IF(AB905,0,ROUND(AL905,2)))</f>
        <v/>
      </c>
      <c r="W905" s="7">
        <f>IF(B905="","",IF(AB905,0,MIN(5,ROUND(AL905+AM905,2))))</f>
        <v/>
      </c>
      <c r="X905" s="8">
        <f>IF(B905="","",IF(W905&gt;=5,"A+",IF(W905&gt;=4,"A",IF(W905&gt;=3.5,"A-",IF(W905&gt;=3,"B",IF(W905&gt;=2,"C",IF(W905&gt;=1,"D","F")))))))</f>
        <v/>
      </c>
      <c r="Y905">
        <f>NOT(OR(AND(J905&gt;=10,K905&gt;=23,L905&gt;=10,M905&gt;=23),AND(J905+L905&gt;=20,K905+M905&gt;=46)))</f>
        <v/>
      </c>
      <c r="Z905">
        <f>OR(N905&lt;10,O905&lt;23)</f>
        <v/>
      </c>
      <c r="AA905">
        <f>OR(P905&lt;10,Q905&lt;23)</f>
        <v/>
      </c>
      <c r="AB905">
        <f>OR((C905+D905)&lt;66,(E905+F905)&lt;66,G905&lt;33,(H905+I905)&lt;66,Y905,Z905,AA905,R905&lt;8.25)</f>
        <v/>
      </c>
      <c r="AC905">
        <f>IF(C905+D905&lt;66,0,IF((C905+D905)/2&gt;=80,5,IF((C905+D905)/2&gt;=70,4,IF((C905+D905)/2&gt;=60,3.5,IF((C905+D905)/2&gt;=50,3,IF((C905+D905)/2&gt;=40,2,IF((C905+D905)/2&gt;=33,1,0)))))))</f>
        <v/>
      </c>
      <c r="AD905">
        <f>IF(E905+F905&lt;66,0,IF((E905+F905)/2&gt;=80,5,IF((E905+F905)/2&gt;=70,4,IF((E905+F905)/2&gt;=60,3.5,IF((E905+F905)/2&gt;=50,3,IF((E905+F905)/2&gt;=40,2,IF((E905+F905)/2&gt;=33,1,0)))))))</f>
        <v/>
      </c>
      <c r="AE905">
        <f>IF(G905&lt;33,0,IF(G905&gt;=80,5,IF(G905&gt;=70,4,IF(G905&gt;=60,3.5,IF(G905&gt;=50,3,IF(G905&gt;=40,2,IF(G905&gt;=33,1,0)))))))</f>
        <v/>
      </c>
      <c r="AF905">
        <f>IF(H905+I905&lt;66,0,IF((H905+I905)/2&gt;=80,5,IF((H905+I905)/2&gt;=70,4,IF((H905+I905)/2&gt;=60,3.5,IF((H905+I905)/2&gt;=50,3,IF((H905+I905)/2&gt;=40,2,IF((H905+I905)/2&gt;=33,1,0)))))))</f>
        <v/>
      </c>
      <c r="AG905">
        <f>IF(Y905,0,IF((J905+K905+L905+M905)/2&gt;=80,5,IF((J905+K905+L905+M905)/2&gt;=70,4,IF((J905+K905+L905+M905)/2&gt;=60,3.5,IF((J905+K905+L905+M905)/2&gt;=50,3,IF((J905+K905+L905+M905)/2&gt;=40,2,IF((J905+K905+L905+M905)/2&gt;=33,1,0)))))))</f>
        <v/>
      </c>
      <c r="AH905">
        <f>IF(Z905,0,IF(N905+O905&gt;=80,5,IF(N905+O905&gt;=70,4,IF(N905+O905&gt;=60,3.5,IF(N905+O905&gt;=50,3,IF(N905+O905&gt;=40,2,IF(N905+O905&gt;=33,1,0)))))))</f>
        <v/>
      </c>
      <c r="AI905">
        <f>IF(AA905,0,IF(P905+Q905&gt;=80,5,IF(P905+Q905&gt;=70,4,IF(P905+Q905&gt;=60,3.5,IF(P905+Q905&gt;=50,3,IF(P905+Q905&gt;=40,2,IF(P905+Q905&gt;=33,1,0)))))))</f>
        <v/>
      </c>
      <c r="AJ905">
        <f>IF(R905&lt;8.25,0,IF(R905*2&gt;=80,5,IF(R905*2&gt;=70,4,IF(R905*2&gt;=60,3.5,IF(R905*2&gt;=50,3,IF(R905*2&gt;=40,2,IF(R905*2&gt;=33,1,0)))))))</f>
        <v/>
      </c>
      <c r="AK905">
        <f>IF(S905&lt;33,0,IF(S905&gt;=80,5,IF(S905&gt;=70,4,IF(S905&gt;=60,3.5,IF(S905&gt;=50,3,IF(S905&gt;=40,2,IF(S905&gt;=33,1,0)))))))</f>
        <v/>
      </c>
      <c r="AL905">
        <f>(AC905+AD905+AE905+AF905+AG905+AH905+AI905+AJ905)/8</f>
        <v/>
      </c>
      <c r="AM905">
        <f>IF(AK905&gt;=2,(AK905-2)/8,0)</f>
        <v/>
      </c>
    </row>
    <row r="906">
      <c r="T906">
        <f>SUM(C906:R906)</f>
        <v/>
      </c>
      <c r="U906" s="6">
        <f>ROUND(T906/11.5,2)</f>
        <v/>
      </c>
      <c r="V906" s="7">
        <f>IF(B906="","",IF(AB906,0,ROUND(AL906,2)))</f>
        <v/>
      </c>
      <c r="W906" s="7">
        <f>IF(B906="","",IF(AB906,0,MIN(5,ROUND(AL906+AM906,2))))</f>
        <v/>
      </c>
      <c r="X906" s="8">
        <f>IF(B906="","",IF(W906&gt;=5,"A+",IF(W906&gt;=4,"A",IF(W906&gt;=3.5,"A-",IF(W906&gt;=3,"B",IF(W906&gt;=2,"C",IF(W906&gt;=1,"D","F")))))))</f>
        <v/>
      </c>
      <c r="Y906">
        <f>NOT(OR(AND(J906&gt;=10,K906&gt;=23,L906&gt;=10,M906&gt;=23),AND(J906+L906&gt;=20,K906+M906&gt;=46)))</f>
        <v/>
      </c>
      <c r="Z906">
        <f>OR(N906&lt;10,O906&lt;23)</f>
        <v/>
      </c>
      <c r="AA906">
        <f>OR(P906&lt;10,Q906&lt;23)</f>
        <v/>
      </c>
      <c r="AB906">
        <f>OR((C906+D906)&lt;66,(E906+F906)&lt;66,G906&lt;33,(H906+I906)&lt;66,Y906,Z906,AA906,R906&lt;8.25)</f>
        <v/>
      </c>
      <c r="AC906">
        <f>IF(C906+D906&lt;66,0,IF((C906+D906)/2&gt;=80,5,IF((C906+D906)/2&gt;=70,4,IF((C906+D906)/2&gt;=60,3.5,IF((C906+D906)/2&gt;=50,3,IF((C906+D906)/2&gt;=40,2,IF((C906+D906)/2&gt;=33,1,0)))))))</f>
        <v/>
      </c>
      <c r="AD906">
        <f>IF(E906+F906&lt;66,0,IF((E906+F906)/2&gt;=80,5,IF((E906+F906)/2&gt;=70,4,IF((E906+F906)/2&gt;=60,3.5,IF((E906+F906)/2&gt;=50,3,IF((E906+F906)/2&gt;=40,2,IF((E906+F906)/2&gt;=33,1,0)))))))</f>
        <v/>
      </c>
      <c r="AE906">
        <f>IF(G906&lt;33,0,IF(G906&gt;=80,5,IF(G906&gt;=70,4,IF(G906&gt;=60,3.5,IF(G906&gt;=50,3,IF(G906&gt;=40,2,IF(G906&gt;=33,1,0)))))))</f>
        <v/>
      </c>
      <c r="AF906">
        <f>IF(H906+I906&lt;66,0,IF((H906+I906)/2&gt;=80,5,IF((H906+I906)/2&gt;=70,4,IF((H906+I906)/2&gt;=60,3.5,IF((H906+I906)/2&gt;=50,3,IF((H906+I906)/2&gt;=40,2,IF((H906+I906)/2&gt;=33,1,0)))))))</f>
        <v/>
      </c>
      <c r="AG906">
        <f>IF(Y906,0,IF((J906+K906+L906+M906)/2&gt;=80,5,IF((J906+K906+L906+M906)/2&gt;=70,4,IF((J906+K906+L906+M906)/2&gt;=60,3.5,IF((J906+K906+L906+M906)/2&gt;=50,3,IF((J906+K906+L906+M906)/2&gt;=40,2,IF((J906+K906+L906+M906)/2&gt;=33,1,0)))))))</f>
        <v/>
      </c>
      <c r="AH906">
        <f>IF(Z906,0,IF(N906+O906&gt;=80,5,IF(N906+O906&gt;=70,4,IF(N906+O906&gt;=60,3.5,IF(N906+O906&gt;=50,3,IF(N906+O906&gt;=40,2,IF(N906+O906&gt;=33,1,0)))))))</f>
        <v/>
      </c>
      <c r="AI906">
        <f>IF(AA906,0,IF(P906+Q906&gt;=80,5,IF(P906+Q906&gt;=70,4,IF(P906+Q906&gt;=60,3.5,IF(P906+Q906&gt;=50,3,IF(P906+Q906&gt;=40,2,IF(P906+Q906&gt;=33,1,0)))))))</f>
        <v/>
      </c>
      <c r="AJ906">
        <f>IF(R906&lt;8.25,0,IF(R906*2&gt;=80,5,IF(R906*2&gt;=70,4,IF(R906*2&gt;=60,3.5,IF(R906*2&gt;=50,3,IF(R906*2&gt;=40,2,IF(R906*2&gt;=33,1,0)))))))</f>
        <v/>
      </c>
      <c r="AK906">
        <f>IF(S906&lt;33,0,IF(S906&gt;=80,5,IF(S906&gt;=70,4,IF(S906&gt;=60,3.5,IF(S906&gt;=50,3,IF(S906&gt;=40,2,IF(S906&gt;=33,1,0)))))))</f>
        <v/>
      </c>
      <c r="AL906">
        <f>(AC906+AD906+AE906+AF906+AG906+AH906+AI906+AJ906)/8</f>
        <v/>
      </c>
      <c r="AM906">
        <f>IF(AK906&gt;=2,(AK906-2)/8,0)</f>
        <v/>
      </c>
    </row>
    <row r="907">
      <c r="T907">
        <f>SUM(C907:R907)</f>
        <v/>
      </c>
      <c r="U907" s="6">
        <f>ROUND(T907/11.5,2)</f>
        <v/>
      </c>
      <c r="V907" s="7">
        <f>IF(B907="","",IF(AB907,0,ROUND(AL907,2)))</f>
        <v/>
      </c>
      <c r="W907" s="7">
        <f>IF(B907="","",IF(AB907,0,MIN(5,ROUND(AL907+AM907,2))))</f>
        <v/>
      </c>
      <c r="X907" s="8">
        <f>IF(B907="","",IF(W907&gt;=5,"A+",IF(W907&gt;=4,"A",IF(W907&gt;=3.5,"A-",IF(W907&gt;=3,"B",IF(W907&gt;=2,"C",IF(W907&gt;=1,"D","F")))))))</f>
        <v/>
      </c>
      <c r="Y907">
        <f>NOT(OR(AND(J907&gt;=10,K907&gt;=23,L907&gt;=10,M907&gt;=23),AND(J907+L907&gt;=20,K907+M907&gt;=46)))</f>
        <v/>
      </c>
      <c r="Z907">
        <f>OR(N907&lt;10,O907&lt;23)</f>
        <v/>
      </c>
      <c r="AA907">
        <f>OR(P907&lt;10,Q907&lt;23)</f>
        <v/>
      </c>
      <c r="AB907">
        <f>OR((C907+D907)&lt;66,(E907+F907)&lt;66,G907&lt;33,(H907+I907)&lt;66,Y907,Z907,AA907,R907&lt;8.25)</f>
        <v/>
      </c>
      <c r="AC907">
        <f>IF(C907+D907&lt;66,0,IF((C907+D907)/2&gt;=80,5,IF((C907+D907)/2&gt;=70,4,IF((C907+D907)/2&gt;=60,3.5,IF((C907+D907)/2&gt;=50,3,IF((C907+D907)/2&gt;=40,2,IF((C907+D907)/2&gt;=33,1,0)))))))</f>
        <v/>
      </c>
      <c r="AD907">
        <f>IF(E907+F907&lt;66,0,IF((E907+F907)/2&gt;=80,5,IF((E907+F907)/2&gt;=70,4,IF((E907+F907)/2&gt;=60,3.5,IF((E907+F907)/2&gt;=50,3,IF((E907+F907)/2&gt;=40,2,IF((E907+F907)/2&gt;=33,1,0)))))))</f>
        <v/>
      </c>
      <c r="AE907">
        <f>IF(G907&lt;33,0,IF(G907&gt;=80,5,IF(G907&gt;=70,4,IF(G907&gt;=60,3.5,IF(G907&gt;=50,3,IF(G907&gt;=40,2,IF(G907&gt;=33,1,0)))))))</f>
        <v/>
      </c>
      <c r="AF907">
        <f>IF(H907+I907&lt;66,0,IF((H907+I907)/2&gt;=80,5,IF((H907+I907)/2&gt;=70,4,IF((H907+I907)/2&gt;=60,3.5,IF((H907+I907)/2&gt;=50,3,IF((H907+I907)/2&gt;=40,2,IF((H907+I907)/2&gt;=33,1,0)))))))</f>
        <v/>
      </c>
      <c r="AG907">
        <f>IF(Y907,0,IF((J907+K907+L907+M907)/2&gt;=80,5,IF((J907+K907+L907+M907)/2&gt;=70,4,IF((J907+K907+L907+M907)/2&gt;=60,3.5,IF((J907+K907+L907+M907)/2&gt;=50,3,IF((J907+K907+L907+M907)/2&gt;=40,2,IF((J907+K907+L907+M907)/2&gt;=33,1,0)))))))</f>
        <v/>
      </c>
      <c r="AH907">
        <f>IF(Z907,0,IF(N907+O907&gt;=80,5,IF(N907+O907&gt;=70,4,IF(N907+O907&gt;=60,3.5,IF(N907+O907&gt;=50,3,IF(N907+O907&gt;=40,2,IF(N907+O907&gt;=33,1,0)))))))</f>
        <v/>
      </c>
      <c r="AI907">
        <f>IF(AA907,0,IF(P907+Q907&gt;=80,5,IF(P907+Q907&gt;=70,4,IF(P907+Q907&gt;=60,3.5,IF(P907+Q907&gt;=50,3,IF(P907+Q907&gt;=40,2,IF(P907+Q907&gt;=33,1,0)))))))</f>
        <v/>
      </c>
      <c r="AJ907">
        <f>IF(R907&lt;8.25,0,IF(R907*2&gt;=80,5,IF(R907*2&gt;=70,4,IF(R907*2&gt;=60,3.5,IF(R907*2&gt;=50,3,IF(R907*2&gt;=40,2,IF(R907*2&gt;=33,1,0)))))))</f>
        <v/>
      </c>
      <c r="AK907">
        <f>IF(S907&lt;33,0,IF(S907&gt;=80,5,IF(S907&gt;=70,4,IF(S907&gt;=60,3.5,IF(S907&gt;=50,3,IF(S907&gt;=40,2,IF(S907&gt;=33,1,0)))))))</f>
        <v/>
      </c>
      <c r="AL907">
        <f>(AC907+AD907+AE907+AF907+AG907+AH907+AI907+AJ907)/8</f>
        <v/>
      </c>
      <c r="AM907">
        <f>IF(AK907&gt;=2,(AK907-2)/8,0)</f>
        <v/>
      </c>
    </row>
    <row r="908">
      <c r="T908">
        <f>SUM(C908:R908)</f>
        <v/>
      </c>
      <c r="U908" s="6">
        <f>ROUND(T908/11.5,2)</f>
        <v/>
      </c>
      <c r="V908" s="7">
        <f>IF(B908="","",IF(AB908,0,ROUND(AL908,2)))</f>
        <v/>
      </c>
      <c r="W908" s="7">
        <f>IF(B908="","",IF(AB908,0,MIN(5,ROUND(AL908+AM908,2))))</f>
        <v/>
      </c>
      <c r="X908" s="8">
        <f>IF(B908="","",IF(W908&gt;=5,"A+",IF(W908&gt;=4,"A",IF(W908&gt;=3.5,"A-",IF(W908&gt;=3,"B",IF(W908&gt;=2,"C",IF(W908&gt;=1,"D","F")))))))</f>
        <v/>
      </c>
      <c r="Y908">
        <f>NOT(OR(AND(J908&gt;=10,K908&gt;=23,L908&gt;=10,M908&gt;=23),AND(J908+L908&gt;=20,K908+M908&gt;=46)))</f>
        <v/>
      </c>
      <c r="Z908">
        <f>OR(N908&lt;10,O908&lt;23)</f>
        <v/>
      </c>
      <c r="AA908">
        <f>OR(P908&lt;10,Q908&lt;23)</f>
        <v/>
      </c>
      <c r="AB908">
        <f>OR((C908+D908)&lt;66,(E908+F908)&lt;66,G908&lt;33,(H908+I908)&lt;66,Y908,Z908,AA908,R908&lt;8.25)</f>
        <v/>
      </c>
      <c r="AC908">
        <f>IF(C908+D908&lt;66,0,IF((C908+D908)/2&gt;=80,5,IF((C908+D908)/2&gt;=70,4,IF((C908+D908)/2&gt;=60,3.5,IF((C908+D908)/2&gt;=50,3,IF((C908+D908)/2&gt;=40,2,IF((C908+D908)/2&gt;=33,1,0)))))))</f>
        <v/>
      </c>
      <c r="AD908">
        <f>IF(E908+F908&lt;66,0,IF((E908+F908)/2&gt;=80,5,IF((E908+F908)/2&gt;=70,4,IF((E908+F908)/2&gt;=60,3.5,IF((E908+F908)/2&gt;=50,3,IF((E908+F908)/2&gt;=40,2,IF((E908+F908)/2&gt;=33,1,0)))))))</f>
        <v/>
      </c>
      <c r="AE908">
        <f>IF(G908&lt;33,0,IF(G908&gt;=80,5,IF(G908&gt;=70,4,IF(G908&gt;=60,3.5,IF(G908&gt;=50,3,IF(G908&gt;=40,2,IF(G908&gt;=33,1,0)))))))</f>
        <v/>
      </c>
      <c r="AF908">
        <f>IF(H908+I908&lt;66,0,IF((H908+I908)/2&gt;=80,5,IF((H908+I908)/2&gt;=70,4,IF((H908+I908)/2&gt;=60,3.5,IF((H908+I908)/2&gt;=50,3,IF((H908+I908)/2&gt;=40,2,IF((H908+I908)/2&gt;=33,1,0)))))))</f>
        <v/>
      </c>
      <c r="AG908">
        <f>IF(Y908,0,IF((J908+K908+L908+M908)/2&gt;=80,5,IF((J908+K908+L908+M908)/2&gt;=70,4,IF((J908+K908+L908+M908)/2&gt;=60,3.5,IF((J908+K908+L908+M908)/2&gt;=50,3,IF((J908+K908+L908+M908)/2&gt;=40,2,IF((J908+K908+L908+M908)/2&gt;=33,1,0)))))))</f>
        <v/>
      </c>
      <c r="AH908">
        <f>IF(Z908,0,IF(N908+O908&gt;=80,5,IF(N908+O908&gt;=70,4,IF(N908+O908&gt;=60,3.5,IF(N908+O908&gt;=50,3,IF(N908+O908&gt;=40,2,IF(N908+O908&gt;=33,1,0)))))))</f>
        <v/>
      </c>
      <c r="AI908">
        <f>IF(AA908,0,IF(P908+Q908&gt;=80,5,IF(P908+Q908&gt;=70,4,IF(P908+Q908&gt;=60,3.5,IF(P908+Q908&gt;=50,3,IF(P908+Q908&gt;=40,2,IF(P908+Q908&gt;=33,1,0)))))))</f>
        <v/>
      </c>
      <c r="AJ908">
        <f>IF(R908&lt;8.25,0,IF(R908*2&gt;=80,5,IF(R908*2&gt;=70,4,IF(R908*2&gt;=60,3.5,IF(R908*2&gt;=50,3,IF(R908*2&gt;=40,2,IF(R908*2&gt;=33,1,0)))))))</f>
        <v/>
      </c>
      <c r="AK908">
        <f>IF(S908&lt;33,0,IF(S908&gt;=80,5,IF(S908&gt;=70,4,IF(S908&gt;=60,3.5,IF(S908&gt;=50,3,IF(S908&gt;=40,2,IF(S908&gt;=33,1,0)))))))</f>
        <v/>
      </c>
      <c r="AL908">
        <f>(AC908+AD908+AE908+AF908+AG908+AH908+AI908+AJ908)/8</f>
        <v/>
      </c>
      <c r="AM908">
        <f>IF(AK908&gt;=2,(AK908-2)/8,0)</f>
        <v/>
      </c>
    </row>
    <row r="909">
      <c r="T909">
        <f>SUM(C909:R909)</f>
        <v/>
      </c>
      <c r="U909" s="6">
        <f>ROUND(T909/11.5,2)</f>
        <v/>
      </c>
      <c r="V909" s="7">
        <f>IF(B909="","",IF(AB909,0,ROUND(AL909,2)))</f>
        <v/>
      </c>
      <c r="W909" s="7">
        <f>IF(B909="","",IF(AB909,0,MIN(5,ROUND(AL909+AM909,2))))</f>
        <v/>
      </c>
      <c r="X909" s="8">
        <f>IF(B909="","",IF(W909&gt;=5,"A+",IF(W909&gt;=4,"A",IF(W909&gt;=3.5,"A-",IF(W909&gt;=3,"B",IF(W909&gt;=2,"C",IF(W909&gt;=1,"D","F")))))))</f>
        <v/>
      </c>
      <c r="Y909">
        <f>NOT(OR(AND(J909&gt;=10,K909&gt;=23,L909&gt;=10,M909&gt;=23),AND(J909+L909&gt;=20,K909+M909&gt;=46)))</f>
        <v/>
      </c>
      <c r="Z909">
        <f>OR(N909&lt;10,O909&lt;23)</f>
        <v/>
      </c>
      <c r="AA909">
        <f>OR(P909&lt;10,Q909&lt;23)</f>
        <v/>
      </c>
      <c r="AB909">
        <f>OR((C909+D909)&lt;66,(E909+F909)&lt;66,G909&lt;33,(H909+I909)&lt;66,Y909,Z909,AA909,R909&lt;8.25)</f>
        <v/>
      </c>
      <c r="AC909">
        <f>IF(C909+D909&lt;66,0,IF((C909+D909)/2&gt;=80,5,IF((C909+D909)/2&gt;=70,4,IF((C909+D909)/2&gt;=60,3.5,IF((C909+D909)/2&gt;=50,3,IF((C909+D909)/2&gt;=40,2,IF((C909+D909)/2&gt;=33,1,0)))))))</f>
        <v/>
      </c>
      <c r="AD909">
        <f>IF(E909+F909&lt;66,0,IF((E909+F909)/2&gt;=80,5,IF((E909+F909)/2&gt;=70,4,IF((E909+F909)/2&gt;=60,3.5,IF((E909+F909)/2&gt;=50,3,IF((E909+F909)/2&gt;=40,2,IF((E909+F909)/2&gt;=33,1,0)))))))</f>
        <v/>
      </c>
      <c r="AE909">
        <f>IF(G909&lt;33,0,IF(G909&gt;=80,5,IF(G909&gt;=70,4,IF(G909&gt;=60,3.5,IF(G909&gt;=50,3,IF(G909&gt;=40,2,IF(G909&gt;=33,1,0)))))))</f>
        <v/>
      </c>
      <c r="AF909">
        <f>IF(H909+I909&lt;66,0,IF((H909+I909)/2&gt;=80,5,IF((H909+I909)/2&gt;=70,4,IF((H909+I909)/2&gt;=60,3.5,IF((H909+I909)/2&gt;=50,3,IF((H909+I909)/2&gt;=40,2,IF((H909+I909)/2&gt;=33,1,0)))))))</f>
        <v/>
      </c>
      <c r="AG909">
        <f>IF(Y909,0,IF((J909+K909+L909+M909)/2&gt;=80,5,IF((J909+K909+L909+M909)/2&gt;=70,4,IF((J909+K909+L909+M909)/2&gt;=60,3.5,IF((J909+K909+L909+M909)/2&gt;=50,3,IF((J909+K909+L909+M909)/2&gt;=40,2,IF((J909+K909+L909+M909)/2&gt;=33,1,0)))))))</f>
        <v/>
      </c>
      <c r="AH909">
        <f>IF(Z909,0,IF(N909+O909&gt;=80,5,IF(N909+O909&gt;=70,4,IF(N909+O909&gt;=60,3.5,IF(N909+O909&gt;=50,3,IF(N909+O909&gt;=40,2,IF(N909+O909&gt;=33,1,0)))))))</f>
        <v/>
      </c>
      <c r="AI909">
        <f>IF(AA909,0,IF(P909+Q909&gt;=80,5,IF(P909+Q909&gt;=70,4,IF(P909+Q909&gt;=60,3.5,IF(P909+Q909&gt;=50,3,IF(P909+Q909&gt;=40,2,IF(P909+Q909&gt;=33,1,0)))))))</f>
        <v/>
      </c>
      <c r="AJ909">
        <f>IF(R909&lt;8.25,0,IF(R909*2&gt;=80,5,IF(R909*2&gt;=70,4,IF(R909*2&gt;=60,3.5,IF(R909*2&gt;=50,3,IF(R909*2&gt;=40,2,IF(R909*2&gt;=33,1,0)))))))</f>
        <v/>
      </c>
      <c r="AK909">
        <f>IF(S909&lt;33,0,IF(S909&gt;=80,5,IF(S909&gt;=70,4,IF(S909&gt;=60,3.5,IF(S909&gt;=50,3,IF(S909&gt;=40,2,IF(S909&gt;=33,1,0)))))))</f>
        <v/>
      </c>
      <c r="AL909">
        <f>(AC909+AD909+AE909+AF909+AG909+AH909+AI909+AJ909)/8</f>
        <v/>
      </c>
      <c r="AM909">
        <f>IF(AK909&gt;=2,(AK909-2)/8,0)</f>
        <v/>
      </c>
    </row>
    <row r="910">
      <c r="T910">
        <f>SUM(C910:R910)</f>
        <v/>
      </c>
      <c r="U910" s="6">
        <f>ROUND(T910/11.5,2)</f>
        <v/>
      </c>
      <c r="V910" s="7">
        <f>IF(B910="","",IF(AB910,0,ROUND(AL910,2)))</f>
        <v/>
      </c>
      <c r="W910" s="7">
        <f>IF(B910="","",IF(AB910,0,MIN(5,ROUND(AL910+AM910,2))))</f>
        <v/>
      </c>
      <c r="X910" s="8">
        <f>IF(B910="","",IF(W910&gt;=5,"A+",IF(W910&gt;=4,"A",IF(W910&gt;=3.5,"A-",IF(W910&gt;=3,"B",IF(W910&gt;=2,"C",IF(W910&gt;=1,"D","F")))))))</f>
        <v/>
      </c>
      <c r="Y910">
        <f>NOT(OR(AND(J910&gt;=10,K910&gt;=23,L910&gt;=10,M910&gt;=23),AND(J910+L910&gt;=20,K910+M910&gt;=46)))</f>
        <v/>
      </c>
      <c r="Z910">
        <f>OR(N910&lt;10,O910&lt;23)</f>
        <v/>
      </c>
      <c r="AA910">
        <f>OR(P910&lt;10,Q910&lt;23)</f>
        <v/>
      </c>
      <c r="AB910">
        <f>OR((C910+D910)&lt;66,(E910+F910)&lt;66,G910&lt;33,(H910+I910)&lt;66,Y910,Z910,AA910,R910&lt;8.25)</f>
        <v/>
      </c>
      <c r="AC910">
        <f>IF(C910+D910&lt;66,0,IF((C910+D910)/2&gt;=80,5,IF((C910+D910)/2&gt;=70,4,IF((C910+D910)/2&gt;=60,3.5,IF((C910+D910)/2&gt;=50,3,IF((C910+D910)/2&gt;=40,2,IF((C910+D910)/2&gt;=33,1,0)))))))</f>
        <v/>
      </c>
      <c r="AD910">
        <f>IF(E910+F910&lt;66,0,IF((E910+F910)/2&gt;=80,5,IF((E910+F910)/2&gt;=70,4,IF((E910+F910)/2&gt;=60,3.5,IF((E910+F910)/2&gt;=50,3,IF((E910+F910)/2&gt;=40,2,IF((E910+F910)/2&gt;=33,1,0)))))))</f>
        <v/>
      </c>
      <c r="AE910">
        <f>IF(G910&lt;33,0,IF(G910&gt;=80,5,IF(G910&gt;=70,4,IF(G910&gt;=60,3.5,IF(G910&gt;=50,3,IF(G910&gt;=40,2,IF(G910&gt;=33,1,0)))))))</f>
        <v/>
      </c>
      <c r="AF910">
        <f>IF(H910+I910&lt;66,0,IF((H910+I910)/2&gt;=80,5,IF((H910+I910)/2&gt;=70,4,IF((H910+I910)/2&gt;=60,3.5,IF((H910+I910)/2&gt;=50,3,IF((H910+I910)/2&gt;=40,2,IF((H910+I910)/2&gt;=33,1,0)))))))</f>
        <v/>
      </c>
      <c r="AG910">
        <f>IF(Y910,0,IF((J910+K910+L910+M910)/2&gt;=80,5,IF((J910+K910+L910+M910)/2&gt;=70,4,IF((J910+K910+L910+M910)/2&gt;=60,3.5,IF((J910+K910+L910+M910)/2&gt;=50,3,IF((J910+K910+L910+M910)/2&gt;=40,2,IF((J910+K910+L910+M910)/2&gt;=33,1,0)))))))</f>
        <v/>
      </c>
      <c r="AH910">
        <f>IF(Z910,0,IF(N910+O910&gt;=80,5,IF(N910+O910&gt;=70,4,IF(N910+O910&gt;=60,3.5,IF(N910+O910&gt;=50,3,IF(N910+O910&gt;=40,2,IF(N910+O910&gt;=33,1,0)))))))</f>
        <v/>
      </c>
      <c r="AI910">
        <f>IF(AA910,0,IF(P910+Q910&gt;=80,5,IF(P910+Q910&gt;=70,4,IF(P910+Q910&gt;=60,3.5,IF(P910+Q910&gt;=50,3,IF(P910+Q910&gt;=40,2,IF(P910+Q910&gt;=33,1,0)))))))</f>
        <v/>
      </c>
      <c r="AJ910">
        <f>IF(R910&lt;8.25,0,IF(R910*2&gt;=80,5,IF(R910*2&gt;=70,4,IF(R910*2&gt;=60,3.5,IF(R910*2&gt;=50,3,IF(R910*2&gt;=40,2,IF(R910*2&gt;=33,1,0)))))))</f>
        <v/>
      </c>
      <c r="AK910">
        <f>IF(S910&lt;33,0,IF(S910&gt;=80,5,IF(S910&gt;=70,4,IF(S910&gt;=60,3.5,IF(S910&gt;=50,3,IF(S910&gt;=40,2,IF(S910&gt;=33,1,0)))))))</f>
        <v/>
      </c>
      <c r="AL910">
        <f>(AC910+AD910+AE910+AF910+AG910+AH910+AI910+AJ910)/8</f>
        <v/>
      </c>
      <c r="AM910">
        <f>IF(AK910&gt;=2,(AK910-2)/8,0)</f>
        <v/>
      </c>
    </row>
    <row r="911">
      <c r="T911">
        <f>SUM(C911:R911)</f>
        <v/>
      </c>
      <c r="U911" s="6">
        <f>ROUND(T911/11.5,2)</f>
        <v/>
      </c>
      <c r="V911" s="7">
        <f>IF(B911="","",IF(AB911,0,ROUND(AL911,2)))</f>
        <v/>
      </c>
      <c r="W911" s="7">
        <f>IF(B911="","",IF(AB911,0,MIN(5,ROUND(AL911+AM911,2))))</f>
        <v/>
      </c>
      <c r="X911" s="8">
        <f>IF(B911="","",IF(W911&gt;=5,"A+",IF(W911&gt;=4,"A",IF(W911&gt;=3.5,"A-",IF(W911&gt;=3,"B",IF(W911&gt;=2,"C",IF(W911&gt;=1,"D","F")))))))</f>
        <v/>
      </c>
      <c r="Y911">
        <f>NOT(OR(AND(J911&gt;=10,K911&gt;=23,L911&gt;=10,M911&gt;=23),AND(J911+L911&gt;=20,K911+M911&gt;=46)))</f>
        <v/>
      </c>
      <c r="Z911">
        <f>OR(N911&lt;10,O911&lt;23)</f>
        <v/>
      </c>
      <c r="AA911">
        <f>OR(P911&lt;10,Q911&lt;23)</f>
        <v/>
      </c>
      <c r="AB911">
        <f>OR((C911+D911)&lt;66,(E911+F911)&lt;66,G911&lt;33,(H911+I911)&lt;66,Y911,Z911,AA911,R911&lt;8.25)</f>
        <v/>
      </c>
      <c r="AC911">
        <f>IF(C911+D911&lt;66,0,IF((C911+D911)/2&gt;=80,5,IF((C911+D911)/2&gt;=70,4,IF((C911+D911)/2&gt;=60,3.5,IF((C911+D911)/2&gt;=50,3,IF((C911+D911)/2&gt;=40,2,IF((C911+D911)/2&gt;=33,1,0)))))))</f>
        <v/>
      </c>
      <c r="AD911">
        <f>IF(E911+F911&lt;66,0,IF((E911+F911)/2&gt;=80,5,IF((E911+F911)/2&gt;=70,4,IF((E911+F911)/2&gt;=60,3.5,IF((E911+F911)/2&gt;=50,3,IF((E911+F911)/2&gt;=40,2,IF((E911+F911)/2&gt;=33,1,0)))))))</f>
        <v/>
      </c>
      <c r="AE911">
        <f>IF(G911&lt;33,0,IF(G911&gt;=80,5,IF(G911&gt;=70,4,IF(G911&gt;=60,3.5,IF(G911&gt;=50,3,IF(G911&gt;=40,2,IF(G911&gt;=33,1,0)))))))</f>
        <v/>
      </c>
      <c r="AF911">
        <f>IF(H911+I911&lt;66,0,IF((H911+I911)/2&gt;=80,5,IF((H911+I911)/2&gt;=70,4,IF((H911+I911)/2&gt;=60,3.5,IF((H911+I911)/2&gt;=50,3,IF((H911+I911)/2&gt;=40,2,IF((H911+I911)/2&gt;=33,1,0)))))))</f>
        <v/>
      </c>
      <c r="AG911">
        <f>IF(Y911,0,IF((J911+K911+L911+M911)/2&gt;=80,5,IF((J911+K911+L911+M911)/2&gt;=70,4,IF((J911+K911+L911+M911)/2&gt;=60,3.5,IF((J911+K911+L911+M911)/2&gt;=50,3,IF((J911+K911+L911+M911)/2&gt;=40,2,IF((J911+K911+L911+M911)/2&gt;=33,1,0)))))))</f>
        <v/>
      </c>
      <c r="AH911">
        <f>IF(Z911,0,IF(N911+O911&gt;=80,5,IF(N911+O911&gt;=70,4,IF(N911+O911&gt;=60,3.5,IF(N911+O911&gt;=50,3,IF(N911+O911&gt;=40,2,IF(N911+O911&gt;=33,1,0)))))))</f>
        <v/>
      </c>
      <c r="AI911">
        <f>IF(AA911,0,IF(P911+Q911&gt;=80,5,IF(P911+Q911&gt;=70,4,IF(P911+Q911&gt;=60,3.5,IF(P911+Q911&gt;=50,3,IF(P911+Q911&gt;=40,2,IF(P911+Q911&gt;=33,1,0)))))))</f>
        <v/>
      </c>
      <c r="AJ911">
        <f>IF(R911&lt;8.25,0,IF(R911*2&gt;=80,5,IF(R911*2&gt;=70,4,IF(R911*2&gt;=60,3.5,IF(R911*2&gt;=50,3,IF(R911*2&gt;=40,2,IF(R911*2&gt;=33,1,0)))))))</f>
        <v/>
      </c>
      <c r="AK911">
        <f>IF(S911&lt;33,0,IF(S911&gt;=80,5,IF(S911&gt;=70,4,IF(S911&gt;=60,3.5,IF(S911&gt;=50,3,IF(S911&gt;=40,2,IF(S911&gt;=33,1,0)))))))</f>
        <v/>
      </c>
      <c r="AL911">
        <f>(AC911+AD911+AE911+AF911+AG911+AH911+AI911+AJ911)/8</f>
        <v/>
      </c>
      <c r="AM911">
        <f>IF(AK911&gt;=2,(AK911-2)/8,0)</f>
        <v/>
      </c>
    </row>
    <row r="912">
      <c r="T912">
        <f>SUM(C912:R912)</f>
        <v/>
      </c>
      <c r="U912" s="6">
        <f>ROUND(T912/11.5,2)</f>
        <v/>
      </c>
      <c r="V912" s="7">
        <f>IF(B912="","",IF(AB912,0,ROUND(AL912,2)))</f>
        <v/>
      </c>
      <c r="W912" s="7">
        <f>IF(B912="","",IF(AB912,0,MIN(5,ROUND(AL912+AM912,2))))</f>
        <v/>
      </c>
      <c r="X912" s="8">
        <f>IF(B912="","",IF(W912&gt;=5,"A+",IF(W912&gt;=4,"A",IF(W912&gt;=3.5,"A-",IF(W912&gt;=3,"B",IF(W912&gt;=2,"C",IF(W912&gt;=1,"D","F")))))))</f>
        <v/>
      </c>
      <c r="Y912">
        <f>NOT(OR(AND(J912&gt;=10,K912&gt;=23,L912&gt;=10,M912&gt;=23),AND(J912+L912&gt;=20,K912+M912&gt;=46)))</f>
        <v/>
      </c>
      <c r="Z912">
        <f>OR(N912&lt;10,O912&lt;23)</f>
        <v/>
      </c>
      <c r="AA912">
        <f>OR(P912&lt;10,Q912&lt;23)</f>
        <v/>
      </c>
      <c r="AB912">
        <f>OR((C912+D912)&lt;66,(E912+F912)&lt;66,G912&lt;33,(H912+I912)&lt;66,Y912,Z912,AA912,R912&lt;8.25)</f>
        <v/>
      </c>
      <c r="AC912">
        <f>IF(C912+D912&lt;66,0,IF((C912+D912)/2&gt;=80,5,IF((C912+D912)/2&gt;=70,4,IF((C912+D912)/2&gt;=60,3.5,IF((C912+D912)/2&gt;=50,3,IF((C912+D912)/2&gt;=40,2,IF((C912+D912)/2&gt;=33,1,0)))))))</f>
        <v/>
      </c>
      <c r="AD912">
        <f>IF(E912+F912&lt;66,0,IF((E912+F912)/2&gt;=80,5,IF((E912+F912)/2&gt;=70,4,IF((E912+F912)/2&gt;=60,3.5,IF((E912+F912)/2&gt;=50,3,IF((E912+F912)/2&gt;=40,2,IF((E912+F912)/2&gt;=33,1,0)))))))</f>
        <v/>
      </c>
      <c r="AE912">
        <f>IF(G912&lt;33,0,IF(G912&gt;=80,5,IF(G912&gt;=70,4,IF(G912&gt;=60,3.5,IF(G912&gt;=50,3,IF(G912&gt;=40,2,IF(G912&gt;=33,1,0)))))))</f>
        <v/>
      </c>
      <c r="AF912">
        <f>IF(H912+I912&lt;66,0,IF((H912+I912)/2&gt;=80,5,IF((H912+I912)/2&gt;=70,4,IF((H912+I912)/2&gt;=60,3.5,IF((H912+I912)/2&gt;=50,3,IF((H912+I912)/2&gt;=40,2,IF((H912+I912)/2&gt;=33,1,0)))))))</f>
        <v/>
      </c>
      <c r="AG912">
        <f>IF(Y912,0,IF((J912+K912+L912+M912)/2&gt;=80,5,IF((J912+K912+L912+M912)/2&gt;=70,4,IF((J912+K912+L912+M912)/2&gt;=60,3.5,IF((J912+K912+L912+M912)/2&gt;=50,3,IF((J912+K912+L912+M912)/2&gt;=40,2,IF((J912+K912+L912+M912)/2&gt;=33,1,0)))))))</f>
        <v/>
      </c>
      <c r="AH912">
        <f>IF(Z912,0,IF(N912+O912&gt;=80,5,IF(N912+O912&gt;=70,4,IF(N912+O912&gt;=60,3.5,IF(N912+O912&gt;=50,3,IF(N912+O912&gt;=40,2,IF(N912+O912&gt;=33,1,0)))))))</f>
        <v/>
      </c>
      <c r="AI912">
        <f>IF(AA912,0,IF(P912+Q912&gt;=80,5,IF(P912+Q912&gt;=70,4,IF(P912+Q912&gt;=60,3.5,IF(P912+Q912&gt;=50,3,IF(P912+Q912&gt;=40,2,IF(P912+Q912&gt;=33,1,0)))))))</f>
        <v/>
      </c>
      <c r="AJ912">
        <f>IF(R912&lt;8.25,0,IF(R912*2&gt;=80,5,IF(R912*2&gt;=70,4,IF(R912*2&gt;=60,3.5,IF(R912*2&gt;=50,3,IF(R912*2&gt;=40,2,IF(R912*2&gt;=33,1,0)))))))</f>
        <v/>
      </c>
      <c r="AK912">
        <f>IF(S912&lt;33,0,IF(S912&gt;=80,5,IF(S912&gt;=70,4,IF(S912&gt;=60,3.5,IF(S912&gt;=50,3,IF(S912&gt;=40,2,IF(S912&gt;=33,1,0)))))))</f>
        <v/>
      </c>
      <c r="AL912">
        <f>(AC912+AD912+AE912+AF912+AG912+AH912+AI912+AJ912)/8</f>
        <v/>
      </c>
      <c r="AM912">
        <f>IF(AK912&gt;=2,(AK912-2)/8,0)</f>
        <v/>
      </c>
    </row>
    <row r="913">
      <c r="T913">
        <f>SUM(C913:R913)</f>
        <v/>
      </c>
      <c r="U913" s="6">
        <f>ROUND(T913/11.5,2)</f>
        <v/>
      </c>
      <c r="V913" s="7">
        <f>IF(B913="","",IF(AB913,0,ROUND(AL913,2)))</f>
        <v/>
      </c>
      <c r="W913" s="7">
        <f>IF(B913="","",IF(AB913,0,MIN(5,ROUND(AL913+AM913,2))))</f>
        <v/>
      </c>
      <c r="X913" s="8">
        <f>IF(B913="","",IF(W913&gt;=5,"A+",IF(W913&gt;=4,"A",IF(W913&gt;=3.5,"A-",IF(W913&gt;=3,"B",IF(W913&gt;=2,"C",IF(W913&gt;=1,"D","F")))))))</f>
        <v/>
      </c>
      <c r="Y913">
        <f>NOT(OR(AND(J913&gt;=10,K913&gt;=23,L913&gt;=10,M913&gt;=23),AND(J913+L913&gt;=20,K913+M913&gt;=46)))</f>
        <v/>
      </c>
      <c r="Z913">
        <f>OR(N913&lt;10,O913&lt;23)</f>
        <v/>
      </c>
      <c r="AA913">
        <f>OR(P913&lt;10,Q913&lt;23)</f>
        <v/>
      </c>
      <c r="AB913">
        <f>OR((C913+D913)&lt;66,(E913+F913)&lt;66,G913&lt;33,(H913+I913)&lt;66,Y913,Z913,AA913,R913&lt;8.25)</f>
        <v/>
      </c>
      <c r="AC913">
        <f>IF(C913+D913&lt;66,0,IF((C913+D913)/2&gt;=80,5,IF((C913+D913)/2&gt;=70,4,IF((C913+D913)/2&gt;=60,3.5,IF((C913+D913)/2&gt;=50,3,IF((C913+D913)/2&gt;=40,2,IF((C913+D913)/2&gt;=33,1,0)))))))</f>
        <v/>
      </c>
      <c r="AD913">
        <f>IF(E913+F913&lt;66,0,IF((E913+F913)/2&gt;=80,5,IF((E913+F913)/2&gt;=70,4,IF((E913+F913)/2&gt;=60,3.5,IF((E913+F913)/2&gt;=50,3,IF((E913+F913)/2&gt;=40,2,IF((E913+F913)/2&gt;=33,1,0)))))))</f>
        <v/>
      </c>
      <c r="AE913">
        <f>IF(G913&lt;33,0,IF(G913&gt;=80,5,IF(G913&gt;=70,4,IF(G913&gt;=60,3.5,IF(G913&gt;=50,3,IF(G913&gt;=40,2,IF(G913&gt;=33,1,0)))))))</f>
        <v/>
      </c>
      <c r="AF913">
        <f>IF(H913+I913&lt;66,0,IF((H913+I913)/2&gt;=80,5,IF((H913+I913)/2&gt;=70,4,IF((H913+I913)/2&gt;=60,3.5,IF((H913+I913)/2&gt;=50,3,IF((H913+I913)/2&gt;=40,2,IF((H913+I913)/2&gt;=33,1,0)))))))</f>
        <v/>
      </c>
      <c r="AG913">
        <f>IF(Y913,0,IF((J913+K913+L913+M913)/2&gt;=80,5,IF((J913+K913+L913+M913)/2&gt;=70,4,IF((J913+K913+L913+M913)/2&gt;=60,3.5,IF((J913+K913+L913+M913)/2&gt;=50,3,IF((J913+K913+L913+M913)/2&gt;=40,2,IF((J913+K913+L913+M913)/2&gt;=33,1,0)))))))</f>
        <v/>
      </c>
      <c r="AH913">
        <f>IF(Z913,0,IF(N913+O913&gt;=80,5,IF(N913+O913&gt;=70,4,IF(N913+O913&gt;=60,3.5,IF(N913+O913&gt;=50,3,IF(N913+O913&gt;=40,2,IF(N913+O913&gt;=33,1,0)))))))</f>
        <v/>
      </c>
      <c r="AI913">
        <f>IF(AA913,0,IF(P913+Q913&gt;=80,5,IF(P913+Q913&gt;=70,4,IF(P913+Q913&gt;=60,3.5,IF(P913+Q913&gt;=50,3,IF(P913+Q913&gt;=40,2,IF(P913+Q913&gt;=33,1,0)))))))</f>
        <v/>
      </c>
      <c r="AJ913">
        <f>IF(R913&lt;8.25,0,IF(R913*2&gt;=80,5,IF(R913*2&gt;=70,4,IF(R913*2&gt;=60,3.5,IF(R913*2&gt;=50,3,IF(R913*2&gt;=40,2,IF(R913*2&gt;=33,1,0)))))))</f>
        <v/>
      </c>
      <c r="AK913">
        <f>IF(S913&lt;33,0,IF(S913&gt;=80,5,IF(S913&gt;=70,4,IF(S913&gt;=60,3.5,IF(S913&gt;=50,3,IF(S913&gt;=40,2,IF(S913&gt;=33,1,0)))))))</f>
        <v/>
      </c>
      <c r="AL913">
        <f>(AC913+AD913+AE913+AF913+AG913+AH913+AI913+AJ913)/8</f>
        <v/>
      </c>
      <c r="AM913">
        <f>IF(AK913&gt;=2,(AK913-2)/8,0)</f>
        <v/>
      </c>
    </row>
    <row r="914">
      <c r="T914">
        <f>SUM(C914:R914)</f>
        <v/>
      </c>
      <c r="U914" s="6">
        <f>ROUND(T914/11.5,2)</f>
        <v/>
      </c>
      <c r="V914" s="7">
        <f>IF(B914="","",IF(AB914,0,ROUND(AL914,2)))</f>
        <v/>
      </c>
      <c r="W914" s="7">
        <f>IF(B914="","",IF(AB914,0,MIN(5,ROUND(AL914+AM914,2))))</f>
        <v/>
      </c>
      <c r="X914" s="8">
        <f>IF(B914="","",IF(W914&gt;=5,"A+",IF(W914&gt;=4,"A",IF(W914&gt;=3.5,"A-",IF(W914&gt;=3,"B",IF(W914&gt;=2,"C",IF(W914&gt;=1,"D","F")))))))</f>
        <v/>
      </c>
      <c r="Y914">
        <f>NOT(OR(AND(J914&gt;=10,K914&gt;=23,L914&gt;=10,M914&gt;=23),AND(J914+L914&gt;=20,K914+M914&gt;=46)))</f>
        <v/>
      </c>
      <c r="Z914">
        <f>OR(N914&lt;10,O914&lt;23)</f>
        <v/>
      </c>
      <c r="AA914">
        <f>OR(P914&lt;10,Q914&lt;23)</f>
        <v/>
      </c>
      <c r="AB914">
        <f>OR((C914+D914)&lt;66,(E914+F914)&lt;66,G914&lt;33,(H914+I914)&lt;66,Y914,Z914,AA914,R914&lt;8.25)</f>
        <v/>
      </c>
      <c r="AC914">
        <f>IF(C914+D914&lt;66,0,IF((C914+D914)/2&gt;=80,5,IF((C914+D914)/2&gt;=70,4,IF((C914+D914)/2&gt;=60,3.5,IF((C914+D914)/2&gt;=50,3,IF((C914+D914)/2&gt;=40,2,IF((C914+D914)/2&gt;=33,1,0)))))))</f>
        <v/>
      </c>
      <c r="AD914">
        <f>IF(E914+F914&lt;66,0,IF((E914+F914)/2&gt;=80,5,IF((E914+F914)/2&gt;=70,4,IF((E914+F914)/2&gt;=60,3.5,IF((E914+F914)/2&gt;=50,3,IF((E914+F914)/2&gt;=40,2,IF((E914+F914)/2&gt;=33,1,0)))))))</f>
        <v/>
      </c>
      <c r="AE914">
        <f>IF(G914&lt;33,0,IF(G914&gt;=80,5,IF(G914&gt;=70,4,IF(G914&gt;=60,3.5,IF(G914&gt;=50,3,IF(G914&gt;=40,2,IF(G914&gt;=33,1,0)))))))</f>
        <v/>
      </c>
      <c r="AF914">
        <f>IF(H914+I914&lt;66,0,IF((H914+I914)/2&gt;=80,5,IF((H914+I914)/2&gt;=70,4,IF((H914+I914)/2&gt;=60,3.5,IF((H914+I914)/2&gt;=50,3,IF((H914+I914)/2&gt;=40,2,IF((H914+I914)/2&gt;=33,1,0)))))))</f>
        <v/>
      </c>
      <c r="AG914">
        <f>IF(Y914,0,IF((J914+K914+L914+M914)/2&gt;=80,5,IF((J914+K914+L914+M914)/2&gt;=70,4,IF((J914+K914+L914+M914)/2&gt;=60,3.5,IF((J914+K914+L914+M914)/2&gt;=50,3,IF((J914+K914+L914+M914)/2&gt;=40,2,IF((J914+K914+L914+M914)/2&gt;=33,1,0)))))))</f>
        <v/>
      </c>
      <c r="AH914">
        <f>IF(Z914,0,IF(N914+O914&gt;=80,5,IF(N914+O914&gt;=70,4,IF(N914+O914&gt;=60,3.5,IF(N914+O914&gt;=50,3,IF(N914+O914&gt;=40,2,IF(N914+O914&gt;=33,1,0)))))))</f>
        <v/>
      </c>
      <c r="AI914">
        <f>IF(AA914,0,IF(P914+Q914&gt;=80,5,IF(P914+Q914&gt;=70,4,IF(P914+Q914&gt;=60,3.5,IF(P914+Q914&gt;=50,3,IF(P914+Q914&gt;=40,2,IF(P914+Q914&gt;=33,1,0)))))))</f>
        <v/>
      </c>
      <c r="AJ914">
        <f>IF(R914&lt;8.25,0,IF(R914*2&gt;=80,5,IF(R914*2&gt;=70,4,IF(R914*2&gt;=60,3.5,IF(R914*2&gt;=50,3,IF(R914*2&gt;=40,2,IF(R914*2&gt;=33,1,0)))))))</f>
        <v/>
      </c>
      <c r="AK914">
        <f>IF(S914&lt;33,0,IF(S914&gt;=80,5,IF(S914&gt;=70,4,IF(S914&gt;=60,3.5,IF(S914&gt;=50,3,IF(S914&gt;=40,2,IF(S914&gt;=33,1,0)))))))</f>
        <v/>
      </c>
      <c r="AL914">
        <f>(AC914+AD914+AE914+AF914+AG914+AH914+AI914+AJ914)/8</f>
        <v/>
      </c>
      <c r="AM914">
        <f>IF(AK914&gt;=2,(AK914-2)/8,0)</f>
        <v/>
      </c>
    </row>
    <row r="915">
      <c r="T915">
        <f>SUM(C915:R915)</f>
        <v/>
      </c>
      <c r="U915" s="6">
        <f>ROUND(T915/11.5,2)</f>
        <v/>
      </c>
      <c r="V915" s="7">
        <f>IF(B915="","",IF(AB915,0,ROUND(AL915,2)))</f>
        <v/>
      </c>
      <c r="W915" s="7">
        <f>IF(B915="","",IF(AB915,0,MIN(5,ROUND(AL915+AM915,2))))</f>
        <v/>
      </c>
      <c r="X915" s="8">
        <f>IF(B915="","",IF(W915&gt;=5,"A+",IF(W915&gt;=4,"A",IF(W915&gt;=3.5,"A-",IF(W915&gt;=3,"B",IF(W915&gt;=2,"C",IF(W915&gt;=1,"D","F")))))))</f>
        <v/>
      </c>
      <c r="Y915">
        <f>NOT(OR(AND(J915&gt;=10,K915&gt;=23,L915&gt;=10,M915&gt;=23),AND(J915+L915&gt;=20,K915+M915&gt;=46)))</f>
        <v/>
      </c>
      <c r="Z915">
        <f>OR(N915&lt;10,O915&lt;23)</f>
        <v/>
      </c>
      <c r="AA915">
        <f>OR(P915&lt;10,Q915&lt;23)</f>
        <v/>
      </c>
      <c r="AB915">
        <f>OR((C915+D915)&lt;66,(E915+F915)&lt;66,G915&lt;33,(H915+I915)&lt;66,Y915,Z915,AA915,R915&lt;8.25)</f>
        <v/>
      </c>
      <c r="AC915">
        <f>IF(C915+D915&lt;66,0,IF((C915+D915)/2&gt;=80,5,IF((C915+D915)/2&gt;=70,4,IF((C915+D915)/2&gt;=60,3.5,IF((C915+D915)/2&gt;=50,3,IF((C915+D915)/2&gt;=40,2,IF((C915+D915)/2&gt;=33,1,0)))))))</f>
        <v/>
      </c>
      <c r="AD915">
        <f>IF(E915+F915&lt;66,0,IF((E915+F915)/2&gt;=80,5,IF((E915+F915)/2&gt;=70,4,IF((E915+F915)/2&gt;=60,3.5,IF((E915+F915)/2&gt;=50,3,IF((E915+F915)/2&gt;=40,2,IF((E915+F915)/2&gt;=33,1,0)))))))</f>
        <v/>
      </c>
      <c r="AE915">
        <f>IF(G915&lt;33,0,IF(G915&gt;=80,5,IF(G915&gt;=70,4,IF(G915&gt;=60,3.5,IF(G915&gt;=50,3,IF(G915&gt;=40,2,IF(G915&gt;=33,1,0)))))))</f>
        <v/>
      </c>
      <c r="AF915">
        <f>IF(H915+I915&lt;66,0,IF((H915+I915)/2&gt;=80,5,IF((H915+I915)/2&gt;=70,4,IF((H915+I915)/2&gt;=60,3.5,IF((H915+I915)/2&gt;=50,3,IF((H915+I915)/2&gt;=40,2,IF((H915+I915)/2&gt;=33,1,0)))))))</f>
        <v/>
      </c>
      <c r="AG915">
        <f>IF(Y915,0,IF((J915+K915+L915+M915)/2&gt;=80,5,IF((J915+K915+L915+M915)/2&gt;=70,4,IF((J915+K915+L915+M915)/2&gt;=60,3.5,IF((J915+K915+L915+M915)/2&gt;=50,3,IF((J915+K915+L915+M915)/2&gt;=40,2,IF((J915+K915+L915+M915)/2&gt;=33,1,0)))))))</f>
        <v/>
      </c>
      <c r="AH915">
        <f>IF(Z915,0,IF(N915+O915&gt;=80,5,IF(N915+O915&gt;=70,4,IF(N915+O915&gt;=60,3.5,IF(N915+O915&gt;=50,3,IF(N915+O915&gt;=40,2,IF(N915+O915&gt;=33,1,0)))))))</f>
        <v/>
      </c>
      <c r="AI915">
        <f>IF(AA915,0,IF(P915+Q915&gt;=80,5,IF(P915+Q915&gt;=70,4,IF(P915+Q915&gt;=60,3.5,IF(P915+Q915&gt;=50,3,IF(P915+Q915&gt;=40,2,IF(P915+Q915&gt;=33,1,0)))))))</f>
        <v/>
      </c>
      <c r="AJ915">
        <f>IF(R915&lt;8.25,0,IF(R915*2&gt;=80,5,IF(R915*2&gt;=70,4,IF(R915*2&gt;=60,3.5,IF(R915*2&gt;=50,3,IF(R915*2&gt;=40,2,IF(R915*2&gt;=33,1,0)))))))</f>
        <v/>
      </c>
      <c r="AK915">
        <f>IF(S915&lt;33,0,IF(S915&gt;=80,5,IF(S915&gt;=70,4,IF(S915&gt;=60,3.5,IF(S915&gt;=50,3,IF(S915&gt;=40,2,IF(S915&gt;=33,1,0)))))))</f>
        <v/>
      </c>
      <c r="AL915">
        <f>(AC915+AD915+AE915+AF915+AG915+AH915+AI915+AJ915)/8</f>
        <v/>
      </c>
      <c r="AM915">
        <f>IF(AK915&gt;=2,(AK915-2)/8,0)</f>
        <v/>
      </c>
    </row>
    <row r="916">
      <c r="T916">
        <f>SUM(C916:R916)</f>
        <v/>
      </c>
      <c r="U916" s="6">
        <f>ROUND(T916/11.5,2)</f>
        <v/>
      </c>
      <c r="V916" s="7">
        <f>IF(B916="","",IF(AB916,0,ROUND(AL916,2)))</f>
        <v/>
      </c>
      <c r="W916" s="7">
        <f>IF(B916="","",IF(AB916,0,MIN(5,ROUND(AL916+AM916,2))))</f>
        <v/>
      </c>
      <c r="X916" s="8">
        <f>IF(B916="","",IF(W916&gt;=5,"A+",IF(W916&gt;=4,"A",IF(W916&gt;=3.5,"A-",IF(W916&gt;=3,"B",IF(W916&gt;=2,"C",IF(W916&gt;=1,"D","F")))))))</f>
        <v/>
      </c>
      <c r="Y916">
        <f>NOT(OR(AND(J916&gt;=10,K916&gt;=23,L916&gt;=10,M916&gt;=23),AND(J916+L916&gt;=20,K916+M916&gt;=46)))</f>
        <v/>
      </c>
      <c r="Z916">
        <f>OR(N916&lt;10,O916&lt;23)</f>
        <v/>
      </c>
      <c r="AA916">
        <f>OR(P916&lt;10,Q916&lt;23)</f>
        <v/>
      </c>
      <c r="AB916">
        <f>OR((C916+D916)&lt;66,(E916+F916)&lt;66,G916&lt;33,(H916+I916)&lt;66,Y916,Z916,AA916,R916&lt;8.25)</f>
        <v/>
      </c>
      <c r="AC916">
        <f>IF(C916+D916&lt;66,0,IF((C916+D916)/2&gt;=80,5,IF((C916+D916)/2&gt;=70,4,IF((C916+D916)/2&gt;=60,3.5,IF((C916+D916)/2&gt;=50,3,IF((C916+D916)/2&gt;=40,2,IF((C916+D916)/2&gt;=33,1,0)))))))</f>
        <v/>
      </c>
      <c r="AD916">
        <f>IF(E916+F916&lt;66,0,IF((E916+F916)/2&gt;=80,5,IF((E916+F916)/2&gt;=70,4,IF((E916+F916)/2&gt;=60,3.5,IF((E916+F916)/2&gt;=50,3,IF((E916+F916)/2&gt;=40,2,IF((E916+F916)/2&gt;=33,1,0)))))))</f>
        <v/>
      </c>
      <c r="AE916">
        <f>IF(G916&lt;33,0,IF(G916&gt;=80,5,IF(G916&gt;=70,4,IF(G916&gt;=60,3.5,IF(G916&gt;=50,3,IF(G916&gt;=40,2,IF(G916&gt;=33,1,0)))))))</f>
        <v/>
      </c>
      <c r="AF916">
        <f>IF(H916+I916&lt;66,0,IF((H916+I916)/2&gt;=80,5,IF((H916+I916)/2&gt;=70,4,IF((H916+I916)/2&gt;=60,3.5,IF((H916+I916)/2&gt;=50,3,IF((H916+I916)/2&gt;=40,2,IF((H916+I916)/2&gt;=33,1,0)))))))</f>
        <v/>
      </c>
      <c r="AG916">
        <f>IF(Y916,0,IF((J916+K916+L916+M916)/2&gt;=80,5,IF((J916+K916+L916+M916)/2&gt;=70,4,IF((J916+K916+L916+M916)/2&gt;=60,3.5,IF((J916+K916+L916+M916)/2&gt;=50,3,IF((J916+K916+L916+M916)/2&gt;=40,2,IF((J916+K916+L916+M916)/2&gt;=33,1,0)))))))</f>
        <v/>
      </c>
      <c r="AH916">
        <f>IF(Z916,0,IF(N916+O916&gt;=80,5,IF(N916+O916&gt;=70,4,IF(N916+O916&gt;=60,3.5,IF(N916+O916&gt;=50,3,IF(N916+O916&gt;=40,2,IF(N916+O916&gt;=33,1,0)))))))</f>
        <v/>
      </c>
      <c r="AI916">
        <f>IF(AA916,0,IF(P916+Q916&gt;=80,5,IF(P916+Q916&gt;=70,4,IF(P916+Q916&gt;=60,3.5,IF(P916+Q916&gt;=50,3,IF(P916+Q916&gt;=40,2,IF(P916+Q916&gt;=33,1,0)))))))</f>
        <v/>
      </c>
      <c r="AJ916">
        <f>IF(R916&lt;8.25,0,IF(R916*2&gt;=80,5,IF(R916*2&gt;=70,4,IF(R916*2&gt;=60,3.5,IF(R916*2&gt;=50,3,IF(R916*2&gt;=40,2,IF(R916*2&gt;=33,1,0)))))))</f>
        <v/>
      </c>
      <c r="AK916">
        <f>IF(S916&lt;33,0,IF(S916&gt;=80,5,IF(S916&gt;=70,4,IF(S916&gt;=60,3.5,IF(S916&gt;=50,3,IF(S916&gt;=40,2,IF(S916&gt;=33,1,0)))))))</f>
        <v/>
      </c>
      <c r="AL916">
        <f>(AC916+AD916+AE916+AF916+AG916+AH916+AI916+AJ916)/8</f>
        <v/>
      </c>
      <c r="AM916">
        <f>IF(AK916&gt;=2,(AK916-2)/8,0)</f>
        <v/>
      </c>
    </row>
    <row r="917">
      <c r="T917">
        <f>SUM(C917:R917)</f>
        <v/>
      </c>
      <c r="U917" s="6">
        <f>ROUND(T917/11.5,2)</f>
        <v/>
      </c>
      <c r="V917" s="7">
        <f>IF(B917="","",IF(AB917,0,ROUND(AL917,2)))</f>
        <v/>
      </c>
      <c r="W917" s="7">
        <f>IF(B917="","",IF(AB917,0,MIN(5,ROUND(AL917+AM917,2))))</f>
        <v/>
      </c>
      <c r="X917" s="8">
        <f>IF(B917="","",IF(W917&gt;=5,"A+",IF(W917&gt;=4,"A",IF(W917&gt;=3.5,"A-",IF(W917&gt;=3,"B",IF(W917&gt;=2,"C",IF(W917&gt;=1,"D","F")))))))</f>
        <v/>
      </c>
      <c r="Y917">
        <f>NOT(OR(AND(J917&gt;=10,K917&gt;=23,L917&gt;=10,M917&gt;=23),AND(J917+L917&gt;=20,K917+M917&gt;=46)))</f>
        <v/>
      </c>
      <c r="Z917">
        <f>OR(N917&lt;10,O917&lt;23)</f>
        <v/>
      </c>
      <c r="AA917">
        <f>OR(P917&lt;10,Q917&lt;23)</f>
        <v/>
      </c>
      <c r="AB917">
        <f>OR((C917+D917)&lt;66,(E917+F917)&lt;66,G917&lt;33,(H917+I917)&lt;66,Y917,Z917,AA917,R917&lt;8.25)</f>
        <v/>
      </c>
      <c r="AC917">
        <f>IF(C917+D917&lt;66,0,IF((C917+D917)/2&gt;=80,5,IF((C917+D917)/2&gt;=70,4,IF((C917+D917)/2&gt;=60,3.5,IF((C917+D917)/2&gt;=50,3,IF((C917+D917)/2&gt;=40,2,IF((C917+D917)/2&gt;=33,1,0)))))))</f>
        <v/>
      </c>
      <c r="AD917">
        <f>IF(E917+F917&lt;66,0,IF((E917+F917)/2&gt;=80,5,IF((E917+F917)/2&gt;=70,4,IF((E917+F917)/2&gt;=60,3.5,IF((E917+F917)/2&gt;=50,3,IF((E917+F917)/2&gt;=40,2,IF((E917+F917)/2&gt;=33,1,0)))))))</f>
        <v/>
      </c>
      <c r="AE917">
        <f>IF(G917&lt;33,0,IF(G917&gt;=80,5,IF(G917&gt;=70,4,IF(G917&gt;=60,3.5,IF(G917&gt;=50,3,IF(G917&gt;=40,2,IF(G917&gt;=33,1,0)))))))</f>
        <v/>
      </c>
      <c r="AF917">
        <f>IF(H917+I917&lt;66,0,IF((H917+I917)/2&gt;=80,5,IF((H917+I917)/2&gt;=70,4,IF((H917+I917)/2&gt;=60,3.5,IF((H917+I917)/2&gt;=50,3,IF((H917+I917)/2&gt;=40,2,IF((H917+I917)/2&gt;=33,1,0)))))))</f>
        <v/>
      </c>
      <c r="AG917">
        <f>IF(Y917,0,IF((J917+K917+L917+M917)/2&gt;=80,5,IF((J917+K917+L917+M917)/2&gt;=70,4,IF((J917+K917+L917+M917)/2&gt;=60,3.5,IF((J917+K917+L917+M917)/2&gt;=50,3,IF((J917+K917+L917+M917)/2&gt;=40,2,IF((J917+K917+L917+M917)/2&gt;=33,1,0)))))))</f>
        <v/>
      </c>
      <c r="AH917">
        <f>IF(Z917,0,IF(N917+O917&gt;=80,5,IF(N917+O917&gt;=70,4,IF(N917+O917&gt;=60,3.5,IF(N917+O917&gt;=50,3,IF(N917+O917&gt;=40,2,IF(N917+O917&gt;=33,1,0)))))))</f>
        <v/>
      </c>
      <c r="AI917">
        <f>IF(AA917,0,IF(P917+Q917&gt;=80,5,IF(P917+Q917&gt;=70,4,IF(P917+Q917&gt;=60,3.5,IF(P917+Q917&gt;=50,3,IF(P917+Q917&gt;=40,2,IF(P917+Q917&gt;=33,1,0)))))))</f>
        <v/>
      </c>
      <c r="AJ917">
        <f>IF(R917&lt;8.25,0,IF(R917*2&gt;=80,5,IF(R917*2&gt;=70,4,IF(R917*2&gt;=60,3.5,IF(R917*2&gt;=50,3,IF(R917*2&gt;=40,2,IF(R917*2&gt;=33,1,0)))))))</f>
        <v/>
      </c>
      <c r="AK917">
        <f>IF(S917&lt;33,0,IF(S917&gt;=80,5,IF(S917&gt;=70,4,IF(S917&gt;=60,3.5,IF(S917&gt;=50,3,IF(S917&gt;=40,2,IF(S917&gt;=33,1,0)))))))</f>
        <v/>
      </c>
      <c r="AL917">
        <f>(AC917+AD917+AE917+AF917+AG917+AH917+AI917+AJ917)/8</f>
        <v/>
      </c>
      <c r="AM917">
        <f>IF(AK917&gt;=2,(AK917-2)/8,0)</f>
        <v/>
      </c>
    </row>
    <row r="918">
      <c r="T918">
        <f>SUM(C918:R918)</f>
        <v/>
      </c>
      <c r="U918" s="6">
        <f>ROUND(T918/11.5,2)</f>
        <v/>
      </c>
      <c r="V918" s="7">
        <f>IF(B918="","",IF(AB918,0,ROUND(AL918,2)))</f>
        <v/>
      </c>
      <c r="W918" s="7">
        <f>IF(B918="","",IF(AB918,0,MIN(5,ROUND(AL918+AM918,2))))</f>
        <v/>
      </c>
      <c r="X918" s="8">
        <f>IF(B918="","",IF(W918&gt;=5,"A+",IF(W918&gt;=4,"A",IF(W918&gt;=3.5,"A-",IF(W918&gt;=3,"B",IF(W918&gt;=2,"C",IF(W918&gt;=1,"D","F")))))))</f>
        <v/>
      </c>
      <c r="Y918">
        <f>NOT(OR(AND(J918&gt;=10,K918&gt;=23,L918&gt;=10,M918&gt;=23),AND(J918+L918&gt;=20,K918+M918&gt;=46)))</f>
        <v/>
      </c>
      <c r="Z918">
        <f>OR(N918&lt;10,O918&lt;23)</f>
        <v/>
      </c>
      <c r="AA918">
        <f>OR(P918&lt;10,Q918&lt;23)</f>
        <v/>
      </c>
      <c r="AB918">
        <f>OR((C918+D918)&lt;66,(E918+F918)&lt;66,G918&lt;33,(H918+I918)&lt;66,Y918,Z918,AA918,R918&lt;8.25)</f>
        <v/>
      </c>
      <c r="AC918">
        <f>IF(C918+D918&lt;66,0,IF((C918+D918)/2&gt;=80,5,IF((C918+D918)/2&gt;=70,4,IF((C918+D918)/2&gt;=60,3.5,IF((C918+D918)/2&gt;=50,3,IF((C918+D918)/2&gt;=40,2,IF((C918+D918)/2&gt;=33,1,0)))))))</f>
        <v/>
      </c>
      <c r="AD918">
        <f>IF(E918+F918&lt;66,0,IF((E918+F918)/2&gt;=80,5,IF((E918+F918)/2&gt;=70,4,IF((E918+F918)/2&gt;=60,3.5,IF((E918+F918)/2&gt;=50,3,IF((E918+F918)/2&gt;=40,2,IF((E918+F918)/2&gt;=33,1,0)))))))</f>
        <v/>
      </c>
      <c r="AE918">
        <f>IF(G918&lt;33,0,IF(G918&gt;=80,5,IF(G918&gt;=70,4,IF(G918&gt;=60,3.5,IF(G918&gt;=50,3,IF(G918&gt;=40,2,IF(G918&gt;=33,1,0)))))))</f>
        <v/>
      </c>
      <c r="AF918">
        <f>IF(H918+I918&lt;66,0,IF((H918+I918)/2&gt;=80,5,IF((H918+I918)/2&gt;=70,4,IF((H918+I918)/2&gt;=60,3.5,IF((H918+I918)/2&gt;=50,3,IF((H918+I918)/2&gt;=40,2,IF((H918+I918)/2&gt;=33,1,0)))))))</f>
        <v/>
      </c>
      <c r="AG918">
        <f>IF(Y918,0,IF((J918+K918+L918+M918)/2&gt;=80,5,IF((J918+K918+L918+M918)/2&gt;=70,4,IF((J918+K918+L918+M918)/2&gt;=60,3.5,IF((J918+K918+L918+M918)/2&gt;=50,3,IF((J918+K918+L918+M918)/2&gt;=40,2,IF((J918+K918+L918+M918)/2&gt;=33,1,0)))))))</f>
        <v/>
      </c>
      <c r="AH918">
        <f>IF(Z918,0,IF(N918+O918&gt;=80,5,IF(N918+O918&gt;=70,4,IF(N918+O918&gt;=60,3.5,IF(N918+O918&gt;=50,3,IF(N918+O918&gt;=40,2,IF(N918+O918&gt;=33,1,0)))))))</f>
        <v/>
      </c>
      <c r="AI918">
        <f>IF(AA918,0,IF(P918+Q918&gt;=80,5,IF(P918+Q918&gt;=70,4,IF(P918+Q918&gt;=60,3.5,IF(P918+Q918&gt;=50,3,IF(P918+Q918&gt;=40,2,IF(P918+Q918&gt;=33,1,0)))))))</f>
        <v/>
      </c>
      <c r="AJ918">
        <f>IF(R918&lt;8.25,0,IF(R918*2&gt;=80,5,IF(R918*2&gt;=70,4,IF(R918*2&gt;=60,3.5,IF(R918*2&gt;=50,3,IF(R918*2&gt;=40,2,IF(R918*2&gt;=33,1,0)))))))</f>
        <v/>
      </c>
      <c r="AK918">
        <f>IF(S918&lt;33,0,IF(S918&gt;=80,5,IF(S918&gt;=70,4,IF(S918&gt;=60,3.5,IF(S918&gt;=50,3,IF(S918&gt;=40,2,IF(S918&gt;=33,1,0)))))))</f>
        <v/>
      </c>
      <c r="AL918">
        <f>(AC918+AD918+AE918+AF918+AG918+AH918+AI918+AJ918)/8</f>
        <v/>
      </c>
      <c r="AM918">
        <f>IF(AK918&gt;=2,(AK918-2)/8,0)</f>
        <v/>
      </c>
    </row>
    <row r="919">
      <c r="T919">
        <f>SUM(C919:R919)</f>
        <v/>
      </c>
      <c r="U919" s="6">
        <f>ROUND(T919/11.5,2)</f>
        <v/>
      </c>
      <c r="V919" s="7">
        <f>IF(B919="","",IF(AB919,0,ROUND(AL919,2)))</f>
        <v/>
      </c>
      <c r="W919" s="7">
        <f>IF(B919="","",IF(AB919,0,MIN(5,ROUND(AL919+AM919,2))))</f>
        <v/>
      </c>
      <c r="X919" s="8">
        <f>IF(B919="","",IF(W919&gt;=5,"A+",IF(W919&gt;=4,"A",IF(W919&gt;=3.5,"A-",IF(W919&gt;=3,"B",IF(W919&gt;=2,"C",IF(W919&gt;=1,"D","F")))))))</f>
        <v/>
      </c>
      <c r="Y919">
        <f>NOT(OR(AND(J919&gt;=10,K919&gt;=23,L919&gt;=10,M919&gt;=23),AND(J919+L919&gt;=20,K919+M919&gt;=46)))</f>
        <v/>
      </c>
      <c r="Z919">
        <f>OR(N919&lt;10,O919&lt;23)</f>
        <v/>
      </c>
      <c r="AA919">
        <f>OR(P919&lt;10,Q919&lt;23)</f>
        <v/>
      </c>
      <c r="AB919">
        <f>OR((C919+D919)&lt;66,(E919+F919)&lt;66,G919&lt;33,(H919+I919)&lt;66,Y919,Z919,AA919,R919&lt;8.25)</f>
        <v/>
      </c>
      <c r="AC919">
        <f>IF(C919+D919&lt;66,0,IF((C919+D919)/2&gt;=80,5,IF((C919+D919)/2&gt;=70,4,IF((C919+D919)/2&gt;=60,3.5,IF((C919+D919)/2&gt;=50,3,IF((C919+D919)/2&gt;=40,2,IF((C919+D919)/2&gt;=33,1,0)))))))</f>
        <v/>
      </c>
      <c r="AD919">
        <f>IF(E919+F919&lt;66,0,IF((E919+F919)/2&gt;=80,5,IF((E919+F919)/2&gt;=70,4,IF((E919+F919)/2&gt;=60,3.5,IF((E919+F919)/2&gt;=50,3,IF((E919+F919)/2&gt;=40,2,IF((E919+F919)/2&gt;=33,1,0)))))))</f>
        <v/>
      </c>
      <c r="AE919">
        <f>IF(G919&lt;33,0,IF(G919&gt;=80,5,IF(G919&gt;=70,4,IF(G919&gt;=60,3.5,IF(G919&gt;=50,3,IF(G919&gt;=40,2,IF(G919&gt;=33,1,0)))))))</f>
        <v/>
      </c>
      <c r="AF919">
        <f>IF(H919+I919&lt;66,0,IF((H919+I919)/2&gt;=80,5,IF((H919+I919)/2&gt;=70,4,IF((H919+I919)/2&gt;=60,3.5,IF((H919+I919)/2&gt;=50,3,IF((H919+I919)/2&gt;=40,2,IF((H919+I919)/2&gt;=33,1,0)))))))</f>
        <v/>
      </c>
      <c r="AG919">
        <f>IF(Y919,0,IF((J919+K919+L919+M919)/2&gt;=80,5,IF((J919+K919+L919+M919)/2&gt;=70,4,IF((J919+K919+L919+M919)/2&gt;=60,3.5,IF((J919+K919+L919+M919)/2&gt;=50,3,IF((J919+K919+L919+M919)/2&gt;=40,2,IF((J919+K919+L919+M919)/2&gt;=33,1,0)))))))</f>
        <v/>
      </c>
      <c r="AH919">
        <f>IF(Z919,0,IF(N919+O919&gt;=80,5,IF(N919+O919&gt;=70,4,IF(N919+O919&gt;=60,3.5,IF(N919+O919&gt;=50,3,IF(N919+O919&gt;=40,2,IF(N919+O919&gt;=33,1,0)))))))</f>
        <v/>
      </c>
      <c r="AI919">
        <f>IF(AA919,0,IF(P919+Q919&gt;=80,5,IF(P919+Q919&gt;=70,4,IF(P919+Q919&gt;=60,3.5,IF(P919+Q919&gt;=50,3,IF(P919+Q919&gt;=40,2,IF(P919+Q919&gt;=33,1,0)))))))</f>
        <v/>
      </c>
      <c r="AJ919">
        <f>IF(R919&lt;8.25,0,IF(R919*2&gt;=80,5,IF(R919*2&gt;=70,4,IF(R919*2&gt;=60,3.5,IF(R919*2&gt;=50,3,IF(R919*2&gt;=40,2,IF(R919*2&gt;=33,1,0)))))))</f>
        <v/>
      </c>
      <c r="AK919">
        <f>IF(S919&lt;33,0,IF(S919&gt;=80,5,IF(S919&gt;=70,4,IF(S919&gt;=60,3.5,IF(S919&gt;=50,3,IF(S919&gt;=40,2,IF(S919&gt;=33,1,0)))))))</f>
        <v/>
      </c>
      <c r="AL919">
        <f>(AC919+AD919+AE919+AF919+AG919+AH919+AI919+AJ919)/8</f>
        <v/>
      </c>
      <c r="AM919">
        <f>IF(AK919&gt;=2,(AK919-2)/8,0)</f>
        <v/>
      </c>
    </row>
    <row r="920">
      <c r="T920">
        <f>SUM(C920:R920)</f>
        <v/>
      </c>
      <c r="U920" s="6">
        <f>ROUND(T920/11.5,2)</f>
        <v/>
      </c>
      <c r="V920" s="7">
        <f>IF(B920="","",IF(AB920,0,ROUND(AL920,2)))</f>
        <v/>
      </c>
      <c r="W920" s="7">
        <f>IF(B920="","",IF(AB920,0,MIN(5,ROUND(AL920+AM920,2))))</f>
        <v/>
      </c>
      <c r="X920" s="8">
        <f>IF(B920="","",IF(W920&gt;=5,"A+",IF(W920&gt;=4,"A",IF(W920&gt;=3.5,"A-",IF(W920&gt;=3,"B",IF(W920&gt;=2,"C",IF(W920&gt;=1,"D","F")))))))</f>
        <v/>
      </c>
      <c r="Y920">
        <f>NOT(OR(AND(J920&gt;=10,K920&gt;=23,L920&gt;=10,M920&gt;=23),AND(J920+L920&gt;=20,K920+M920&gt;=46)))</f>
        <v/>
      </c>
      <c r="Z920">
        <f>OR(N920&lt;10,O920&lt;23)</f>
        <v/>
      </c>
      <c r="AA920">
        <f>OR(P920&lt;10,Q920&lt;23)</f>
        <v/>
      </c>
      <c r="AB920">
        <f>OR((C920+D920)&lt;66,(E920+F920)&lt;66,G920&lt;33,(H920+I920)&lt;66,Y920,Z920,AA920,R920&lt;8.25)</f>
        <v/>
      </c>
      <c r="AC920">
        <f>IF(C920+D920&lt;66,0,IF((C920+D920)/2&gt;=80,5,IF((C920+D920)/2&gt;=70,4,IF((C920+D920)/2&gt;=60,3.5,IF((C920+D920)/2&gt;=50,3,IF((C920+D920)/2&gt;=40,2,IF((C920+D920)/2&gt;=33,1,0)))))))</f>
        <v/>
      </c>
      <c r="AD920">
        <f>IF(E920+F920&lt;66,0,IF((E920+F920)/2&gt;=80,5,IF((E920+F920)/2&gt;=70,4,IF((E920+F920)/2&gt;=60,3.5,IF((E920+F920)/2&gt;=50,3,IF((E920+F920)/2&gt;=40,2,IF((E920+F920)/2&gt;=33,1,0)))))))</f>
        <v/>
      </c>
      <c r="AE920">
        <f>IF(G920&lt;33,0,IF(G920&gt;=80,5,IF(G920&gt;=70,4,IF(G920&gt;=60,3.5,IF(G920&gt;=50,3,IF(G920&gt;=40,2,IF(G920&gt;=33,1,0)))))))</f>
        <v/>
      </c>
      <c r="AF920">
        <f>IF(H920+I920&lt;66,0,IF((H920+I920)/2&gt;=80,5,IF((H920+I920)/2&gt;=70,4,IF((H920+I920)/2&gt;=60,3.5,IF((H920+I920)/2&gt;=50,3,IF((H920+I920)/2&gt;=40,2,IF((H920+I920)/2&gt;=33,1,0)))))))</f>
        <v/>
      </c>
      <c r="AG920">
        <f>IF(Y920,0,IF((J920+K920+L920+M920)/2&gt;=80,5,IF((J920+K920+L920+M920)/2&gt;=70,4,IF((J920+K920+L920+M920)/2&gt;=60,3.5,IF((J920+K920+L920+M920)/2&gt;=50,3,IF((J920+K920+L920+M920)/2&gt;=40,2,IF((J920+K920+L920+M920)/2&gt;=33,1,0)))))))</f>
        <v/>
      </c>
      <c r="AH920">
        <f>IF(Z920,0,IF(N920+O920&gt;=80,5,IF(N920+O920&gt;=70,4,IF(N920+O920&gt;=60,3.5,IF(N920+O920&gt;=50,3,IF(N920+O920&gt;=40,2,IF(N920+O920&gt;=33,1,0)))))))</f>
        <v/>
      </c>
      <c r="AI920">
        <f>IF(AA920,0,IF(P920+Q920&gt;=80,5,IF(P920+Q920&gt;=70,4,IF(P920+Q920&gt;=60,3.5,IF(P920+Q920&gt;=50,3,IF(P920+Q920&gt;=40,2,IF(P920+Q920&gt;=33,1,0)))))))</f>
        <v/>
      </c>
      <c r="AJ920">
        <f>IF(R920&lt;8.25,0,IF(R920*2&gt;=80,5,IF(R920*2&gt;=70,4,IF(R920*2&gt;=60,3.5,IF(R920*2&gt;=50,3,IF(R920*2&gt;=40,2,IF(R920*2&gt;=33,1,0)))))))</f>
        <v/>
      </c>
      <c r="AK920">
        <f>IF(S920&lt;33,0,IF(S920&gt;=80,5,IF(S920&gt;=70,4,IF(S920&gt;=60,3.5,IF(S920&gt;=50,3,IF(S920&gt;=40,2,IF(S920&gt;=33,1,0)))))))</f>
        <v/>
      </c>
      <c r="AL920">
        <f>(AC920+AD920+AE920+AF920+AG920+AH920+AI920+AJ920)/8</f>
        <v/>
      </c>
      <c r="AM920">
        <f>IF(AK920&gt;=2,(AK920-2)/8,0)</f>
        <v/>
      </c>
    </row>
    <row r="921">
      <c r="T921">
        <f>SUM(C921:R921)</f>
        <v/>
      </c>
      <c r="U921" s="6">
        <f>ROUND(T921/11.5,2)</f>
        <v/>
      </c>
      <c r="V921" s="7">
        <f>IF(B921="","",IF(AB921,0,ROUND(AL921,2)))</f>
        <v/>
      </c>
      <c r="W921" s="7">
        <f>IF(B921="","",IF(AB921,0,MIN(5,ROUND(AL921+AM921,2))))</f>
        <v/>
      </c>
      <c r="X921" s="8">
        <f>IF(B921="","",IF(W921&gt;=5,"A+",IF(W921&gt;=4,"A",IF(W921&gt;=3.5,"A-",IF(W921&gt;=3,"B",IF(W921&gt;=2,"C",IF(W921&gt;=1,"D","F")))))))</f>
        <v/>
      </c>
      <c r="Y921">
        <f>NOT(OR(AND(J921&gt;=10,K921&gt;=23,L921&gt;=10,M921&gt;=23),AND(J921+L921&gt;=20,K921+M921&gt;=46)))</f>
        <v/>
      </c>
      <c r="Z921">
        <f>OR(N921&lt;10,O921&lt;23)</f>
        <v/>
      </c>
      <c r="AA921">
        <f>OR(P921&lt;10,Q921&lt;23)</f>
        <v/>
      </c>
      <c r="AB921">
        <f>OR((C921+D921)&lt;66,(E921+F921)&lt;66,G921&lt;33,(H921+I921)&lt;66,Y921,Z921,AA921,R921&lt;8.25)</f>
        <v/>
      </c>
      <c r="AC921">
        <f>IF(C921+D921&lt;66,0,IF((C921+D921)/2&gt;=80,5,IF((C921+D921)/2&gt;=70,4,IF((C921+D921)/2&gt;=60,3.5,IF((C921+D921)/2&gt;=50,3,IF((C921+D921)/2&gt;=40,2,IF((C921+D921)/2&gt;=33,1,0)))))))</f>
        <v/>
      </c>
      <c r="AD921">
        <f>IF(E921+F921&lt;66,0,IF((E921+F921)/2&gt;=80,5,IF((E921+F921)/2&gt;=70,4,IF((E921+F921)/2&gt;=60,3.5,IF((E921+F921)/2&gt;=50,3,IF((E921+F921)/2&gt;=40,2,IF((E921+F921)/2&gt;=33,1,0)))))))</f>
        <v/>
      </c>
      <c r="AE921">
        <f>IF(G921&lt;33,0,IF(G921&gt;=80,5,IF(G921&gt;=70,4,IF(G921&gt;=60,3.5,IF(G921&gt;=50,3,IF(G921&gt;=40,2,IF(G921&gt;=33,1,0)))))))</f>
        <v/>
      </c>
      <c r="AF921">
        <f>IF(H921+I921&lt;66,0,IF((H921+I921)/2&gt;=80,5,IF((H921+I921)/2&gt;=70,4,IF((H921+I921)/2&gt;=60,3.5,IF((H921+I921)/2&gt;=50,3,IF((H921+I921)/2&gt;=40,2,IF((H921+I921)/2&gt;=33,1,0)))))))</f>
        <v/>
      </c>
      <c r="AG921">
        <f>IF(Y921,0,IF((J921+K921+L921+M921)/2&gt;=80,5,IF((J921+K921+L921+M921)/2&gt;=70,4,IF((J921+K921+L921+M921)/2&gt;=60,3.5,IF((J921+K921+L921+M921)/2&gt;=50,3,IF((J921+K921+L921+M921)/2&gt;=40,2,IF((J921+K921+L921+M921)/2&gt;=33,1,0)))))))</f>
        <v/>
      </c>
      <c r="AH921">
        <f>IF(Z921,0,IF(N921+O921&gt;=80,5,IF(N921+O921&gt;=70,4,IF(N921+O921&gt;=60,3.5,IF(N921+O921&gt;=50,3,IF(N921+O921&gt;=40,2,IF(N921+O921&gt;=33,1,0)))))))</f>
        <v/>
      </c>
      <c r="AI921">
        <f>IF(AA921,0,IF(P921+Q921&gt;=80,5,IF(P921+Q921&gt;=70,4,IF(P921+Q921&gt;=60,3.5,IF(P921+Q921&gt;=50,3,IF(P921+Q921&gt;=40,2,IF(P921+Q921&gt;=33,1,0)))))))</f>
        <v/>
      </c>
      <c r="AJ921">
        <f>IF(R921&lt;8.25,0,IF(R921*2&gt;=80,5,IF(R921*2&gt;=70,4,IF(R921*2&gt;=60,3.5,IF(R921*2&gt;=50,3,IF(R921*2&gt;=40,2,IF(R921*2&gt;=33,1,0)))))))</f>
        <v/>
      </c>
      <c r="AK921">
        <f>IF(S921&lt;33,0,IF(S921&gt;=80,5,IF(S921&gt;=70,4,IF(S921&gt;=60,3.5,IF(S921&gt;=50,3,IF(S921&gt;=40,2,IF(S921&gt;=33,1,0)))))))</f>
        <v/>
      </c>
      <c r="AL921">
        <f>(AC921+AD921+AE921+AF921+AG921+AH921+AI921+AJ921)/8</f>
        <v/>
      </c>
      <c r="AM921">
        <f>IF(AK921&gt;=2,(AK921-2)/8,0)</f>
        <v/>
      </c>
    </row>
    <row r="922">
      <c r="T922">
        <f>SUM(C922:R922)</f>
        <v/>
      </c>
      <c r="U922" s="6">
        <f>ROUND(T922/11.5,2)</f>
        <v/>
      </c>
      <c r="V922" s="7">
        <f>IF(B922="","",IF(AB922,0,ROUND(AL922,2)))</f>
        <v/>
      </c>
      <c r="W922" s="7">
        <f>IF(B922="","",IF(AB922,0,MIN(5,ROUND(AL922+AM922,2))))</f>
        <v/>
      </c>
      <c r="X922" s="8">
        <f>IF(B922="","",IF(W922&gt;=5,"A+",IF(W922&gt;=4,"A",IF(W922&gt;=3.5,"A-",IF(W922&gt;=3,"B",IF(W922&gt;=2,"C",IF(W922&gt;=1,"D","F")))))))</f>
        <v/>
      </c>
      <c r="Y922">
        <f>NOT(OR(AND(J922&gt;=10,K922&gt;=23,L922&gt;=10,M922&gt;=23),AND(J922+L922&gt;=20,K922+M922&gt;=46)))</f>
        <v/>
      </c>
      <c r="Z922">
        <f>OR(N922&lt;10,O922&lt;23)</f>
        <v/>
      </c>
      <c r="AA922">
        <f>OR(P922&lt;10,Q922&lt;23)</f>
        <v/>
      </c>
      <c r="AB922">
        <f>OR((C922+D922)&lt;66,(E922+F922)&lt;66,G922&lt;33,(H922+I922)&lt;66,Y922,Z922,AA922,R922&lt;8.25)</f>
        <v/>
      </c>
      <c r="AC922">
        <f>IF(C922+D922&lt;66,0,IF((C922+D922)/2&gt;=80,5,IF((C922+D922)/2&gt;=70,4,IF((C922+D922)/2&gt;=60,3.5,IF((C922+D922)/2&gt;=50,3,IF((C922+D922)/2&gt;=40,2,IF((C922+D922)/2&gt;=33,1,0)))))))</f>
        <v/>
      </c>
      <c r="AD922">
        <f>IF(E922+F922&lt;66,0,IF((E922+F922)/2&gt;=80,5,IF((E922+F922)/2&gt;=70,4,IF((E922+F922)/2&gt;=60,3.5,IF((E922+F922)/2&gt;=50,3,IF((E922+F922)/2&gt;=40,2,IF((E922+F922)/2&gt;=33,1,0)))))))</f>
        <v/>
      </c>
      <c r="AE922">
        <f>IF(G922&lt;33,0,IF(G922&gt;=80,5,IF(G922&gt;=70,4,IF(G922&gt;=60,3.5,IF(G922&gt;=50,3,IF(G922&gt;=40,2,IF(G922&gt;=33,1,0)))))))</f>
        <v/>
      </c>
      <c r="AF922">
        <f>IF(H922+I922&lt;66,0,IF((H922+I922)/2&gt;=80,5,IF((H922+I922)/2&gt;=70,4,IF((H922+I922)/2&gt;=60,3.5,IF((H922+I922)/2&gt;=50,3,IF((H922+I922)/2&gt;=40,2,IF((H922+I922)/2&gt;=33,1,0)))))))</f>
        <v/>
      </c>
      <c r="AG922">
        <f>IF(Y922,0,IF((J922+K922+L922+M922)/2&gt;=80,5,IF((J922+K922+L922+M922)/2&gt;=70,4,IF((J922+K922+L922+M922)/2&gt;=60,3.5,IF((J922+K922+L922+M922)/2&gt;=50,3,IF((J922+K922+L922+M922)/2&gt;=40,2,IF((J922+K922+L922+M922)/2&gt;=33,1,0)))))))</f>
        <v/>
      </c>
      <c r="AH922">
        <f>IF(Z922,0,IF(N922+O922&gt;=80,5,IF(N922+O922&gt;=70,4,IF(N922+O922&gt;=60,3.5,IF(N922+O922&gt;=50,3,IF(N922+O922&gt;=40,2,IF(N922+O922&gt;=33,1,0)))))))</f>
        <v/>
      </c>
      <c r="AI922">
        <f>IF(AA922,0,IF(P922+Q922&gt;=80,5,IF(P922+Q922&gt;=70,4,IF(P922+Q922&gt;=60,3.5,IF(P922+Q922&gt;=50,3,IF(P922+Q922&gt;=40,2,IF(P922+Q922&gt;=33,1,0)))))))</f>
        <v/>
      </c>
      <c r="AJ922">
        <f>IF(R922&lt;8.25,0,IF(R922*2&gt;=80,5,IF(R922*2&gt;=70,4,IF(R922*2&gt;=60,3.5,IF(R922*2&gt;=50,3,IF(R922*2&gt;=40,2,IF(R922*2&gt;=33,1,0)))))))</f>
        <v/>
      </c>
      <c r="AK922">
        <f>IF(S922&lt;33,0,IF(S922&gt;=80,5,IF(S922&gt;=70,4,IF(S922&gt;=60,3.5,IF(S922&gt;=50,3,IF(S922&gt;=40,2,IF(S922&gt;=33,1,0)))))))</f>
        <v/>
      </c>
      <c r="AL922">
        <f>(AC922+AD922+AE922+AF922+AG922+AH922+AI922+AJ922)/8</f>
        <v/>
      </c>
      <c r="AM922">
        <f>IF(AK922&gt;=2,(AK922-2)/8,0)</f>
        <v/>
      </c>
    </row>
    <row r="923">
      <c r="T923">
        <f>SUM(C923:R923)</f>
        <v/>
      </c>
      <c r="U923" s="6">
        <f>ROUND(T923/11.5,2)</f>
        <v/>
      </c>
      <c r="V923" s="7">
        <f>IF(B923="","",IF(AB923,0,ROUND(AL923,2)))</f>
        <v/>
      </c>
      <c r="W923" s="7">
        <f>IF(B923="","",IF(AB923,0,MIN(5,ROUND(AL923+AM923,2))))</f>
        <v/>
      </c>
      <c r="X923" s="8">
        <f>IF(B923="","",IF(W923&gt;=5,"A+",IF(W923&gt;=4,"A",IF(W923&gt;=3.5,"A-",IF(W923&gt;=3,"B",IF(W923&gt;=2,"C",IF(W923&gt;=1,"D","F")))))))</f>
        <v/>
      </c>
      <c r="Y923">
        <f>NOT(OR(AND(J923&gt;=10,K923&gt;=23,L923&gt;=10,M923&gt;=23),AND(J923+L923&gt;=20,K923+M923&gt;=46)))</f>
        <v/>
      </c>
      <c r="Z923">
        <f>OR(N923&lt;10,O923&lt;23)</f>
        <v/>
      </c>
      <c r="AA923">
        <f>OR(P923&lt;10,Q923&lt;23)</f>
        <v/>
      </c>
      <c r="AB923">
        <f>OR((C923+D923)&lt;66,(E923+F923)&lt;66,G923&lt;33,(H923+I923)&lt;66,Y923,Z923,AA923,R923&lt;8.25)</f>
        <v/>
      </c>
      <c r="AC923">
        <f>IF(C923+D923&lt;66,0,IF((C923+D923)/2&gt;=80,5,IF((C923+D923)/2&gt;=70,4,IF((C923+D923)/2&gt;=60,3.5,IF((C923+D923)/2&gt;=50,3,IF((C923+D923)/2&gt;=40,2,IF((C923+D923)/2&gt;=33,1,0)))))))</f>
        <v/>
      </c>
      <c r="AD923">
        <f>IF(E923+F923&lt;66,0,IF((E923+F923)/2&gt;=80,5,IF((E923+F923)/2&gt;=70,4,IF((E923+F923)/2&gt;=60,3.5,IF((E923+F923)/2&gt;=50,3,IF((E923+F923)/2&gt;=40,2,IF((E923+F923)/2&gt;=33,1,0)))))))</f>
        <v/>
      </c>
      <c r="AE923">
        <f>IF(G923&lt;33,0,IF(G923&gt;=80,5,IF(G923&gt;=70,4,IF(G923&gt;=60,3.5,IF(G923&gt;=50,3,IF(G923&gt;=40,2,IF(G923&gt;=33,1,0)))))))</f>
        <v/>
      </c>
      <c r="AF923">
        <f>IF(H923+I923&lt;66,0,IF((H923+I923)/2&gt;=80,5,IF((H923+I923)/2&gt;=70,4,IF((H923+I923)/2&gt;=60,3.5,IF((H923+I923)/2&gt;=50,3,IF((H923+I923)/2&gt;=40,2,IF((H923+I923)/2&gt;=33,1,0)))))))</f>
        <v/>
      </c>
      <c r="AG923">
        <f>IF(Y923,0,IF((J923+K923+L923+M923)/2&gt;=80,5,IF((J923+K923+L923+M923)/2&gt;=70,4,IF((J923+K923+L923+M923)/2&gt;=60,3.5,IF((J923+K923+L923+M923)/2&gt;=50,3,IF((J923+K923+L923+M923)/2&gt;=40,2,IF((J923+K923+L923+M923)/2&gt;=33,1,0)))))))</f>
        <v/>
      </c>
      <c r="AH923">
        <f>IF(Z923,0,IF(N923+O923&gt;=80,5,IF(N923+O923&gt;=70,4,IF(N923+O923&gt;=60,3.5,IF(N923+O923&gt;=50,3,IF(N923+O923&gt;=40,2,IF(N923+O923&gt;=33,1,0)))))))</f>
        <v/>
      </c>
      <c r="AI923">
        <f>IF(AA923,0,IF(P923+Q923&gt;=80,5,IF(P923+Q923&gt;=70,4,IF(P923+Q923&gt;=60,3.5,IF(P923+Q923&gt;=50,3,IF(P923+Q923&gt;=40,2,IF(P923+Q923&gt;=33,1,0)))))))</f>
        <v/>
      </c>
      <c r="AJ923">
        <f>IF(R923&lt;8.25,0,IF(R923*2&gt;=80,5,IF(R923*2&gt;=70,4,IF(R923*2&gt;=60,3.5,IF(R923*2&gt;=50,3,IF(R923*2&gt;=40,2,IF(R923*2&gt;=33,1,0)))))))</f>
        <v/>
      </c>
      <c r="AK923">
        <f>IF(S923&lt;33,0,IF(S923&gt;=80,5,IF(S923&gt;=70,4,IF(S923&gt;=60,3.5,IF(S923&gt;=50,3,IF(S923&gt;=40,2,IF(S923&gt;=33,1,0)))))))</f>
        <v/>
      </c>
      <c r="AL923">
        <f>(AC923+AD923+AE923+AF923+AG923+AH923+AI923+AJ923)/8</f>
        <v/>
      </c>
      <c r="AM923">
        <f>IF(AK923&gt;=2,(AK923-2)/8,0)</f>
        <v/>
      </c>
    </row>
    <row r="924">
      <c r="T924">
        <f>SUM(C924:R924)</f>
        <v/>
      </c>
      <c r="U924" s="6">
        <f>ROUND(T924/11.5,2)</f>
        <v/>
      </c>
      <c r="V924" s="7">
        <f>IF(B924="","",IF(AB924,0,ROUND(AL924,2)))</f>
        <v/>
      </c>
      <c r="W924" s="7">
        <f>IF(B924="","",IF(AB924,0,MIN(5,ROUND(AL924+AM924,2))))</f>
        <v/>
      </c>
      <c r="X924" s="8">
        <f>IF(B924="","",IF(W924&gt;=5,"A+",IF(W924&gt;=4,"A",IF(W924&gt;=3.5,"A-",IF(W924&gt;=3,"B",IF(W924&gt;=2,"C",IF(W924&gt;=1,"D","F")))))))</f>
        <v/>
      </c>
      <c r="Y924">
        <f>NOT(OR(AND(J924&gt;=10,K924&gt;=23,L924&gt;=10,M924&gt;=23),AND(J924+L924&gt;=20,K924+M924&gt;=46)))</f>
        <v/>
      </c>
      <c r="Z924">
        <f>OR(N924&lt;10,O924&lt;23)</f>
        <v/>
      </c>
      <c r="AA924">
        <f>OR(P924&lt;10,Q924&lt;23)</f>
        <v/>
      </c>
      <c r="AB924">
        <f>OR((C924+D924)&lt;66,(E924+F924)&lt;66,G924&lt;33,(H924+I924)&lt;66,Y924,Z924,AA924,R924&lt;8.25)</f>
        <v/>
      </c>
      <c r="AC924">
        <f>IF(C924+D924&lt;66,0,IF((C924+D924)/2&gt;=80,5,IF((C924+D924)/2&gt;=70,4,IF((C924+D924)/2&gt;=60,3.5,IF((C924+D924)/2&gt;=50,3,IF((C924+D924)/2&gt;=40,2,IF((C924+D924)/2&gt;=33,1,0)))))))</f>
        <v/>
      </c>
      <c r="AD924">
        <f>IF(E924+F924&lt;66,0,IF((E924+F924)/2&gt;=80,5,IF((E924+F924)/2&gt;=70,4,IF((E924+F924)/2&gt;=60,3.5,IF((E924+F924)/2&gt;=50,3,IF((E924+F924)/2&gt;=40,2,IF((E924+F924)/2&gt;=33,1,0)))))))</f>
        <v/>
      </c>
      <c r="AE924">
        <f>IF(G924&lt;33,0,IF(G924&gt;=80,5,IF(G924&gt;=70,4,IF(G924&gt;=60,3.5,IF(G924&gt;=50,3,IF(G924&gt;=40,2,IF(G924&gt;=33,1,0)))))))</f>
        <v/>
      </c>
      <c r="AF924">
        <f>IF(H924+I924&lt;66,0,IF((H924+I924)/2&gt;=80,5,IF((H924+I924)/2&gt;=70,4,IF((H924+I924)/2&gt;=60,3.5,IF((H924+I924)/2&gt;=50,3,IF((H924+I924)/2&gt;=40,2,IF((H924+I924)/2&gt;=33,1,0)))))))</f>
        <v/>
      </c>
      <c r="AG924">
        <f>IF(Y924,0,IF((J924+K924+L924+M924)/2&gt;=80,5,IF((J924+K924+L924+M924)/2&gt;=70,4,IF((J924+K924+L924+M924)/2&gt;=60,3.5,IF((J924+K924+L924+M924)/2&gt;=50,3,IF((J924+K924+L924+M924)/2&gt;=40,2,IF((J924+K924+L924+M924)/2&gt;=33,1,0)))))))</f>
        <v/>
      </c>
      <c r="AH924">
        <f>IF(Z924,0,IF(N924+O924&gt;=80,5,IF(N924+O924&gt;=70,4,IF(N924+O924&gt;=60,3.5,IF(N924+O924&gt;=50,3,IF(N924+O924&gt;=40,2,IF(N924+O924&gt;=33,1,0)))))))</f>
        <v/>
      </c>
      <c r="AI924">
        <f>IF(AA924,0,IF(P924+Q924&gt;=80,5,IF(P924+Q924&gt;=70,4,IF(P924+Q924&gt;=60,3.5,IF(P924+Q924&gt;=50,3,IF(P924+Q924&gt;=40,2,IF(P924+Q924&gt;=33,1,0)))))))</f>
        <v/>
      </c>
      <c r="AJ924">
        <f>IF(R924&lt;8.25,0,IF(R924*2&gt;=80,5,IF(R924*2&gt;=70,4,IF(R924*2&gt;=60,3.5,IF(R924*2&gt;=50,3,IF(R924*2&gt;=40,2,IF(R924*2&gt;=33,1,0)))))))</f>
        <v/>
      </c>
      <c r="AK924">
        <f>IF(S924&lt;33,0,IF(S924&gt;=80,5,IF(S924&gt;=70,4,IF(S924&gt;=60,3.5,IF(S924&gt;=50,3,IF(S924&gt;=40,2,IF(S924&gt;=33,1,0)))))))</f>
        <v/>
      </c>
      <c r="AL924">
        <f>(AC924+AD924+AE924+AF924+AG924+AH924+AI924+AJ924)/8</f>
        <v/>
      </c>
      <c r="AM924">
        <f>IF(AK924&gt;=2,(AK924-2)/8,0)</f>
        <v/>
      </c>
    </row>
    <row r="925">
      <c r="T925">
        <f>SUM(C925:R925)</f>
        <v/>
      </c>
      <c r="U925" s="6">
        <f>ROUND(T925/11.5,2)</f>
        <v/>
      </c>
      <c r="V925" s="7">
        <f>IF(B925="","",IF(AB925,0,ROUND(AL925,2)))</f>
        <v/>
      </c>
      <c r="W925" s="7">
        <f>IF(B925="","",IF(AB925,0,MIN(5,ROUND(AL925+AM925,2))))</f>
        <v/>
      </c>
      <c r="X925" s="8">
        <f>IF(B925="","",IF(W925&gt;=5,"A+",IF(W925&gt;=4,"A",IF(W925&gt;=3.5,"A-",IF(W925&gt;=3,"B",IF(W925&gt;=2,"C",IF(W925&gt;=1,"D","F")))))))</f>
        <v/>
      </c>
      <c r="Y925">
        <f>NOT(OR(AND(J925&gt;=10,K925&gt;=23,L925&gt;=10,M925&gt;=23),AND(J925+L925&gt;=20,K925+M925&gt;=46)))</f>
        <v/>
      </c>
      <c r="Z925">
        <f>OR(N925&lt;10,O925&lt;23)</f>
        <v/>
      </c>
      <c r="AA925">
        <f>OR(P925&lt;10,Q925&lt;23)</f>
        <v/>
      </c>
      <c r="AB925">
        <f>OR((C925+D925)&lt;66,(E925+F925)&lt;66,G925&lt;33,(H925+I925)&lt;66,Y925,Z925,AA925,R925&lt;8.25)</f>
        <v/>
      </c>
      <c r="AC925">
        <f>IF(C925+D925&lt;66,0,IF((C925+D925)/2&gt;=80,5,IF((C925+D925)/2&gt;=70,4,IF((C925+D925)/2&gt;=60,3.5,IF((C925+D925)/2&gt;=50,3,IF((C925+D925)/2&gt;=40,2,IF((C925+D925)/2&gt;=33,1,0)))))))</f>
        <v/>
      </c>
      <c r="AD925">
        <f>IF(E925+F925&lt;66,0,IF((E925+F925)/2&gt;=80,5,IF((E925+F925)/2&gt;=70,4,IF((E925+F925)/2&gt;=60,3.5,IF((E925+F925)/2&gt;=50,3,IF((E925+F925)/2&gt;=40,2,IF((E925+F925)/2&gt;=33,1,0)))))))</f>
        <v/>
      </c>
      <c r="AE925">
        <f>IF(G925&lt;33,0,IF(G925&gt;=80,5,IF(G925&gt;=70,4,IF(G925&gt;=60,3.5,IF(G925&gt;=50,3,IF(G925&gt;=40,2,IF(G925&gt;=33,1,0)))))))</f>
        <v/>
      </c>
      <c r="AF925">
        <f>IF(H925+I925&lt;66,0,IF((H925+I925)/2&gt;=80,5,IF((H925+I925)/2&gt;=70,4,IF((H925+I925)/2&gt;=60,3.5,IF((H925+I925)/2&gt;=50,3,IF((H925+I925)/2&gt;=40,2,IF((H925+I925)/2&gt;=33,1,0)))))))</f>
        <v/>
      </c>
      <c r="AG925">
        <f>IF(Y925,0,IF((J925+K925+L925+M925)/2&gt;=80,5,IF((J925+K925+L925+M925)/2&gt;=70,4,IF((J925+K925+L925+M925)/2&gt;=60,3.5,IF((J925+K925+L925+M925)/2&gt;=50,3,IF((J925+K925+L925+M925)/2&gt;=40,2,IF((J925+K925+L925+M925)/2&gt;=33,1,0)))))))</f>
        <v/>
      </c>
      <c r="AH925">
        <f>IF(Z925,0,IF(N925+O925&gt;=80,5,IF(N925+O925&gt;=70,4,IF(N925+O925&gt;=60,3.5,IF(N925+O925&gt;=50,3,IF(N925+O925&gt;=40,2,IF(N925+O925&gt;=33,1,0)))))))</f>
        <v/>
      </c>
      <c r="AI925">
        <f>IF(AA925,0,IF(P925+Q925&gt;=80,5,IF(P925+Q925&gt;=70,4,IF(P925+Q925&gt;=60,3.5,IF(P925+Q925&gt;=50,3,IF(P925+Q925&gt;=40,2,IF(P925+Q925&gt;=33,1,0)))))))</f>
        <v/>
      </c>
      <c r="AJ925">
        <f>IF(R925&lt;8.25,0,IF(R925*2&gt;=80,5,IF(R925*2&gt;=70,4,IF(R925*2&gt;=60,3.5,IF(R925*2&gt;=50,3,IF(R925*2&gt;=40,2,IF(R925*2&gt;=33,1,0)))))))</f>
        <v/>
      </c>
      <c r="AK925">
        <f>IF(S925&lt;33,0,IF(S925&gt;=80,5,IF(S925&gt;=70,4,IF(S925&gt;=60,3.5,IF(S925&gt;=50,3,IF(S925&gt;=40,2,IF(S925&gt;=33,1,0)))))))</f>
        <v/>
      </c>
      <c r="AL925">
        <f>(AC925+AD925+AE925+AF925+AG925+AH925+AI925+AJ925)/8</f>
        <v/>
      </c>
      <c r="AM925">
        <f>IF(AK925&gt;=2,(AK925-2)/8,0)</f>
        <v/>
      </c>
    </row>
    <row r="926">
      <c r="T926">
        <f>SUM(C926:R926)</f>
        <v/>
      </c>
      <c r="U926" s="6">
        <f>ROUND(T926/11.5,2)</f>
        <v/>
      </c>
      <c r="V926" s="7">
        <f>IF(B926="","",IF(AB926,0,ROUND(AL926,2)))</f>
        <v/>
      </c>
      <c r="W926" s="7">
        <f>IF(B926="","",IF(AB926,0,MIN(5,ROUND(AL926+AM926,2))))</f>
        <v/>
      </c>
      <c r="X926" s="8">
        <f>IF(B926="","",IF(W926&gt;=5,"A+",IF(W926&gt;=4,"A",IF(W926&gt;=3.5,"A-",IF(W926&gt;=3,"B",IF(W926&gt;=2,"C",IF(W926&gt;=1,"D","F")))))))</f>
        <v/>
      </c>
      <c r="Y926">
        <f>NOT(OR(AND(J926&gt;=10,K926&gt;=23,L926&gt;=10,M926&gt;=23),AND(J926+L926&gt;=20,K926+M926&gt;=46)))</f>
        <v/>
      </c>
      <c r="Z926">
        <f>OR(N926&lt;10,O926&lt;23)</f>
        <v/>
      </c>
      <c r="AA926">
        <f>OR(P926&lt;10,Q926&lt;23)</f>
        <v/>
      </c>
      <c r="AB926">
        <f>OR((C926+D926)&lt;66,(E926+F926)&lt;66,G926&lt;33,(H926+I926)&lt;66,Y926,Z926,AA926,R926&lt;8.25)</f>
        <v/>
      </c>
      <c r="AC926">
        <f>IF(C926+D926&lt;66,0,IF((C926+D926)/2&gt;=80,5,IF((C926+D926)/2&gt;=70,4,IF((C926+D926)/2&gt;=60,3.5,IF((C926+D926)/2&gt;=50,3,IF((C926+D926)/2&gt;=40,2,IF((C926+D926)/2&gt;=33,1,0)))))))</f>
        <v/>
      </c>
      <c r="AD926">
        <f>IF(E926+F926&lt;66,0,IF((E926+F926)/2&gt;=80,5,IF((E926+F926)/2&gt;=70,4,IF((E926+F926)/2&gt;=60,3.5,IF((E926+F926)/2&gt;=50,3,IF((E926+F926)/2&gt;=40,2,IF((E926+F926)/2&gt;=33,1,0)))))))</f>
        <v/>
      </c>
      <c r="AE926">
        <f>IF(G926&lt;33,0,IF(G926&gt;=80,5,IF(G926&gt;=70,4,IF(G926&gt;=60,3.5,IF(G926&gt;=50,3,IF(G926&gt;=40,2,IF(G926&gt;=33,1,0)))))))</f>
        <v/>
      </c>
      <c r="AF926">
        <f>IF(H926+I926&lt;66,0,IF((H926+I926)/2&gt;=80,5,IF((H926+I926)/2&gt;=70,4,IF((H926+I926)/2&gt;=60,3.5,IF((H926+I926)/2&gt;=50,3,IF((H926+I926)/2&gt;=40,2,IF((H926+I926)/2&gt;=33,1,0)))))))</f>
        <v/>
      </c>
      <c r="AG926">
        <f>IF(Y926,0,IF((J926+K926+L926+M926)/2&gt;=80,5,IF((J926+K926+L926+M926)/2&gt;=70,4,IF((J926+K926+L926+M926)/2&gt;=60,3.5,IF((J926+K926+L926+M926)/2&gt;=50,3,IF((J926+K926+L926+M926)/2&gt;=40,2,IF((J926+K926+L926+M926)/2&gt;=33,1,0)))))))</f>
        <v/>
      </c>
      <c r="AH926">
        <f>IF(Z926,0,IF(N926+O926&gt;=80,5,IF(N926+O926&gt;=70,4,IF(N926+O926&gt;=60,3.5,IF(N926+O926&gt;=50,3,IF(N926+O926&gt;=40,2,IF(N926+O926&gt;=33,1,0)))))))</f>
        <v/>
      </c>
      <c r="AI926">
        <f>IF(AA926,0,IF(P926+Q926&gt;=80,5,IF(P926+Q926&gt;=70,4,IF(P926+Q926&gt;=60,3.5,IF(P926+Q926&gt;=50,3,IF(P926+Q926&gt;=40,2,IF(P926+Q926&gt;=33,1,0)))))))</f>
        <v/>
      </c>
      <c r="AJ926">
        <f>IF(R926&lt;8.25,0,IF(R926*2&gt;=80,5,IF(R926*2&gt;=70,4,IF(R926*2&gt;=60,3.5,IF(R926*2&gt;=50,3,IF(R926*2&gt;=40,2,IF(R926*2&gt;=33,1,0)))))))</f>
        <v/>
      </c>
      <c r="AK926">
        <f>IF(S926&lt;33,0,IF(S926&gt;=80,5,IF(S926&gt;=70,4,IF(S926&gt;=60,3.5,IF(S926&gt;=50,3,IF(S926&gt;=40,2,IF(S926&gt;=33,1,0)))))))</f>
        <v/>
      </c>
      <c r="AL926">
        <f>(AC926+AD926+AE926+AF926+AG926+AH926+AI926+AJ926)/8</f>
        <v/>
      </c>
      <c r="AM926">
        <f>IF(AK926&gt;=2,(AK926-2)/8,0)</f>
        <v/>
      </c>
    </row>
    <row r="927">
      <c r="T927">
        <f>SUM(C927:R927)</f>
        <v/>
      </c>
      <c r="U927" s="6">
        <f>ROUND(T927/11.5,2)</f>
        <v/>
      </c>
      <c r="V927" s="7">
        <f>IF(B927="","",IF(AB927,0,ROUND(AL927,2)))</f>
        <v/>
      </c>
      <c r="W927" s="7">
        <f>IF(B927="","",IF(AB927,0,MIN(5,ROUND(AL927+AM927,2))))</f>
        <v/>
      </c>
      <c r="X927" s="8">
        <f>IF(B927="","",IF(W927&gt;=5,"A+",IF(W927&gt;=4,"A",IF(W927&gt;=3.5,"A-",IF(W927&gt;=3,"B",IF(W927&gt;=2,"C",IF(W927&gt;=1,"D","F")))))))</f>
        <v/>
      </c>
      <c r="Y927">
        <f>NOT(OR(AND(J927&gt;=10,K927&gt;=23,L927&gt;=10,M927&gt;=23),AND(J927+L927&gt;=20,K927+M927&gt;=46)))</f>
        <v/>
      </c>
      <c r="Z927">
        <f>OR(N927&lt;10,O927&lt;23)</f>
        <v/>
      </c>
      <c r="AA927">
        <f>OR(P927&lt;10,Q927&lt;23)</f>
        <v/>
      </c>
      <c r="AB927">
        <f>OR((C927+D927)&lt;66,(E927+F927)&lt;66,G927&lt;33,(H927+I927)&lt;66,Y927,Z927,AA927,R927&lt;8.25)</f>
        <v/>
      </c>
      <c r="AC927">
        <f>IF(C927+D927&lt;66,0,IF((C927+D927)/2&gt;=80,5,IF((C927+D927)/2&gt;=70,4,IF((C927+D927)/2&gt;=60,3.5,IF((C927+D927)/2&gt;=50,3,IF((C927+D927)/2&gt;=40,2,IF((C927+D927)/2&gt;=33,1,0)))))))</f>
        <v/>
      </c>
      <c r="AD927">
        <f>IF(E927+F927&lt;66,0,IF((E927+F927)/2&gt;=80,5,IF((E927+F927)/2&gt;=70,4,IF((E927+F927)/2&gt;=60,3.5,IF((E927+F927)/2&gt;=50,3,IF((E927+F927)/2&gt;=40,2,IF((E927+F927)/2&gt;=33,1,0)))))))</f>
        <v/>
      </c>
      <c r="AE927">
        <f>IF(G927&lt;33,0,IF(G927&gt;=80,5,IF(G927&gt;=70,4,IF(G927&gt;=60,3.5,IF(G927&gt;=50,3,IF(G927&gt;=40,2,IF(G927&gt;=33,1,0)))))))</f>
        <v/>
      </c>
      <c r="AF927">
        <f>IF(H927+I927&lt;66,0,IF((H927+I927)/2&gt;=80,5,IF((H927+I927)/2&gt;=70,4,IF((H927+I927)/2&gt;=60,3.5,IF((H927+I927)/2&gt;=50,3,IF((H927+I927)/2&gt;=40,2,IF((H927+I927)/2&gt;=33,1,0)))))))</f>
        <v/>
      </c>
      <c r="AG927">
        <f>IF(Y927,0,IF((J927+K927+L927+M927)/2&gt;=80,5,IF((J927+K927+L927+M927)/2&gt;=70,4,IF((J927+K927+L927+M927)/2&gt;=60,3.5,IF((J927+K927+L927+M927)/2&gt;=50,3,IF((J927+K927+L927+M927)/2&gt;=40,2,IF((J927+K927+L927+M927)/2&gt;=33,1,0)))))))</f>
        <v/>
      </c>
      <c r="AH927">
        <f>IF(Z927,0,IF(N927+O927&gt;=80,5,IF(N927+O927&gt;=70,4,IF(N927+O927&gt;=60,3.5,IF(N927+O927&gt;=50,3,IF(N927+O927&gt;=40,2,IF(N927+O927&gt;=33,1,0)))))))</f>
        <v/>
      </c>
      <c r="AI927">
        <f>IF(AA927,0,IF(P927+Q927&gt;=80,5,IF(P927+Q927&gt;=70,4,IF(P927+Q927&gt;=60,3.5,IF(P927+Q927&gt;=50,3,IF(P927+Q927&gt;=40,2,IF(P927+Q927&gt;=33,1,0)))))))</f>
        <v/>
      </c>
      <c r="AJ927">
        <f>IF(R927&lt;8.25,0,IF(R927*2&gt;=80,5,IF(R927*2&gt;=70,4,IF(R927*2&gt;=60,3.5,IF(R927*2&gt;=50,3,IF(R927*2&gt;=40,2,IF(R927*2&gt;=33,1,0)))))))</f>
        <v/>
      </c>
      <c r="AK927">
        <f>IF(S927&lt;33,0,IF(S927&gt;=80,5,IF(S927&gt;=70,4,IF(S927&gt;=60,3.5,IF(S927&gt;=50,3,IF(S927&gt;=40,2,IF(S927&gt;=33,1,0)))))))</f>
        <v/>
      </c>
      <c r="AL927">
        <f>(AC927+AD927+AE927+AF927+AG927+AH927+AI927+AJ927)/8</f>
        <v/>
      </c>
      <c r="AM927">
        <f>IF(AK927&gt;=2,(AK927-2)/8,0)</f>
        <v/>
      </c>
    </row>
    <row r="928">
      <c r="T928">
        <f>SUM(C928:R928)</f>
        <v/>
      </c>
      <c r="U928" s="6">
        <f>ROUND(T928/11.5,2)</f>
        <v/>
      </c>
      <c r="V928" s="7">
        <f>IF(B928="","",IF(AB928,0,ROUND(AL928,2)))</f>
        <v/>
      </c>
      <c r="W928" s="7">
        <f>IF(B928="","",IF(AB928,0,MIN(5,ROUND(AL928+AM928,2))))</f>
        <v/>
      </c>
      <c r="X928" s="8">
        <f>IF(B928="","",IF(W928&gt;=5,"A+",IF(W928&gt;=4,"A",IF(W928&gt;=3.5,"A-",IF(W928&gt;=3,"B",IF(W928&gt;=2,"C",IF(W928&gt;=1,"D","F")))))))</f>
        <v/>
      </c>
      <c r="Y928">
        <f>NOT(OR(AND(J928&gt;=10,K928&gt;=23,L928&gt;=10,M928&gt;=23),AND(J928+L928&gt;=20,K928+M928&gt;=46)))</f>
        <v/>
      </c>
      <c r="Z928">
        <f>OR(N928&lt;10,O928&lt;23)</f>
        <v/>
      </c>
      <c r="AA928">
        <f>OR(P928&lt;10,Q928&lt;23)</f>
        <v/>
      </c>
      <c r="AB928">
        <f>OR((C928+D928)&lt;66,(E928+F928)&lt;66,G928&lt;33,(H928+I928)&lt;66,Y928,Z928,AA928,R928&lt;8.25)</f>
        <v/>
      </c>
      <c r="AC928">
        <f>IF(C928+D928&lt;66,0,IF((C928+D928)/2&gt;=80,5,IF((C928+D928)/2&gt;=70,4,IF((C928+D928)/2&gt;=60,3.5,IF((C928+D928)/2&gt;=50,3,IF((C928+D928)/2&gt;=40,2,IF((C928+D928)/2&gt;=33,1,0)))))))</f>
        <v/>
      </c>
      <c r="AD928">
        <f>IF(E928+F928&lt;66,0,IF((E928+F928)/2&gt;=80,5,IF((E928+F928)/2&gt;=70,4,IF((E928+F928)/2&gt;=60,3.5,IF((E928+F928)/2&gt;=50,3,IF((E928+F928)/2&gt;=40,2,IF((E928+F928)/2&gt;=33,1,0)))))))</f>
        <v/>
      </c>
      <c r="AE928">
        <f>IF(G928&lt;33,0,IF(G928&gt;=80,5,IF(G928&gt;=70,4,IF(G928&gt;=60,3.5,IF(G928&gt;=50,3,IF(G928&gt;=40,2,IF(G928&gt;=33,1,0)))))))</f>
        <v/>
      </c>
      <c r="AF928">
        <f>IF(H928+I928&lt;66,0,IF((H928+I928)/2&gt;=80,5,IF((H928+I928)/2&gt;=70,4,IF((H928+I928)/2&gt;=60,3.5,IF((H928+I928)/2&gt;=50,3,IF((H928+I928)/2&gt;=40,2,IF((H928+I928)/2&gt;=33,1,0)))))))</f>
        <v/>
      </c>
      <c r="AG928">
        <f>IF(Y928,0,IF((J928+K928+L928+M928)/2&gt;=80,5,IF((J928+K928+L928+M928)/2&gt;=70,4,IF((J928+K928+L928+M928)/2&gt;=60,3.5,IF((J928+K928+L928+M928)/2&gt;=50,3,IF((J928+K928+L928+M928)/2&gt;=40,2,IF((J928+K928+L928+M928)/2&gt;=33,1,0)))))))</f>
        <v/>
      </c>
      <c r="AH928">
        <f>IF(Z928,0,IF(N928+O928&gt;=80,5,IF(N928+O928&gt;=70,4,IF(N928+O928&gt;=60,3.5,IF(N928+O928&gt;=50,3,IF(N928+O928&gt;=40,2,IF(N928+O928&gt;=33,1,0)))))))</f>
        <v/>
      </c>
      <c r="AI928">
        <f>IF(AA928,0,IF(P928+Q928&gt;=80,5,IF(P928+Q928&gt;=70,4,IF(P928+Q928&gt;=60,3.5,IF(P928+Q928&gt;=50,3,IF(P928+Q928&gt;=40,2,IF(P928+Q928&gt;=33,1,0)))))))</f>
        <v/>
      </c>
      <c r="AJ928">
        <f>IF(R928&lt;8.25,0,IF(R928*2&gt;=80,5,IF(R928*2&gt;=70,4,IF(R928*2&gt;=60,3.5,IF(R928*2&gt;=50,3,IF(R928*2&gt;=40,2,IF(R928*2&gt;=33,1,0)))))))</f>
        <v/>
      </c>
      <c r="AK928">
        <f>IF(S928&lt;33,0,IF(S928&gt;=80,5,IF(S928&gt;=70,4,IF(S928&gt;=60,3.5,IF(S928&gt;=50,3,IF(S928&gt;=40,2,IF(S928&gt;=33,1,0)))))))</f>
        <v/>
      </c>
      <c r="AL928">
        <f>(AC928+AD928+AE928+AF928+AG928+AH928+AI928+AJ928)/8</f>
        <v/>
      </c>
      <c r="AM928">
        <f>IF(AK928&gt;=2,(AK928-2)/8,0)</f>
        <v/>
      </c>
    </row>
    <row r="929">
      <c r="T929">
        <f>SUM(C929:R929)</f>
        <v/>
      </c>
      <c r="U929" s="6">
        <f>ROUND(T929/11.5,2)</f>
        <v/>
      </c>
      <c r="V929" s="7">
        <f>IF(B929="","",IF(AB929,0,ROUND(AL929,2)))</f>
        <v/>
      </c>
      <c r="W929" s="7">
        <f>IF(B929="","",IF(AB929,0,MIN(5,ROUND(AL929+AM929,2))))</f>
        <v/>
      </c>
      <c r="X929" s="8">
        <f>IF(B929="","",IF(W929&gt;=5,"A+",IF(W929&gt;=4,"A",IF(W929&gt;=3.5,"A-",IF(W929&gt;=3,"B",IF(W929&gt;=2,"C",IF(W929&gt;=1,"D","F")))))))</f>
        <v/>
      </c>
      <c r="Y929">
        <f>NOT(OR(AND(J929&gt;=10,K929&gt;=23,L929&gt;=10,M929&gt;=23),AND(J929+L929&gt;=20,K929+M929&gt;=46)))</f>
        <v/>
      </c>
      <c r="Z929">
        <f>OR(N929&lt;10,O929&lt;23)</f>
        <v/>
      </c>
      <c r="AA929">
        <f>OR(P929&lt;10,Q929&lt;23)</f>
        <v/>
      </c>
      <c r="AB929">
        <f>OR((C929+D929)&lt;66,(E929+F929)&lt;66,G929&lt;33,(H929+I929)&lt;66,Y929,Z929,AA929,R929&lt;8.25)</f>
        <v/>
      </c>
      <c r="AC929">
        <f>IF(C929+D929&lt;66,0,IF((C929+D929)/2&gt;=80,5,IF((C929+D929)/2&gt;=70,4,IF((C929+D929)/2&gt;=60,3.5,IF((C929+D929)/2&gt;=50,3,IF((C929+D929)/2&gt;=40,2,IF((C929+D929)/2&gt;=33,1,0)))))))</f>
        <v/>
      </c>
      <c r="AD929">
        <f>IF(E929+F929&lt;66,0,IF((E929+F929)/2&gt;=80,5,IF((E929+F929)/2&gt;=70,4,IF((E929+F929)/2&gt;=60,3.5,IF((E929+F929)/2&gt;=50,3,IF((E929+F929)/2&gt;=40,2,IF((E929+F929)/2&gt;=33,1,0)))))))</f>
        <v/>
      </c>
      <c r="AE929">
        <f>IF(G929&lt;33,0,IF(G929&gt;=80,5,IF(G929&gt;=70,4,IF(G929&gt;=60,3.5,IF(G929&gt;=50,3,IF(G929&gt;=40,2,IF(G929&gt;=33,1,0)))))))</f>
        <v/>
      </c>
      <c r="AF929">
        <f>IF(H929+I929&lt;66,0,IF((H929+I929)/2&gt;=80,5,IF((H929+I929)/2&gt;=70,4,IF((H929+I929)/2&gt;=60,3.5,IF((H929+I929)/2&gt;=50,3,IF((H929+I929)/2&gt;=40,2,IF((H929+I929)/2&gt;=33,1,0)))))))</f>
        <v/>
      </c>
      <c r="AG929">
        <f>IF(Y929,0,IF((J929+K929+L929+M929)/2&gt;=80,5,IF((J929+K929+L929+M929)/2&gt;=70,4,IF((J929+K929+L929+M929)/2&gt;=60,3.5,IF((J929+K929+L929+M929)/2&gt;=50,3,IF((J929+K929+L929+M929)/2&gt;=40,2,IF((J929+K929+L929+M929)/2&gt;=33,1,0)))))))</f>
        <v/>
      </c>
      <c r="AH929">
        <f>IF(Z929,0,IF(N929+O929&gt;=80,5,IF(N929+O929&gt;=70,4,IF(N929+O929&gt;=60,3.5,IF(N929+O929&gt;=50,3,IF(N929+O929&gt;=40,2,IF(N929+O929&gt;=33,1,0)))))))</f>
        <v/>
      </c>
      <c r="AI929">
        <f>IF(AA929,0,IF(P929+Q929&gt;=80,5,IF(P929+Q929&gt;=70,4,IF(P929+Q929&gt;=60,3.5,IF(P929+Q929&gt;=50,3,IF(P929+Q929&gt;=40,2,IF(P929+Q929&gt;=33,1,0)))))))</f>
        <v/>
      </c>
      <c r="AJ929">
        <f>IF(R929&lt;8.25,0,IF(R929*2&gt;=80,5,IF(R929*2&gt;=70,4,IF(R929*2&gt;=60,3.5,IF(R929*2&gt;=50,3,IF(R929*2&gt;=40,2,IF(R929*2&gt;=33,1,0)))))))</f>
        <v/>
      </c>
      <c r="AK929">
        <f>IF(S929&lt;33,0,IF(S929&gt;=80,5,IF(S929&gt;=70,4,IF(S929&gt;=60,3.5,IF(S929&gt;=50,3,IF(S929&gt;=40,2,IF(S929&gt;=33,1,0)))))))</f>
        <v/>
      </c>
      <c r="AL929">
        <f>(AC929+AD929+AE929+AF929+AG929+AH929+AI929+AJ929)/8</f>
        <v/>
      </c>
      <c r="AM929">
        <f>IF(AK929&gt;=2,(AK929-2)/8,0)</f>
        <v/>
      </c>
    </row>
    <row r="930">
      <c r="T930">
        <f>SUM(C930:R930)</f>
        <v/>
      </c>
      <c r="U930" s="6">
        <f>ROUND(T930/11.5,2)</f>
        <v/>
      </c>
      <c r="V930" s="7">
        <f>IF(B930="","",IF(AB930,0,ROUND(AL930,2)))</f>
        <v/>
      </c>
      <c r="W930" s="7">
        <f>IF(B930="","",IF(AB930,0,MIN(5,ROUND(AL930+AM930,2))))</f>
        <v/>
      </c>
      <c r="X930" s="8">
        <f>IF(B930="","",IF(W930&gt;=5,"A+",IF(W930&gt;=4,"A",IF(W930&gt;=3.5,"A-",IF(W930&gt;=3,"B",IF(W930&gt;=2,"C",IF(W930&gt;=1,"D","F")))))))</f>
        <v/>
      </c>
      <c r="Y930">
        <f>NOT(OR(AND(J930&gt;=10,K930&gt;=23,L930&gt;=10,M930&gt;=23),AND(J930+L930&gt;=20,K930+M930&gt;=46)))</f>
        <v/>
      </c>
      <c r="Z930">
        <f>OR(N930&lt;10,O930&lt;23)</f>
        <v/>
      </c>
      <c r="AA930">
        <f>OR(P930&lt;10,Q930&lt;23)</f>
        <v/>
      </c>
      <c r="AB930">
        <f>OR((C930+D930)&lt;66,(E930+F930)&lt;66,G930&lt;33,(H930+I930)&lt;66,Y930,Z930,AA930,R930&lt;8.25)</f>
        <v/>
      </c>
      <c r="AC930">
        <f>IF(C930+D930&lt;66,0,IF((C930+D930)/2&gt;=80,5,IF((C930+D930)/2&gt;=70,4,IF((C930+D930)/2&gt;=60,3.5,IF((C930+D930)/2&gt;=50,3,IF((C930+D930)/2&gt;=40,2,IF((C930+D930)/2&gt;=33,1,0)))))))</f>
        <v/>
      </c>
      <c r="AD930">
        <f>IF(E930+F930&lt;66,0,IF((E930+F930)/2&gt;=80,5,IF((E930+F930)/2&gt;=70,4,IF((E930+F930)/2&gt;=60,3.5,IF((E930+F930)/2&gt;=50,3,IF((E930+F930)/2&gt;=40,2,IF((E930+F930)/2&gt;=33,1,0)))))))</f>
        <v/>
      </c>
      <c r="AE930">
        <f>IF(G930&lt;33,0,IF(G930&gt;=80,5,IF(G930&gt;=70,4,IF(G930&gt;=60,3.5,IF(G930&gt;=50,3,IF(G930&gt;=40,2,IF(G930&gt;=33,1,0)))))))</f>
        <v/>
      </c>
      <c r="AF930">
        <f>IF(H930+I930&lt;66,0,IF((H930+I930)/2&gt;=80,5,IF((H930+I930)/2&gt;=70,4,IF((H930+I930)/2&gt;=60,3.5,IF((H930+I930)/2&gt;=50,3,IF((H930+I930)/2&gt;=40,2,IF((H930+I930)/2&gt;=33,1,0)))))))</f>
        <v/>
      </c>
      <c r="AG930">
        <f>IF(Y930,0,IF((J930+K930+L930+M930)/2&gt;=80,5,IF((J930+K930+L930+M930)/2&gt;=70,4,IF((J930+K930+L930+M930)/2&gt;=60,3.5,IF((J930+K930+L930+M930)/2&gt;=50,3,IF((J930+K930+L930+M930)/2&gt;=40,2,IF((J930+K930+L930+M930)/2&gt;=33,1,0)))))))</f>
        <v/>
      </c>
      <c r="AH930">
        <f>IF(Z930,0,IF(N930+O930&gt;=80,5,IF(N930+O930&gt;=70,4,IF(N930+O930&gt;=60,3.5,IF(N930+O930&gt;=50,3,IF(N930+O930&gt;=40,2,IF(N930+O930&gt;=33,1,0)))))))</f>
        <v/>
      </c>
      <c r="AI930">
        <f>IF(AA930,0,IF(P930+Q930&gt;=80,5,IF(P930+Q930&gt;=70,4,IF(P930+Q930&gt;=60,3.5,IF(P930+Q930&gt;=50,3,IF(P930+Q930&gt;=40,2,IF(P930+Q930&gt;=33,1,0)))))))</f>
        <v/>
      </c>
      <c r="AJ930">
        <f>IF(R930&lt;8.25,0,IF(R930*2&gt;=80,5,IF(R930*2&gt;=70,4,IF(R930*2&gt;=60,3.5,IF(R930*2&gt;=50,3,IF(R930*2&gt;=40,2,IF(R930*2&gt;=33,1,0)))))))</f>
        <v/>
      </c>
      <c r="AK930">
        <f>IF(S930&lt;33,0,IF(S930&gt;=80,5,IF(S930&gt;=70,4,IF(S930&gt;=60,3.5,IF(S930&gt;=50,3,IF(S930&gt;=40,2,IF(S930&gt;=33,1,0)))))))</f>
        <v/>
      </c>
      <c r="AL930">
        <f>(AC930+AD930+AE930+AF930+AG930+AH930+AI930+AJ930)/8</f>
        <v/>
      </c>
      <c r="AM930">
        <f>IF(AK930&gt;=2,(AK930-2)/8,0)</f>
        <v/>
      </c>
    </row>
    <row r="931">
      <c r="T931">
        <f>SUM(C931:R931)</f>
        <v/>
      </c>
      <c r="U931" s="6">
        <f>ROUND(T931/11.5,2)</f>
        <v/>
      </c>
      <c r="V931" s="7">
        <f>IF(B931="","",IF(AB931,0,ROUND(AL931,2)))</f>
        <v/>
      </c>
      <c r="W931" s="7">
        <f>IF(B931="","",IF(AB931,0,MIN(5,ROUND(AL931+AM931,2))))</f>
        <v/>
      </c>
      <c r="X931" s="8">
        <f>IF(B931="","",IF(W931&gt;=5,"A+",IF(W931&gt;=4,"A",IF(W931&gt;=3.5,"A-",IF(W931&gt;=3,"B",IF(W931&gt;=2,"C",IF(W931&gt;=1,"D","F")))))))</f>
        <v/>
      </c>
      <c r="Y931">
        <f>NOT(OR(AND(J931&gt;=10,K931&gt;=23,L931&gt;=10,M931&gt;=23),AND(J931+L931&gt;=20,K931+M931&gt;=46)))</f>
        <v/>
      </c>
      <c r="Z931">
        <f>OR(N931&lt;10,O931&lt;23)</f>
        <v/>
      </c>
      <c r="AA931">
        <f>OR(P931&lt;10,Q931&lt;23)</f>
        <v/>
      </c>
      <c r="AB931">
        <f>OR((C931+D931)&lt;66,(E931+F931)&lt;66,G931&lt;33,(H931+I931)&lt;66,Y931,Z931,AA931,R931&lt;8.25)</f>
        <v/>
      </c>
      <c r="AC931">
        <f>IF(C931+D931&lt;66,0,IF((C931+D931)/2&gt;=80,5,IF((C931+D931)/2&gt;=70,4,IF((C931+D931)/2&gt;=60,3.5,IF((C931+D931)/2&gt;=50,3,IF((C931+D931)/2&gt;=40,2,IF((C931+D931)/2&gt;=33,1,0)))))))</f>
        <v/>
      </c>
      <c r="AD931">
        <f>IF(E931+F931&lt;66,0,IF((E931+F931)/2&gt;=80,5,IF((E931+F931)/2&gt;=70,4,IF((E931+F931)/2&gt;=60,3.5,IF((E931+F931)/2&gt;=50,3,IF((E931+F931)/2&gt;=40,2,IF((E931+F931)/2&gt;=33,1,0)))))))</f>
        <v/>
      </c>
      <c r="AE931">
        <f>IF(G931&lt;33,0,IF(G931&gt;=80,5,IF(G931&gt;=70,4,IF(G931&gt;=60,3.5,IF(G931&gt;=50,3,IF(G931&gt;=40,2,IF(G931&gt;=33,1,0)))))))</f>
        <v/>
      </c>
      <c r="AF931">
        <f>IF(H931+I931&lt;66,0,IF((H931+I931)/2&gt;=80,5,IF((H931+I931)/2&gt;=70,4,IF((H931+I931)/2&gt;=60,3.5,IF((H931+I931)/2&gt;=50,3,IF((H931+I931)/2&gt;=40,2,IF((H931+I931)/2&gt;=33,1,0)))))))</f>
        <v/>
      </c>
      <c r="AG931">
        <f>IF(Y931,0,IF((J931+K931+L931+M931)/2&gt;=80,5,IF((J931+K931+L931+M931)/2&gt;=70,4,IF((J931+K931+L931+M931)/2&gt;=60,3.5,IF((J931+K931+L931+M931)/2&gt;=50,3,IF((J931+K931+L931+M931)/2&gt;=40,2,IF((J931+K931+L931+M931)/2&gt;=33,1,0)))))))</f>
        <v/>
      </c>
      <c r="AH931">
        <f>IF(Z931,0,IF(N931+O931&gt;=80,5,IF(N931+O931&gt;=70,4,IF(N931+O931&gt;=60,3.5,IF(N931+O931&gt;=50,3,IF(N931+O931&gt;=40,2,IF(N931+O931&gt;=33,1,0)))))))</f>
        <v/>
      </c>
      <c r="AI931">
        <f>IF(AA931,0,IF(P931+Q931&gt;=80,5,IF(P931+Q931&gt;=70,4,IF(P931+Q931&gt;=60,3.5,IF(P931+Q931&gt;=50,3,IF(P931+Q931&gt;=40,2,IF(P931+Q931&gt;=33,1,0)))))))</f>
        <v/>
      </c>
      <c r="AJ931">
        <f>IF(R931&lt;8.25,0,IF(R931*2&gt;=80,5,IF(R931*2&gt;=70,4,IF(R931*2&gt;=60,3.5,IF(R931*2&gt;=50,3,IF(R931*2&gt;=40,2,IF(R931*2&gt;=33,1,0)))))))</f>
        <v/>
      </c>
      <c r="AK931">
        <f>IF(S931&lt;33,0,IF(S931&gt;=80,5,IF(S931&gt;=70,4,IF(S931&gt;=60,3.5,IF(S931&gt;=50,3,IF(S931&gt;=40,2,IF(S931&gt;=33,1,0)))))))</f>
        <v/>
      </c>
      <c r="AL931">
        <f>(AC931+AD931+AE931+AF931+AG931+AH931+AI931+AJ931)/8</f>
        <v/>
      </c>
      <c r="AM931">
        <f>IF(AK931&gt;=2,(AK931-2)/8,0)</f>
        <v/>
      </c>
    </row>
    <row r="932">
      <c r="T932">
        <f>SUM(C932:R932)</f>
        <v/>
      </c>
      <c r="U932" s="6">
        <f>ROUND(T932/11.5,2)</f>
        <v/>
      </c>
      <c r="V932" s="7">
        <f>IF(B932="","",IF(AB932,0,ROUND(AL932,2)))</f>
        <v/>
      </c>
      <c r="W932" s="7">
        <f>IF(B932="","",IF(AB932,0,MIN(5,ROUND(AL932+AM932,2))))</f>
        <v/>
      </c>
      <c r="X932" s="8">
        <f>IF(B932="","",IF(W932&gt;=5,"A+",IF(W932&gt;=4,"A",IF(W932&gt;=3.5,"A-",IF(W932&gt;=3,"B",IF(W932&gt;=2,"C",IF(W932&gt;=1,"D","F")))))))</f>
        <v/>
      </c>
      <c r="Y932">
        <f>NOT(OR(AND(J932&gt;=10,K932&gt;=23,L932&gt;=10,M932&gt;=23),AND(J932+L932&gt;=20,K932+M932&gt;=46)))</f>
        <v/>
      </c>
      <c r="Z932">
        <f>OR(N932&lt;10,O932&lt;23)</f>
        <v/>
      </c>
      <c r="AA932">
        <f>OR(P932&lt;10,Q932&lt;23)</f>
        <v/>
      </c>
      <c r="AB932">
        <f>OR((C932+D932)&lt;66,(E932+F932)&lt;66,G932&lt;33,(H932+I932)&lt;66,Y932,Z932,AA932,R932&lt;8.25)</f>
        <v/>
      </c>
      <c r="AC932">
        <f>IF(C932+D932&lt;66,0,IF((C932+D932)/2&gt;=80,5,IF((C932+D932)/2&gt;=70,4,IF((C932+D932)/2&gt;=60,3.5,IF((C932+D932)/2&gt;=50,3,IF((C932+D932)/2&gt;=40,2,IF((C932+D932)/2&gt;=33,1,0)))))))</f>
        <v/>
      </c>
      <c r="AD932">
        <f>IF(E932+F932&lt;66,0,IF((E932+F932)/2&gt;=80,5,IF((E932+F932)/2&gt;=70,4,IF((E932+F932)/2&gt;=60,3.5,IF((E932+F932)/2&gt;=50,3,IF((E932+F932)/2&gt;=40,2,IF((E932+F932)/2&gt;=33,1,0)))))))</f>
        <v/>
      </c>
      <c r="AE932">
        <f>IF(G932&lt;33,0,IF(G932&gt;=80,5,IF(G932&gt;=70,4,IF(G932&gt;=60,3.5,IF(G932&gt;=50,3,IF(G932&gt;=40,2,IF(G932&gt;=33,1,0)))))))</f>
        <v/>
      </c>
      <c r="AF932">
        <f>IF(H932+I932&lt;66,0,IF((H932+I932)/2&gt;=80,5,IF((H932+I932)/2&gt;=70,4,IF((H932+I932)/2&gt;=60,3.5,IF((H932+I932)/2&gt;=50,3,IF((H932+I932)/2&gt;=40,2,IF((H932+I932)/2&gt;=33,1,0)))))))</f>
        <v/>
      </c>
      <c r="AG932">
        <f>IF(Y932,0,IF((J932+K932+L932+M932)/2&gt;=80,5,IF((J932+K932+L932+M932)/2&gt;=70,4,IF((J932+K932+L932+M932)/2&gt;=60,3.5,IF((J932+K932+L932+M932)/2&gt;=50,3,IF((J932+K932+L932+M932)/2&gt;=40,2,IF((J932+K932+L932+M932)/2&gt;=33,1,0)))))))</f>
        <v/>
      </c>
      <c r="AH932">
        <f>IF(Z932,0,IF(N932+O932&gt;=80,5,IF(N932+O932&gt;=70,4,IF(N932+O932&gt;=60,3.5,IF(N932+O932&gt;=50,3,IF(N932+O932&gt;=40,2,IF(N932+O932&gt;=33,1,0)))))))</f>
        <v/>
      </c>
      <c r="AI932">
        <f>IF(AA932,0,IF(P932+Q932&gt;=80,5,IF(P932+Q932&gt;=70,4,IF(P932+Q932&gt;=60,3.5,IF(P932+Q932&gt;=50,3,IF(P932+Q932&gt;=40,2,IF(P932+Q932&gt;=33,1,0)))))))</f>
        <v/>
      </c>
      <c r="AJ932">
        <f>IF(R932&lt;8.25,0,IF(R932*2&gt;=80,5,IF(R932*2&gt;=70,4,IF(R932*2&gt;=60,3.5,IF(R932*2&gt;=50,3,IF(R932*2&gt;=40,2,IF(R932*2&gt;=33,1,0)))))))</f>
        <v/>
      </c>
      <c r="AK932">
        <f>IF(S932&lt;33,0,IF(S932&gt;=80,5,IF(S932&gt;=70,4,IF(S932&gt;=60,3.5,IF(S932&gt;=50,3,IF(S932&gt;=40,2,IF(S932&gt;=33,1,0)))))))</f>
        <v/>
      </c>
      <c r="AL932">
        <f>(AC932+AD932+AE932+AF932+AG932+AH932+AI932+AJ932)/8</f>
        <v/>
      </c>
      <c r="AM932">
        <f>IF(AK932&gt;=2,(AK932-2)/8,0)</f>
        <v/>
      </c>
    </row>
    <row r="933">
      <c r="T933">
        <f>SUM(C933:R933)</f>
        <v/>
      </c>
      <c r="U933" s="6">
        <f>ROUND(T933/11.5,2)</f>
        <v/>
      </c>
      <c r="V933" s="7">
        <f>IF(B933="","",IF(AB933,0,ROUND(AL933,2)))</f>
        <v/>
      </c>
      <c r="W933" s="7">
        <f>IF(B933="","",IF(AB933,0,MIN(5,ROUND(AL933+AM933,2))))</f>
        <v/>
      </c>
      <c r="X933" s="8">
        <f>IF(B933="","",IF(W933&gt;=5,"A+",IF(W933&gt;=4,"A",IF(W933&gt;=3.5,"A-",IF(W933&gt;=3,"B",IF(W933&gt;=2,"C",IF(W933&gt;=1,"D","F")))))))</f>
        <v/>
      </c>
      <c r="Y933">
        <f>NOT(OR(AND(J933&gt;=10,K933&gt;=23,L933&gt;=10,M933&gt;=23),AND(J933+L933&gt;=20,K933+M933&gt;=46)))</f>
        <v/>
      </c>
      <c r="Z933">
        <f>OR(N933&lt;10,O933&lt;23)</f>
        <v/>
      </c>
      <c r="AA933">
        <f>OR(P933&lt;10,Q933&lt;23)</f>
        <v/>
      </c>
      <c r="AB933">
        <f>OR((C933+D933)&lt;66,(E933+F933)&lt;66,G933&lt;33,(H933+I933)&lt;66,Y933,Z933,AA933,R933&lt;8.25)</f>
        <v/>
      </c>
      <c r="AC933">
        <f>IF(C933+D933&lt;66,0,IF((C933+D933)/2&gt;=80,5,IF((C933+D933)/2&gt;=70,4,IF((C933+D933)/2&gt;=60,3.5,IF((C933+D933)/2&gt;=50,3,IF((C933+D933)/2&gt;=40,2,IF((C933+D933)/2&gt;=33,1,0)))))))</f>
        <v/>
      </c>
      <c r="AD933">
        <f>IF(E933+F933&lt;66,0,IF((E933+F933)/2&gt;=80,5,IF((E933+F933)/2&gt;=70,4,IF((E933+F933)/2&gt;=60,3.5,IF((E933+F933)/2&gt;=50,3,IF((E933+F933)/2&gt;=40,2,IF((E933+F933)/2&gt;=33,1,0)))))))</f>
        <v/>
      </c>
      <c r="AE933">
        <f>IF(G933&lt;33,0,IF(G933&gt;=80,5,IF(G933&gt;=70,4,IF(G933&gt;=60,3.5,IF(G933&gt;=50,3,IF(G933&gt;=40,2,IF(G933&gt;=33,1,0)))))))</f>
        <v/>
      </c>
      <c r="AF933">
        <f>IF(H933+I933&lt;66,0,IF((H933+I933)/2&gt;=80,5,IF((H933+I933)/2&gt;=70,4,IF((H933+I933)/2&gt;=60,3.5,IF((H933+I933)/2&gt;=50,3,IF((H933+I933)/2&gt;=40,2,IF((H933+I933)/2&gt;=33,1,0)))))))</f>
        <v/>
      </c>
      <c r="AG933">
        <f>IF(Y933,0,IF((J933+K933+L933+M933)/2&gt;=80,5,IF((J933+K933+L933+M933)/2&gt;=70,4,IF((J933+K933+L933+M933)/2&gt;=60,3.5,IF((J933+K933+L933+M933)/2&gt;=50,3,IF((J933+K933+L933+M933)/2&gt;=40,2,IF((J933+K933+L933+M933)/2&gt;=33,1,0)))))))</f>
        <v/>
      </c>
      <c r="AH933">
        <f>IF(Z933,0,IF(N933+O933&gt;=80,5,IF(N933+O933&gt;=70,4,IF(N933+O933&gt;=60,3.5,IF(N933+O933&gt;=50,3,IF(N933+O933&gt;=40,2,IF(N933+O933&gt;=33,1,0)))))))</f>
        <v/>
      </c>
      <c r="AI933">
        <f>IF(AA933,0,IF(P933+Q933&gt;=80,5,IF(P933+Q933&gt;=70,4,IF(P933+Q933&gt;=60,3.5,IF(P933+Q933&gt;=50,3,IF(P933+Q933&gt;=40,2,IF(P933+Q933&gt;=33,1,0)))))))</f>
        <v/>
      </c>
      <c r="AJ933">
        <f>IF(R933&lt;8.25,0,IF(R933*2&gt;=80,5,IF(R933*2&gt;=70,4,IF(R933*2&gt;=60,3.5,IF(R933*2&gt;=50,3,IF(R933*2&gt;=40,2,IF(R933*2&gt;=33,1,0)))))))</f>
        <v/>
      </c>
      <c r="AK933">
        <f>IF(S933&lt;33,0,IF(S933&gt;=80,5,IF(S933&gt;=70,4,IF(S933&gt;=60,3.5,IF(S933&gt;=50,3,IF(S933&gt;=40,2,IF(S933&gt;=33,1,0)))))))</f>
        <v/>
      </c>
      <c r="AL933">
        <f>(AC933+AD933+AE933+AF933+AG933+AH933+AI933+AJ933)/8</f>
        <v/>
      </c>
      <c r="AM933">
        <f>IF(AK933&gt;=2,(AK933-2)/8,0)</f>
        <v/>
      </c>
    </row>
    <row r="934">
      <c r="T934">
        <f>SUM(C934:R934)</f>
        <v/>
      </c>
      <c r="U934" s="6">
        <f>ROUND(T934/11.5,2)</f>
        <v/>
      </c>
      <c r="V934" s="7">
        <f>IF(B934="","",IF(AB934,0,ROUND(AL934,2)))</f>
        <v/>
      </c>
      <c r="W934" s="7">
        <f>IF(B934="","",IF(AB934,0,MIN(5,ROUND(AL934+AM934,2))))</f>
        <v/>
      </c>
      <c r="X934" s="8">
        <f>IF(B934="","",IF(W934&gt;=5,"A+",IF(W934&gt;=4,"A",IF(W934&gt;=3.5,"A-",IF(W934&gt;=3,"B",IF(W934&gt;=2,"C",IF(W934&gt;=1,"D","F")))))))</f>
        <v/>
      </c>
      <c r="Y934">
        <f>NOT(OR(AND(J934&gt;=10,K934&gt;=23,L934&gt;=10,M934&gt;=23),AND(J934+L934&gt;=20,K934+M934&gt;=46)))</f>
        <v/>
      </c>
      <c r="Z934">
        <f>OR(N934&lt;10,O934&lt;23)</f>
        <v/>
      </c>
      <c r="AA934">
        <f>OR(P934&lt;10,Q934&lt;23)</f>
        <v/>
      </c>
      <c r="AB934">
        <f>OR((C934+D934)&lt;66,(E934+F934)&lt;66,G934&lt;33,(H934+I934)&lt;66,Y934,Z934,AA934,R934&lt;8.25)</f>
        <v/>
      </c>
      <c r="AC934">
        <f>IF(C934+D934&lt;66,0,IF((C934+D934)/2&gt;=80,5,IF((C934+D934)/2&gt;=70,4,IF((C934+D934)/2&gt;=60,3.5,IF((C934+D934)/2&gt;=50,3,IF((C934+D934)/2&gt;=40,2,IF((C934+D934)/2&gt;=33,1,0)))))))</f>
        <v/>
      </c>
      <c r="AD934">
        <f>IF(E934+F934&lt;66,0,IF((E934+F934)/2&gt;=80,5,IF((E934+F934)/2&gt;=70,4,IF((E934+F934)/2&gt;=60,3.5,IF((E934+F934)/2&gt;=50,3,IF((E934+F934)/2&gt;=40,2,IF((E934+F934)/2&gt;=33,1,0)))))))</f>
        <v/>
      </c>
      <c r="AE934">
        <f>IF(G934&lt;33,0,IF(G934&gt;=80,5,IF(G934&gt;=70,4,IF(G934&gt;=60,3.5,IF(G934&gt;=50,3,IF(G934&gt;=40,2,IF(G934&gt;=33,1,0)))))))</f>
        <v/>
      </c>
      <c r="AF934">
        <f>IF(H934+I934&lt;66,0,IF((H934+I934)/2&gt;=80,5,IF((H934+I934)/2&gt;=70,4,IF((H934+I934)/2&gt;=60,3.5,IF((H934+I934)/2&gt;=50,3,IF((H934+I934)/2&gt;=40,2,IF((H934+I934)/2&gt;=33,1,0)))))))</f>
        <v/>
      </c>
      <c r="AG934">
        <f>IF(Y934,0,IF((J934+K934+L934+M934)/2&gt;=80,5,IF((J934+K934+L934+M934)/2&gt;=70,4,IF((J934+K934+L934+M934)/2&gt;=60,3.5,IF((J934+K934+L934+M934)/2&gt;=50,3,IF((J934+K934+L934+M934)/2&gt;=40,2,IF((J934+K934+L934+M934)/2&gt;=33,1,0)))))))</f>
        <v/>
      </c>
      <c r="AH934">
        <f>IF(Z934,0,IF(N934+O934&gt;=80,5,IF(N934+O934&gt;=70,4,IF(N934+O934&gt;=60,3.5,IF(N934+O934&gt;=50,3,IF(N934+O934&gt;=40,2,IF(N934+O934&gt;=33,1,0)))))))</f>
        <v/>
      </c>
      <c r="AI934">
        <f>IF(AA934,0,IF(P934+Q934&gt;=80,5,IF(P934+Q934&gt;=70,4,IF(P934+Q934&gt;=60,3.5,IF(P934+Q934&gt;=50,3,IF(P934+Q934&gt;=40,2,IF(P934+Q934&gt;=33,1,0)))))))</f>
        <v/>
      </c>
      <c r="AJ934">
        <f>IF(R934&lt;8.25,0,IF(R934*2&gt;=80,5,IF(R934*2&gt;=70,4,IF(R934*2&gt;=60,3.5,IF(R934*2&gt;=50,3,IF(R934*2&gt;=40,2,IF(R934*2&gt;=33,1,0)))))))</f>
        <v/>
      </c>
      <c r="AK934">
        <f>IF(S934&lt;33,0,IF(S934&gt;=80,5,IF(S934&gt;=70,4,IF(S934&gt;=60,3.5,IF(S934&gt;=50,3,IF(S934&gt;=40,2,IF(S934&gt;=33,1,0)))))))</f>
        <v/>
      </c>
      <c r="AL934">
        <f>(AC934+AD934+AE934+AF934+AG934+AH934+AI934+AJ934)/8</f>
        <v/>
      </c>
      <c r="AM934">
        <f>IF(AK934&gt;=2,(AK934-2)/8,0)</f>
        <v/>
      </c>
    </row>
    <row r="935">
      <c r="T935">
        <f>SUM(C935:R935)</f>
        <v/>
      </c>
      <c r="U935" s="6">
        <f>ROUND(T935/11.5,2)</f>
        <v/>
      </c>
      <c r="V935" s="7">
        <f>IF(B935="","",IF(AB935,0,ROUND(AL935,2)))</f>
        <v/>
      </c>
      <c r="W935" s="7">
        <f>IF(B935="","",IF(AB935,0,MIN(5,ROUND(AL935+AM935,2))))</f>
        <v/>
      </c>
      <c r="X935" s="8">
        <f>IF(B935="","",IF(W935&gt;=5,"A+",IF(W935&gt;=4,"A",IF(W935&gt;=3.5,"A-",IF(W935&gt;=3,"B",IF(W935&gt;=2,"C",IF(W935&gt;=1,"D","F")))))))</f>
        <v/>
      </c>
      <c r="Y935">
        <f>NOT(OR(AND(J935&gt;=10,K935&gt;=23,L935&gt;=10,M935&gt;=23),AND(J935+L935&gt;=20,K935+M935&gt;=46)))</f>
        <v/>
      </c>
      <c r="Z935">
        <f>OR(N935&lt;10,O935&lt;23)</f>
        <v/>
      </c>
      <c r="AA935">
        <f>OR(P935&lt;10,Q935&lt;23)</f>
        <v/>
      </c>
      <c r="AB935">
        <f>OR((C935+D935)&lt;66,(E935+F935)&lt;66,G935&lt;33,(H935+I935)&lt;66,Y935,Z935,AA935,R935&lt;8.25)</f>
        <v/>
      </c>
      <c r="AC935">
        <f>IF(C935+D935&lt;66,0,IF((C935+D935)/2&gt;=80,5,IF((C935+D935)/2&gt;=70,4,IF((C935+D935)/2&gt;=60,3.5,IF((C935+D935)/2&gt;=50,3,IF((C935+D935)/2&gt;=40,2,IF((C935+D935)/2&gt;=33,1,0)))))))</f>
        <v/>
      </c>
      <c r="AD935">
        <f>IF(E935+F935&lt;66,0,IF((E935+F935)/2&gt;=80,5,IF((E935+F935)/2&gt;=70,4,IF((E935+F935)/2&gt;=60,3.5,IF((E935+F935)/2&gt;=50,3,IF((E935+F935)/2&gt;=40,2,IF((E935+F935)/2&gt;=33,1,0)))))))</f>
        <v/>
      </c>
      <c r="AE935">
        <f>IF(G935&lt;33,0,IF(G935&gt;=80,5,IF(G935&gt;=70,4,IF(G935&gt;=60,3.5,IF(G935&gt;=50,3,IF(G935&gt;=40,2,IF(G935&gt;=33,1,0)))))))</f>
        <v/>
      </c>
      <c r="AF935">
        <f>IF(H935+I935&lt;66,0,IF((H935+I935)/2&gt;=80,5,IF((H935+I935)/2&gt;=70,4,IF((H935+I935)/2&gt;=60,3.5,IF((H935+I935)/2&gt;=50,3,IF((H935+I935)/2&gt;=40,2,IF((H935+I935)/2&gt;=33,1,0)))))))</f>
        <v/>
      </c>
      <c r="AG935">
        <f>IF(Y935,0,IF((J935+K935+L935+M935)/2&gt;=80,5,IF((J935+K935+L935+M935)/2&gt;=70,4,IF((J935+K935+L935+M935)/2&gt;=60,3.5,IF((J935+K935+L935+M935)/2&gt;=50,3,IF((J935+K935+L935+M935)/2&gt;=40,2,IF((J935+K935+L935+M935)/2&gt;=33,1,0)))))))</f>
        <v/>
      </c>
      <c r="AH935">
        <f>IF(Z935,0,IF(N935+O935&gt;=80,5,IF(N935+O935&gt;=70,4,IF(N935+O935&gt;=60,3.5,IF(N935+O935&gt;=50,3,IF(N935+O935&gt;=40,2,IF(N935+O935&gt;=33,1,0)))))))</f>
        <v/>
      </c>
      <c r="AI935">
        <f>IF(AA935,0,IF(P935+Q935&gt;=80,5,IF(P935+Q935&gt;=70,4,IF(P935+Q935&gt;=60,3.5,IF(P935+Q935&gt;=50,3,IF(P935+Q935&gt;=40,2,IF(P935+Q935&gt;=33,1,0)))))))</f>
        <v/>
      </c>
      <c r="AJ935">
        <f>IF(R935&lt;8.25,0,IF(R935*2&gt;=80,5,IF(R935*2&gt;=70,4,IF(R935*2&gt;=60,3.5,IF(R935*2&gt;=50,3,IF(R935*2&gt;=40,2,IF(R935*2&gt;=33,1,0)))))))</f>
        <v/>
      </c>
      <c r="AK935">
        <f>IF(S935&lt;33,0,IF(S935&gt;=80,5,IF(S935&gt;=70,4,IF(S935&gt;=60,3.5,IF(S935&gt;=50,3,IF(S935&gt;=40,2,IF(S935&gt;=33,1,0)))))))</f>
        <v/>
      </c>
      <c r="AL935">
        <f>(AC935+AD935+AE935+AF935+AG935+AH935+AI935+AJ935)/8</f>
        <v/>
      </c>
      <c r="AM935">
        <f>IF(AK935&gt;=2,(AK935-2)/8,0)</f>
        <v/>
      </c>
    </row>
    <row r="936">
      <c r="T936">
        <f>SUM(C936:R936)</f>
        <v/>
      </c>
      <c r="U936" s="6">
        <f>ROUND(T936/11.5,2)</f>
        <v/>
      </c>
      <c r="V936" s="7">
        <f>IF(B936="","",IF(AB936,0,ROUND(AL936,2)))</f>
        <v/>
      </c>
      <c r="W936" s="7">
        <f>IF(B936="","",IF(AB936,0,MIN(5,ROUND(AL936+AM936,2))))</f>
        <v/>
      </c>
      <c r="X936" s="8">
        <f>IF(B936="","",IF(W936&gt;=5,"A+",IF(W936&gt;=4,"A",IF(W936&gt;=3.5,"A-",IF(W936&gt;=3,"B",IF(W936&gt;=2,"C",IF(W936&gt;=1,"D","F")))))))</f>
        <v/>
      </c>
      <c r="Y936">
        <f>NOT(OR(AND(J936&gt;=10,K936&gt;=23,L936&gt;=10,M936&gt;=23),AND(J936+L936&gt;=20,K936+M936&gt;=46)))</f>
        <v/>
      </c>
      <c r="Z936">
        <f>OR(N936&lt;10,O936&lt;23)</f>
        <v/>
      </c>
      <c r="AA936">
        <f>OR(P936&lt;10,Q936&lt;23)</f>
        <v/>
      </c>
      <c r="AB936">
        <f>OR((C936+D936)&lt;66,(E936+F936)&lt;66,G936&lt;33,(H936+I936)&lt;66,Y936,Z936,AA936,R936&lt;8.25)</f>
        <v/>
      </c>
      <c r="AC936">
        <f>IF(C936+D936&lt;66,0,IF((C936+D936)/2&gt;=80,5,IF((C936+D936)/2&gt;=70,4,IF((C936+D936)/2&gt;=60,3.5,IF((C936+D936)/2&gt;=50,3,IF((C936+D936)/2&gt;=40,2,IF((C936+D936)/2&gt;=33,1,0)))))))</f>
        <v/>
      </c>
      <c r="AD936">
        <f>IF(E936+F936&lt;66,0,IF((E936+F936)/2&gt;=80,5,IF((E936+F936)/2&gt;=70,4,IF((E936+F936)/2&gt;=60,3.5,IF((E936+F936)/2&gt;=50,3,IF((E936+F936)/2&gt;=40,2,IF((E936+F936)/2&gt;=33,1,0)))))))</f>
        <v/>
      </c>
      <c r="AE936">
        <f>IF(G936&lt;33,0,IF(G936&gt;=80,5,IF(G936&gt;=70,4,IF(G936&gt;=60,3.5,IF(G936&gt;=50,3,IF(G936&gt;=40,2,IF(G936&gt;=33,1,0)))))))</f>
        <v/>
      </c>
      <c r="AF936">
        <f>IF(H936+I936&lt;66,0,IF((H936+I936)/2&gt;=80,5,IF((H936+I936)/2&gt;=70,4,IF((H936+I936)/2&gt;=60,3.5,IF((H936+I936)/2&gt;=50,3,IF((H936+I936)/2&gt;=40,2,IF((H936+I936)/2&gt;=33,1,0)))))))</f>
        <v/>
      </c>
      <c r="AG936">
        <f>IF(Y936,0,IF((J936+K936+L936+M936)/2&gt;=80,5,IF((J936+K936+L936+M936)/2&gt;=70,4,IF((J936+K936+L936+M936)/2&gt;=60,3.5,IF((J936+K936+L936+M936)/2&gt;=50,3,IF((J936+K936+L936+M936)/2&gt;=40,2,IF((J936+K936+L936+M936)/2&gt;=33,1,0)))))))</f>
        <v/>
      </c>
      <c r="AH936">
        <f>IF(Z936,0,IF(N936+O936&gt;=80,5,IF(N936+O936&gt;=70,4,IF(N936+O936&gt;=60,3.5,IF(N936+O936&gt;=50,3,IF(N936+O936&gt;=40,2,IF(N936+O936&gt;=33,1,0)))))))</f>
        <v/>
      </c>
      <c r="AI936">
        <f>IF(AA936,0,IF(P936+Q936&gt;=80,5,IF(P936+Q936&gt;=70,4,IF(P936+Q936&gt;=60,3.5,IF(P936+Q936&gt;=50,3,IF(P936+Q936&gt;=40,2,IF(P936+Q936&gt;=33,1,0)))))))</f>
        <v/>
      </c>
      <c r="AJ936">
        <f>IF(R936&lt;8.25,0,IF(R936*2&gt;=80,5,IF(R936*2&gt;=70,4,IF(R936*2&gt;=60,3.5,IF(R936*2&gt;=50,3,IF(R936*2&gt;=40,2,IF(R936*2&gt;=33,1,0)))))))</f>
        <v/>
      </c>
      <c r="AK936">
        <f>IF(S936&lt;33,0,IF(S936&gt;=80,5,IF(S936&gt;=70,4,IF(S936&gt;=60,3.5,IF(S936&gt;=50,3,IF(S936&gt;=40,2,IF(S936&gt;=33,1,0)))))))</f>
        <v/>
      </c>
      <c r="AL936">
        <f>(AC936+AD936+AE936+AF936+AG936+AH936+AI936+AJ936)/8</f>
        <v/>
      </c>
      <c r="AM936">
        <f>IF(AK936&gt;=2,(AK936-2)/8,0)</f>
        <v/>
      </c>
    </row>
    <row r="937">
      <c r="T937">
        <f>SUM(C937:R937)</f>
        <v/>
      </c>
      <c r="U937" s="6">
        <f>ROUND(T937/11.5,2)</f>
        <v/>
      </c>
      <c r="V937" s="7">
        <f>IF(B937="","",IF(AB937,0,ROUND(AL937,2)))</f>
        <v/>
      </c>
      <c r="W937" s="7">
        <f>IF(B937="","",IF(AB937,0,MIN(5,ROUND(AL937+AM937,2))))</f>
        <v/>
      </c>
      <c r="X937" s="8">
        <f>IF(B937="","",IF(W937&gt;=5,"A+",IF(W937&gt;=4,"A",IF(W937&gt;=3.5,"A-",IF(W937&gt;=3,"B",IF(W937&gt;=2,"C",IF(W937&gt;=1,"D","F")))))))</f>
        <v/>
      </c>
      <c r="Y937">
        <f>NOT(OR(AND(J937&gt;=10,K937&gt;=23,L937&gt;=10,M937&gt;=23),AND(J937+L937&gt;=20,K937+M937&gt;=46)))</f>
        <v/>
      </c>
      <c r="Z937">
        <f>OR(N937&lt;10,O937&lt;23)</f>
        <v/>
      </c>
      <c r="AA937">
        <f>OR(P937&lt;10,Q937&lt;23)</f>
        <v/>
      </c>
      <c r="AB937">
        <f>OR((C937+D937)&lt;66,(E937+F937)&lt;66,G937&lt;33,(H937+I937)&lt;66,Y937,Z937,AA937,R937&lt;8.25)</f>
        <v/>
      </c>
      <c r="AC937">
        <f>IF(C937+D937&lt;66,0,IF((C937+D937)/2&gt;=80,5,IF((C937+D937)/2&gt;=70,4,IF((C937+D937)/2&gt;=60,3.5,IF((C937+D937)/2&gt;=50,3,IF((C937+D937)/2&gt;=40,2,IF((C937+D937)/2&gt;=33,1,0)))))))</f>
        <v/>
      </c>
      <c r="AD937">
        <f>IF(E937+F937&lt;66,0,IF((E937+F937)/2&gt;=80,5,IF((E937+F937)/2&gt;=70,4,IF((E937+F937)/2&gt;=60,3.5,IF((E937+F937)/2&gt;=50,3,IF((E937+F937)/2&gt;=40,2,IF((E937+F937)/2&gt;=33,1,0)))))))</f>
        <v/>
      </c>
      <c r="AE937">
        <f>IF(G937&lt;33,0,IF(G937&gt;=80,5,IF(G937&gt;=70,4,IF(G937&gt;=60,3.5,IF(G937&gt;=50,3,IF(G937&gt;=40,2,IF(G937&gt;=33,1,0)))))))</f>
        <v/>
      </c>
      <c r="AF937">
        <f>IF(H937+I937&lt;66,0,IF((H937+I937)/2&gt;=80,5,IF((H937+I937)/2&gt;=70,4,IF((H937+I937)/2&gt;=60,3.5,IF((H937+I937)/2&gt;=50,3,IF((H937+I937)/2&gt;=40,2,IF((H937+I937)/2&gt;=33,1,0)))))))</f>
        <v/>
      </c>
      <c r="AG937">
        <f>IF(Y937,0,IF((J937+K937+L937+M937)/2&gt;=80,5,IF((J937+K937+L937+M937)/2&gt;=70,4,IF((J937+K937+L937+M937)/2&gt;=60,3.5,IF((J937+K937+L937+M937)/2&gt;=50,3,IF((J937+K937+L937+M937)/2&gt;=40,2,IF((J937+K937+L937+M937)/2&gt;=33,1,0)))))))</f>
        <v/>
      </c>
      <c r="AH937">
        <f>IF(Z937,0,IF(N937+O937&gt;=80,5,IF(N937+O937&gt;=70,4,IF(N937+O937&gt;=60,3.5,IF(N937+O937&gt;=50,3,IF(N937+O937&gt;=40,2,IF(N937+O937&gt;=33,1,0)))))))</f>
        <v/>
      </c>
      <c r="AI937">
        <f>IF(AA937,0,IF(P937+Q937&gt;=80,5,IF(P937+Q937&gt;=70,4,IF(P937+Q937&gt;=60,3.5,IF(P937+Q937&gt;=50,3,IF(P937+Q937&gt;=40,2,IF(P937+Q937&gt;=33,1,0)))))))</f>
        <v/>
      </c>
      <c r="AJ937">
        <f>IF(R937&lt;8.25,0,IF(R937*2&gt;=80,5,IF(R937*2&gt;=70,4,IF(R937*2&gt;=60,3.5,IF(R937*2&gt;=50,3,IF(R937*2&gt;=40,2,IF(R937*2&gt;=33,1,0)))))))</f>
        <v/>
      </c>
      <c r="AK937">
        <f>IF(S937&lt;33,0,IF(S937&gt;=80,5,IF(S937&gt;=70,4,IF(S937&gt;=60,3.5,IF(S937&gt;=50,3,IF(S937&gt;=40,2,IF(S937&gt;=33,1,0)))))))</f>
        <v/>
      </c>
      <c r="AL937">
        <f>(AC937+AD937+AE937+AF937+AG937+AH937+AI937+AJ937)/8</f>
        <v/>
      </c>
      <c r="AM937">
        <f>IF(AK937&gt;=2,(AK937-2)/8,0)</f>
        <v/>
      </c>
    </row>
    <row r="938">
      <c r="T938">
        <f>SUM(C938:R938)</f>
        <v/>
      </c>
      <c r="U938" s="6">
        <f>ROUND(T938/11.5,2)</f>
        <v/>
      </c>
      <c r="V938" s="7">
        <f>IF(B938="","",IF(AB938,0,ROUND(AL938,2)))</f>
        <v/>
      </c>
      <c r="W938" s="7">
        <f>IF(B938="","",IF(AB938,0,MIN(5,ROUND(AL938+AM938,2))))</f>
        <v/>
      </c>
      <c r="X938" s="8">
        <f>IF(B938="","",IF(W938&gt;=5,"A+",IF(W938&gt;=4,"A",IF(W938&gt;=3.5,"A-",IF(W938&gt;=3,"B",IF(W938&gt;=2,"C",IF(W938&gt;=1,"D","F")))))))</f>
        <v/>
      </c>
      <c r="Y938">
        <f>NOT(OR(AND(J938&gt;=10,K938&gt;=23,L938&gt;=10,M938&gt;=23),AND(J938+L938&gt;=20,K938+M938&gt;=46)))</f>
        <v/>
      </c>
      <c r="Z938">
        <f>OR(N938&lt;10,O938&lt;23)</f>
        <v/>
      </c>
      <c r="AA938">
        <f>OR(P938&lt;10,Q938&lt;23)</f>
        <v/>
      </c>
      <c r="AB938">
        <f>OR((C938+D938)&lt;66,(E938+F938)&lt;66,G938&lt;33,(H938+I938)&lt;66,Y938,Z938,AA938,R938&lt;8.25)</f>
        <v/>
      </c>
      <c r="AC938">
        <f>IF(C938+D938&lt;66,0,IF((C938+D938)/2&gt;=80,5,IF((C938+D938)/2&gt;=70,4,IF((C938+D938)/2&gt;=60,3.5,IF((C938+D938)/2&gt;=50,3,IF((C938+D938)/2&gt;=40,2,IF((C938+D938)/2&gt;=33,1,0)))))))</f>
        <v/>
      </c>
      <c r="AD938">
        <f>IF(E938+F938&lt;66,0,IF((E938+F938)/2&gt;=80,5,IF((E938+F938)/2&gt;=70,4,IF((E938+F938)/2&gt;=60,3.5,IF((E938+F938)/2&gt;=50,3,IF((E938+F938)/2&gt;=40,2,IF((E938+F938)/2&gt;=33,1,0)))))))</f>
        <v/>
      </c>
      <c r="AE938">
        <f>IF(G938&lt;33,0,IF(G938&gt;=80,5,IF(G938&gt;=70,4,IF(G938&gt;=60,3.5,IF(G938&gt;=50,3,IF(G938&gt;=40,2,IF(G938&gt;=33,1,0)))))))</f>
        <v/>
      </c>
      <c r="AF938">
        <f>IF(H938+I938&lt;66,0,IF((H938+I938)/2&gt;=80,5,IF((H938+I938)/2&gt;=70,4,IF((H938+I938)/2&gt;=60,3.5,IF((H938+I938)/2&gt;=50,3,IF((H938+I938)/2&gt;=40,2,IF((H938+I938)/2&gt;=33,1,0)))))))</f>
        <v/>
      </c>
      <c r="AG938">
        <f>IF(Y938,0,IF((J938+K938+L938+M938)/2&gt;=80,5,IF((J938+K938+L938+M938)/2&gt;=70,4,IF((J938+K938+L938+M938)/2&gt;=60,3.5,IF((J938+K938+L938+M938)/2&gt;=50,3,IF((J938+K938+L938+M938)/2&gt;=40,2,IF((J938+K938+L938+M938)/2&gt;=33,1,0)))))))</f>
        <v/>
      </c>
      <c r="AH938">
        <f>IF(Z938,0,IF(N938+O938&gt;=80,5,IF(N938+O938&gt;=70,4,IF(N938+O938&gt;=60,3.5,IF(N938+O938&gt;=50,3,IF(N938+O938&gt;=40,2,IF(N938+O938&gt;=33,1,0)))))))</f>
        <v/>
      </c>
      <c r="AI938">
        <f>IF(AA938,0,IF(P938+Q938&gt;=80,5,IF(P938+Q938&gt;=70,4,IF(P938+Q938&gt;=60,3.5,IF(P938+Q938&gt;=50,3,IF(P938+Q938&gt;=40,2,IF(P938+Q938&gt;=33,1,0)))))))</f>
        <v/>
      </c>
      <c r="AJ938">
        <f>IF(R938&lt;8.25,0,IF(R938*2&gt;=80,5,IF(R938*2&gt;=70,4,IF(R938*2&gt;=60,3.5,IF(R938*2&gt;=50,3,IF(R938*2&gt;=40,2,IF(R938*2&gt;=33,1,0)))))))</f>
        <v/>
      </c>
      <c r="AK938">
        <f>IF(S938&lt;33,0,IF(S938&gt;=80,5,IF(S938&gt;=70,4,IF(S938&gt;=60,3.5,IF(S938&gt;=50,3,IF(S938&gt;=40,2,IF(S938&gt;=33,1,0)))))))</f>
        <v/>
      </c>
      <c r="AL938">
        <f>(AC938+AD938+AE938+AF938+AG938+AH938+AI938+AJ938)/8</f>
        <v/>
      </c>
      <c r="AM938">
        <f>IF(AK938&gt;=2,(AK938-2)/8,0)</f>
        <v/>
      </c>
    </row>
    <row r="939">
      <c r="T939">
        <f>SUM(C939:R939)</f>
        <v/>
      </c>
      <c r="U939" s="6">
        <f>ROUND(T939/11.5,2)</f>
        <v/>
      </c>
      <c r="V939" s="7">
        <f>IF(B939="","",IF(AB939,0,ROUND(AL939,2)))</f>
        <v/>
      </c>
      <c r="W939" s="7">
        <f>IF(B939="","",IF(AB939,0,MIN(5,ROUND(AL939+AM939,2))))</f>
        <v/>
      </c>
      <c r="X939" s="8">
        <f>IF(B939="","",IF(W939&gt;=5,"A+",IF(W939&gt;=4,"A",IF(W939&gt;=3.5,"A-",IF(W939&gt;=3,"B",IF(W939&gt;=2,"C",IF(W939&gt;=1,"D","F")))))))</f>
        <v/>
      </c>
      <c r="Y939">
        <f>NOT(OR(AND(J939&gt;=10,K939&gt;=23,L939&gt;=10,M939&gt;=23),AND(J939+L939&gt;=20,K939+M939&gt;=46)))</f>
        <v/>
      </c>
      <c r="Z939">
        <f>OR(N939&lt;10,O939&lt;23)</f>
        <v/>
      </c>
      <c r="AA939">
        <f>OR(P939&lt;10,Q939&lt;23)</f>
        <v/>
      </c>
      <c r="AB939">
        <f>OR((C939+D939)&lt;66,(E939+F939)&lt;66,G939&lt;33,(H939+I939)&lt;66,Y939,Z939,AA939,R939&lt;8.25)</f>
        <v/>
      </c>
      <c r="AC939">
        <f>IF(C939+D939&lt;66,0,IF((C939+D939)/2&gt;=80,5,IF((C939+D939)/2&gt;=70,4,IF((C939+D939)/2&gt;=60,3.5,IF((C939+D939)/2&gt;=50,3,IF((C939+D939)/2&gt;=40,2,IF((C939+D939)/2&gt;=33,1,0)))))))</f>
        <v/>
      </c>
      <c r="AD939">
        <f>IF(E939+F939&lt;66,0,IF((E939+F939)/2&gt;=80,5,IF((E939+F939)/2&gt;=70,4,IF((E939+F939)/2&gt;=60,3.5,IF((E939+F939)/2&gt;=50,3,IF((E939+F939)/2&gt;=40,2,IF((E939+F939)/2&gt;=33,1,0)))))))</f>
        <v/>
      </c>
      <c r="AE939">
        <f>IF(G939&lt;33,0,IF(G939&gt;=80,5,IF(G939&gt;=70,4,IF(G939&gt;=60,3.5,IF(G939&gt;=50,3,IF(G939&gt;=40,2,IF(G939&gt;=33,1,0)))))))</f>
        <v/>
      </c>
      <c r="AF939">
        <f>IF(H939+I939&lt;66,0,IF((H939+I939)/2&gt;=80,5,IF((H939+I939)/2&gt;=70,4,IF((H939+I939)/2&gt;=60,3.5,IF((H939+I939)/2&gt;=50,3,IF((H939+I939)/2&gt;=40,2,IF((H939+I939)/2&gt;=33,1,0)))))))</f>
        <v/>
      </c>
      <c r="AG939">
        <f>IF(Y939,0,IF((J939+K939+L939+M939)/2&gt;=80,5,IF((J939+K939+L939+M939)/2&gt;=70,4,IF((J939+K939+L939+M939)/2&gt;=60,3.5,IF((J939+K939+L939+M939)/2&gt;=50,3,IF((J939+K939+L939+M939)/2&gt;=40,2,IF((J939+K939+L939+M939)/2&gt;=33,1,0)))))))</f>
        <v/>
      </c>
      <c r="AH939">
        <f>IF(Z939,0,IF(N939+O939&gt;=80,5,IF(N939+O939&gt;=70,4,IF(N939+O939&gt;=60,3.5,IF(N939+O939&gt;=50,3,IF(N939+O939&gt;=40,2,IF(N939+O939&gt;=33,1,0)))))))</f>
        <v/>
      </c>
      <c r="AI939">
        <f>IF(AA939,0,IF(P939+Q939&gt;=80,5,IF(P939+Q939&gt;=70,4,IF(P939+Q939&gt;=60,3.5,IF(P939+Q939&gt;=50,3,IF(P939+Q939&gt;=40,2,IF(P939+Q939&gt;=33,1,0)))))))</f>
        <v/>
      </c>
      <c r="AJ939">
        <f>IF(R939&lt;8.25,0,IF(R939*2&gt;=80,5,IF(R939*2&gt;=70,4,IF(R939*2&gt;=60,3.5,IF(R939*2&gt;=50,3,IF(R939*2&gt;=40,2,IF(R939*2&gt;=33,1,0)))))))</f>
        <v/>
      </c>
      <c r="AK939">
        <f>IF(S939&lt;33,0,IF(S939&gt;=80,5,IF(S939&gt;=70,4,IF(S939&gt;=60,3.5,IF(S939&gt;=50,3,IF(S939&gt;=40,2,IF(S939&gt;=33,1,0)))))))</f>
        <v/>
      </c>
      <c r="AL939">
        <f>(AC939+AD939+AE939+AF939+AG939+AH939+AI939+AJ939)/8</f>
        <v/>
      </c>
      <c r="AM939">
        <f>IF(AK939&gt;=2,(AK939-2)/8,0)</f>
        <v/>
      </c>
    </row>
    <row r="940">
      <c r="T940">
        <f>SUM(C940:R940)</f>
        <v/>
      </c>
      <c r="U940" s="6">
        <f>ROUND(T940/11.5,2)</f>
        <v/>
      </c>
      <c r="V940" s="7">
        <f>IF(B940="","",IF(AB940,0,ROUND(AL940,2)))</f>
        <v/>
      </c>
      <c r="W940" s="7">
        <f>IF(B940="","",IF(AB940,0,MIN(5,ROUND(AL940+AM940,2))))</f>
        <v/>
      </c>
      <c r="X940" s="8">
        <f>IF(B940="","",IF(W940&gt;=5,"A+",IF(W940&gt;=4,"A",IF(W940&gt;=3.5,"A-",IF(W940&gt;=3,"B",IF(W940&gt;=2,"C",IF(W940&gt;=1,"D","F")))))))</f>
        <v/>
      </c>
      <c r="Y940">
        <f>NOT(OR(AND(J940&gt;=10,K940&gt;=23,L940&gt;=10,M940&gt;=23),AND(J940+L940&gt;=20,K940+M940&gt;=46)))</f>
        <v/>
      </c>
      <c r="Z940">
        <f>OR(N940&lt;10,O940&lt;23)</f>
        <v/>
      </c>
      <c r="AA940">
        <f>OR(P940&lt;10,Q940&lt;23)</f>
        <v/>
      </c>
      <c r="AB940">
        <f>OR((C940+D940)&lt;66,(E940+F940)&lt;66,G940&lt;33,(H940+I940)&lt;66,Y940,Z940,AA940,R940&lt;8.25)</f>
        <v/>
      </c>
      <c r="AC940">
        <f>IF(C940+D940&lt;66,0,IF((C940+D940)/2&gt;=80,5,IF((C940+D940)/2&gt;=70,4,IF((C940+D940)/2&gt;=60,3.5,IF((C940+D940)/2&gt;=50,3,IF((C940+D940)/2&gt;=40,2,IF((C940+D940)/2&gt;=33,1,0)))))))</f>
        <v/>
      </c>
      <c r="AD940">
        <f>IF(E940+F940&lt;66,0,IF((E940+F940)/2&gt;=80,5,IF((E940+F940)/2&gt;=70,4,IF((E940+F940)/2&gt;=60,3.5,IF((E940+F940)/2&gt;=50,3,IF((E940+F940)/2&gt;=40,2,IF((E940+F940)/2&gt;=33,1,0)))))))</f>
        <v/>
      </c>
      <c r="AE940">
        <f>IF(G940&lt;33,0,IF(G940&gt;=80,5,IF(G940&gt;=70,4,IF(G940&gt;=60,3.5,IF(G940&gt;=50,3,IF(G940&gt;=40,2,IF(G940&gt;=33,1,0)))))))</f>
        <v/>
      </c>
      <c r="AF940">
        <f>IF(H940+I940&lt;66,0,IF((H940+I940)/2&gt;=80,5,IF((H940+I940)/2&gt;=70,4,IF((H940+I940)/2&gt;=60,3.5,IF((H940+I940)/2&gt;=50,3,IF((H940+I940)/2&gt;=40,2,IF((H940+I940)/2&gt;=33,1,0)))))))</f>
        <v/>
      </c>
      <c r="AG940">
        <f>IF(Y940,0,IF((J940+K940+L940+M940)/2&gt;=80,5,IF((J940+K940+L940+M940)/2&gt;=70,4,IF((J940+K940+L940+M940)/2&gt;=60,3.5,IF((J940+K940+L940+M940)/2&gt;=50,3,IF((J940+K940+L940+M940)/2&gt;=40,2,IF((J940+K940+L940+M940)/2&gt;=33,1,0)))))))</f>
        <v/>
      </c>
      <c r="AH940">
        <f>IF(Z940,0,IF(N940+O940&gt;=80,5,IF(N940+O940&gt;=70,4,IF(N940+O940&gt;=60,3.5,IF(N940+O940&gt;=50,3,IF(N940+O940&gt;=40,2,IF(N940+O940&gt;=33,1,0)))))))</f>
        <v/>
      </c>
      <c r="AI940">
        <f>IF(AA940,0,IF(P940+Q940&gt;=80,5,IF(P940+Q940&gt;=70,4,IF(P940+Q940&gt;=60,3.5,IF(P940+Q940&gt;=50,3,IF(P940+Q940&gt;=40,2,IF(P940+Q940&gt;=33,1,0)))))))</f>
        <v/>
      </c>
      <c r="AJ940">
        <f>IF(R940&lt;8.25,0,IF(R940*2&gt;=80,5,IF(R940*2&gt;=70,4,IF(R940*2&gt;=60,3.5,IF(R940*2&gt;=50,3,IF(R940*2&gt;=40,2,IF(R940*2&gt;=33,1,0)))))))</f>
        <v/>
      </c>
      <c r="AK940">
        <f>IF(S940&lt;33,0,IF(S940&gt;=80,5,IF(S940&gt;=70,4,IF(S940&gt;=60,3.5,IF(S940&gt;=50,3,IF(S940&gt;=40,2,IF(S940&gt;=33,1,0)))))))</f>
        <v/>
      </c>
      <c r="AL940">
        <f>(AC940+AD940+AE940+AF940+AG940+AH940+AI940+AJ940)/8</f>
        <v/>
      </c>
      <c r="AM940">
        <f>IF(AK940&gt;=2,(AK940-2)/8,0)</f>
        <v/>
      </c>
    </row>
    <row r="941">
      <c r="T941">
        <f>SUM(C941:R941)</f>
        <v/>
      </c>
      <c r="U941" s="6">
        <f>ROUND(T941/11.5,2)</f>
        <v/>
      </c>
      <c r="V941" s="7">
        <f>IF(B941="","",IF(AB941,0,ROUND(AL941,2)))</f>
        <v/>
      </c>
      <c r="W941" s="7">
        <f>IF(B941="","",IF(AB941,0,MIN(5,ROUND(AL941+AM941,2))))</f>
        <v/>
      </c>
      <c r="X941" s="8">
        <f>IF(B941="","",IF(W941&gt;=5,"A+",IF(W941&gt;=4,"A",IF(W941&gt;=3.5,"A-",IF(W941&gt;=3,"B",IF(W941&gt;=2,"C",IF(W941&gt;=1,"D","F")))))))</f>
        <v/>
      </c>
      <c r="Y941">
        <f>NOT(OR(AND(J941&gt;=10,K941&gt;=23,L941&gt;=10,M941&gt;=23),AND(J941+L941&gt;=20,K941+M941&gt;=46)))</f>
        <v/>
      </c>
      <c r="Z941">
        <f>OR(N941&lt;10,O941&lt;23)</f>
        <v/>
      </c>
      <c r="AA941">
        <f>OR(P941&lt;10,Q941&lt;23)</f>
        <v/>
      </c>
      <c r="AB941">
        <f>OR((C941+D941)&lt;66,(E941+F941)&lt;66,G941&lt;33,(H941+I941)&lt;66,Y941,Z941,AA941,R941&lt;8.25)</f>
        <v/>
      </c>
      <c r="AC941">
        <f>IF(C941+D941&lt;66,0,IF((C941+D941)/2&gt;=80,5,IF((C941+D941)/2&gt;=70,4,IF((C941+D941)/2&gt;=60,3.5,IF((C941+D941)/2&gt;=50,3,IF((C941+D941)/2&gt;=40,2,IF((C941+D941)/2&gt;=33,1,0)))))))</f>
        <v/>
      </c>
      <c r="AD941">
        <f>IF(E941+F941&lt;66,0,IF((E941+F941)/2&gt;=80,5,IF((E941+F941)/2&gt;=70,4,IF((E941+F941)/2&gt;=60,3.5,IF((E941+F941)/2&gt;=50,3,IF((E941+F941)/2&gt;=40,2,IF((E941+F941)/2&gt;=33,1,0)))))))</f>
        <v/>
      </c>
      <c r="AE941">
        <f>IF(G941&lt;33,0,IF(G941&gt;=80,5,IF(G941&gt;=70,4,IF(G941&gt;=60,3.5,IF(G941&gt;=50,3,IF(G941&gt;=40,2,IF(G941&gt;=33,1,0)))))))</f>
        <v/>
      </c>
      <c r="AF941">
        <f>IF(H941+I941&lt;66,0,IF((H941+I941)/2&gt;=80,5,IF((H941+I941)/2&gt;=70,4,IF((H941+I941)/2&gt;=60,3.5,IF((H941+I941)/2&gt;=50,3,IF((H941+I941)/2&gt;=40,2,IF((H941+I941)/2&gt;=33,1,0)))))))</f>
        <v/>
      </c>
      <c r="AG941">
        <f>IF(Y941,0,IF((J941+K941+L941+M941)/2&gt;=80,5,IF((J941+K941+L941+M941)/2&gt;=70,4,IF((J941+K941+L941+M941)/2&gt;=60,3.5,IF((J941+K941+L941+M941)/2&gt;=50,3,IF((J941+K941+L941+M941)/2&gt;=40,2,IF((J941+K941+L941+M941)/2&gt;=33,1,0)))))))</f>
        <v/>
      </c>
      <c r="AH941">
        <f>IF(Z941,0,IF(N941+O941&gt;=80,5,IF(N941+O941&gt;=70,4,IF(N941+O941&gt;=60,3.5,IF(N941+O941&gt;=50,3,IF(N941+O941&gt;=40,2,IF(N941+O941&gt;=33,1,0)))))))</f>
        <v/>
      </c>
      <c r="AI941">
        <f>IF(AA941,0,IF(P941+Q941&gt;=80,5,IF(P941+Q941&gt;=70,4,IF(P941+Q941&gt;=60,3.5,IF(P941+Q941&gt;=50,3,IF(P941+Q941&gt;=40,2,IF(P941+Q941&gt;=33,1,0)))))))</f>
        <v/>
      </c>
      <c r="AJ941">
        <f>IF(R941&lt;8.25,0,IF(R941*2&gt;=80,5,IF(R941*2&gt;=70,4,IF(R941*2&gt;=60,3.5,IF(R941*2&gt;=50,3,IF(R941*2&gt;=40,2,IF(R941*2&gt;=33,1,0)))))))</f>
        <v/>
      </c>
      <c r="AK941">
        <f>IF(S941&lt;33,0,IF(S941&gt;=80,5,IF(S941&gt;=70,4,IF(S941&gt;=60,3.5,IF(S941&gt;=50,3,IF(S941&gt;=40,2,IF(S941&gt;=33,1,0)))))))</f>
        <v/>
      </c>
      <c r="AL941">
        <f>(AC941+AD941+AE941+AF941+AG941+AH941+AI941+AJ941)/8</f>
        <v/>
      </c>
      <c r="AM941">
        <f>IF(AK941&gt;=2,(AK941-2)/8,0)</f>
        <v/>
      </c>
    </row>
    <row r="942">
      <c r="T942">
        <f>SUM(C942:R942)</f>
        <v/>
      </c>
      <c r="U942" s="6">
        <f>ROUND(T942/11.5,2)</f>
        <v/>
      </c>
      <c r="V942" s="7">
        <f>IF(B942="","",IF(AB942,0,ROUND(AL942,2)))</f>
        <v/>
      </c>
      <c r="W942" s="7">
        <f>IF(B942="","",IF(AB942,0,MIN(5,ROUND(AL942+AM942,2))))</f>
        <v/>
      </c>
      <c r="X942" s="8">
        <f>IF(B942="","",IF(W942&gt;=5,"A+",IF(W942&gt;=4,"A",IF(W942&gt;=3.5,"A-",IF(W942&gt;=3,"B",IF(W942&gt;=2,"C",IF(W942&gt;=1,"D","F")))))))</f>
        <v/>
      </c>
      <c r="Y942">
        <f>NOT(OR(AND(J942&gt;=10,K942&gt;=23,L942&gt;=10,M942&gt;=23),AND(J942+L942&gt;=20,K942+M942&gt;=46)))</f>
        <v/>
      </c>
      <c r="Z942">
        <f>OR(N942&lt;10,O942&lt;23)</f>
        <v/>
      </c>
      <c r="AA942">
        <f>OR(P942&lt;10,Q942&lt;23)</f>
        <v/>
      </c>
      <c r="AB942">
        <f>OR((C942+D942)&lt;66,(E942+F942)&lt;66,G942&lt;33,(H942+I942)&lt;66,Y942,Z942,AA942,R942&lt;8.25)</f>
        <v/>
      </c>
      <c r="AC942">
        <f>IF(C942+D942&lt;66,0,IF((C942+D942)/2&gt;=80,5,IF((C942+D942)/2&gt;=70,4,IF((C942+D942)/2&gt;=60,3.5,IF((C942+D942)/2&gt;=50,3,IF((C942+D942)/2&gt;=40,2,IF((C942+D942)/2&gt;=33,1,0)))))))</f>
        <v/>
      </c>
      <c r="AD942">
        <f>IF(E942+F942&lt;66,0,IF((E942+F942)/2&gt;=80,5,IF((E942+F942)/2&gt;=70,4,IF((E942+F942)/2&gt;=60,3.5,IF((E942+F942)/2&gt;=50,3,IF((E942+F942)/2&gt;=40,2,IF((E942+F942)/2&gt;=33,1,0)))))))</f>
        <v/>
      </c>
      <c r="AE942">
        <f>IF(G942&lt;33,0,IF(G942&gt;=80,5,IF(G942&gt;=70,4,IF(G942&gt;=60,3.5,IF(G942&gt;=50,3,IF(G942&gt;=40,2,IF(G942&gt;=33,1,0)))))))</f>
        <v/>
      </c>
      <c r="AF942">
        <f>IF(H942+I942&lt;66,0,IF((H942+I942)/2&gt;=80,5,IF((H942+I942)/2&gt;=70,4,IF((H942+I942)/2&gt;=60,3.5,IF((H942+I942)/2&gt;=50,3,IF((H942+I942)/2&gt;=40,2,IF((H942+I942)/2&gt;=33,1,0)))))))</f>
        <v/>
      </c>
      <c r="AG942">
        <f>IF(Y942,0,IF((J942+K942+L942+M942)/2&gt;=80,5,IF((J942+K942+L942+M942)/2&gt;=70,4,IF((J942+K942+L942+M942)/2&gt;=60,3.5,IF((J942+K942+L942+M942)/2&gt;=50,3,IF((J942+K942+L942+M942)/2&gt;=40,2,IF((J942+K942+L942+M942)/2&gt;=33,1,0)))))))</f>
        <v/>
      </c>
      <c r="AH942">
        <f>IF(Z942,0,IF(N942+O942&gt;=80,5,IF(N942+O942&gt;=70,4,IF(N942+O942&gt;=60,3.5,IF(N942+O942&gt;=50,3,IF(N942+O942&gt;=40,2,IF(N942+O942&gt;=33,1,0)))))))</f>
        <v/>
      </c>
      <c r="AI942">
        <f>IF(AA942,0,IF(P942+Q942&gt;=80,5,IF(P942+Q942&gt;=70,4,IF(P942+Q942&gt;=60,3.5,IF(P942+Q942&gt;=50,3,IF(P942+Q942&gt;=40,2,IF(P942+Q942&gt;=33,1,0)))))))</f>
        <v/>
      </c>
      <c r="AJ942">
        <f>IF(R942&lt;8.25,0,IF(R942*2&gt;=80,5,IF(R942*2&gt;=70,4,IF(R942*2&gt;=60,3.5,IF(R942*2&gt;=50,3,IF(R942*2&gt;=40,2,IF(R942*2&gt;=33,1,0)))))))</f>
        <v/>
      </c>
      <c r="AK942">
        <f>IF(S942&lt;33,0,IF(S942&gt;=80,5,IF(S942&gt;=70,4,IF(S942&gt;=60,3.5,IF(S942&gt;=50,3,IF(S942&gt;=40,2,IF(S942&gt;=33,1,0)))))))</f>
        <v/>
      </c>
      <c r="AL942">
        <f>(AC942+AD942+AE942+AF942+AG942+AH942+AI942+AJ942)/8</f>
        <v/>
      </c>
      <c r="AM942">
        <f>IF(AK942&gt;=2,(AK942-2)/8,0)</f>
        <v/>
      </c>
    </row>
    <row r="943">
      <c r="T943">
        <f>SUM(C943:R943)</f>
        <v/>
      </c>
      <c r="U943" s="6">
        <f>ROUND(T943/11.5,2)</f>
        <v/>
      </c>
      <c r="V943" s="7">
        <f>IF(B943="","",IF(AB943,0,ROUND(AL943,2)))</f>
        <v/>
      </c>
      <c r="W943" s="7">
        <f>IF(B943="","",IF(AB943,0,MIN(5,ROUND(AL943+AM943,2))))</f>
        <v/>
      </c>
      <c r="X943" s="8">
        <f>IF(B943="","",IF(W943&gt;=5,"A+",IF(W943&gt;=4,"A",IF(W943&gt;=3.5,"A-",IF(W943&gt;=3,"B",IF(W943&gt;=2,"C",IF(W943&gt;=1,"D","F")))))))</f>
        <v/>
      </c>
      <c r="Y943">
        <f>NOT(OR(AND(J943&gt;=10,K943&gt;=23,L943&gt;=10,M943&gt;=23),AND(J943+L943&gt;=20,K943+M943&gt;=46)))</f>
        <v/>
      </c>
      <c r="Z943">
        <f>OR(N943&lt;10,O943&lt;23)</f>
        <v/>
      </c>
      <c r="AA943">
        <f>OR(P943&lt;10,Q943&lt;23)</f>
        <v/>
      </c>
      <c r="AB943">
        <f>OR((C943+D943)&lt;66,(E943+F943)&lt;66,G943&lt;33,(H943+I943)&lt;66,Y943,Z943,AA943,R943&lt;8.25)</f>
        <v/>
      </c>
      <c r="AC943">
        <f>IF(C943+D943&lt;66,0,IF((C943+D943)/2&gt;=80,5,IF((C943+D943)/2&gt;=70,4,IF((C943+D943)/2&gt;=60,3.5,IF((C943+D943)/2&gt;=50,3,IF((C943+D943)/2&gt;=40,2,IF((C943+D943)/2&gt;=33,1,0)))))))</f>
        <v/>
      </c>
      <c r="AD943">
        <f>IF(E943+F943&lt;66,0,IF((E943+F943)/2&gt;=80,5,IF((E943+F943)/2&gt;=70,4,IF((E943+F943)/2&gt;=60,3.5,IF((E943+F943)/2&gt;=50,3,IF((E943+F943)/2&gt;=40,2,IF((E943+F943)/2&gt;=33,1,0)))))))</f>
        <v/>
      </c>
      <c r="AE943">
        <f>IF(G943&lt;33,0,IF(G943&gt;=80,5,IF(G943&gt;=70,4,IF(G943&gt;=60,3.5,IF(G943&gt;=50,3,IF(G943&gt;=40,2,IF(G943&gt;=33,1,0)))))))</f>
        <v/>
      </c>
      <c r="AF943">
        <f>IF(H943+I943&lt;66,0,IF((H943+I943)/2&gt;=80,5,IF((H943+I943)/2&gt;=70,4,IF((H943+I943)/2&gt;=60,3.5,IF((H943+I943)/2&gt;=50,3,IF((H943+I943)/2&gt;=40,2,IF((H943+I943)/2&gt;=33,1,0)))))))</f>
        <v/>
      </c>
      <c r="AG943">
        <f>IF(Y943,0,IF((J943+K943+L943+M943)/2&gt;=80,5,IF((J943+K943+L943+M943)/2&gt;=70,4,IF((J943+K943+L943+M943)/2&gt;=60,3.5,IF((J943+K943+L943+M943)/2&gt;=50,3,IF((J943+K943+L943+M943)/2&gt;=40,2,IF((J943+K943+L943+M943)/2&gt;=33,1,0)))))))</f>
        <v/>
      </c>
      <c r="AH943">
        <f>IF(Z943,0,IF(N943+O943&gt;=80,5,IF(N943+O943&gt;=70,4,IF(N943+O943&gt;=60,3.5,IF(N943+O943&gt;=50,3,IF(N943+O943&gt;=40,2,IF(N943+O943&gt;=33,1,0)))))))</f>
        <v/>
      </c>
      <c r="AI943">
        <f>IF(AA943,0,IF(P943+Q943&gt;=80,5,IF(P943+Q943&gt;=70,4,IF(P943+Q943&gt;=60,3.5,IF(P943+Q943&gt;=50,3,IF(P943+Q943&gt;=40,2,IF(P943+Q943&gt;=33,1,0)))))))</f>
        <v/>
      </c>
      <c r="AJ943">
        <f>IF(R943&lt;8.25,0,IF(R943*2&gt;=80,5,IF(R943*2&gt;=70,4,IF(R943*2&gt;=60,3.5,IF(R943*2&gt;=50,3,IF(R943*2&gt;=40,2,IF(R943*2&gt;=33,1,0)))))))</f>
        <v/>
      </c>
      <c r="AK943">
        <f>IF(S943&lt;33,0,IF(S943&gt;=80,5,IF(S943&gt;=70,4,IF(S943&gt;=60,3.5,IF(S943&gt;=50,3,IF(S943&gt;=40,2,IF(S943&gt;=33,1,0)))))))</f>
        <v/>
      </c>
      <c r="AL943">
        <f>(AC943+AD943+AE943+AF943+AG943+AH943+AI943+AJ943)/8</f>
        <v/>
      </c>
      <c r="AM943">
        <f>IF(AK943&gt;=2,(AK943-2)/8,0)</f>
        <v/>
      </c>
    </row>
    <row r="944">
      <c r="T944">
        <f>SUM(C944:R944)</f>
        <v/>
      </c>
      <c r="U944" s="6">
        <f>ROUND(T944/11.5,2)</f>
        <v/>
      </c>
      <c r="V944" s="7">
        <f>IF(B944="","",IF(AB944,0,ROUND(AL944,2)))</f>
        <v/>
      </c>
      <c r="W944" s="7">
        <f>IF(B944="","",IF(AB944,0,MIN(5,ROUND(AL944+AM944,2))))</f>
        <v/>
      </c>
      <c r="X944" s="8">
        <f>IF(B944="","",IF(W944&gt;=5,"A+",IF(W944&gt;=4,"A",IF(W944&gt;=3.5,"A-",IF(W944&gt;=3,"B",IF(W944&gt;=2,"C",IF(W944&gt;=1,"D","F")))))))</f>
        <v/>
      </c>
      <c r="Y944">
        <f>NOT(OR(AND(J944&gt;=10,K944&gt;=23,L944&gt;=10,M944&gt;=23),AND(J944+L944&gt;=20,K944+M944&gt;=46)))</f>
        <v/>
      </c>
      <c r="Z944">
        <f>OR(N944&lt;10,O944&lt;23)</f>
        <v/>
      </c>
      <c r="AA944">
        <f>OR(P944&lt;10,Q944&lt;23)</f>
        <v/>
      </c>
      <c r="AB944">
        <f>OR((C944+D944)&lt;66,(E944+F944)&lt;66,G944&lt;33,(H944+I944)&lt;66,Y944,Z944,AA944,R944&lt;8.25)</f>
        <v/>
      </c>
      <c r="AC944">
        <f>IF(C944+D944&lt;66,0,IF((C944+D944)/2&gt;=80,5,IF((C944+D944)/2&gt;=70,4,IF((C944+D944)/2&gt;=60,3.5,IF((C944+D944)/2&gt;=50,3,IF((C944+D944)/2&gt;=40,2,IF((C944+D944)/2&gt;=33,1,0)))))))</f>
        <v/>
      </c>
      <c r="AD944">
        <f>IF(E944+F944&lt;66,0,IF((E944+F944)/2&gt;=80,5,IF((E944+F944)/2&gt;=70,4,IF((E944+F944)/2&gt;=60,3.5,IF((E944+F944)/2&gt;=50,3,IF((E944+F944)/2&gt;=40,2,IF((E944+F944)/2&gt;=33,1,0)))))))</f>
        <v/>
      </c>
      <c r="AE944">
        <f>IF(G944&lt;33,0,IF(G944&gt;=80,5,IF(G944&gt;=70,4,IF(G944&gt;=60,3.5,IF(G944&gt;=50,3,IF(G944&gt;=40,2,IF(G944&gt;=33,1,0)))))))</f>
        <v/>
      </c>
      <c r="AF944">
        <f>IF(H944+I944&lt;66,0,IF((H944+I944)/2&gt;=80,5,IF((H944+I944)/2&gt;=70,4,IF((H944+I944)/2&gt;=60,3.5,IF((H944+I944)/2&gt;=50,3,IF((H944+I944)/2&gt;=40,2,IF((H944+I944)/2&gt;=33,1,0)))))))</f>
        <v/>
      </c>
      <c r="AG944">
        <f>IF(Y944,0,IF((J944+K944+L944+M944)/2&gt;=80,5,IF((J944+K944+L944+M944)/2&gt;=70,4,IF((J944+K944+L944+M944)/2&gt;=60,3.5,IF((J944+K944+L944+M944)/2&gt;=50,3,IF((J944+K944+L944+M944)/2&gt;=40,2,IF((J944+K944+L944+M944)/2&gt;=33,1,0)))))))</f>
        <v/>
      </c>
      <c r="AH944">
        <f>IF(Z944,0,IF(N944+O944&gt;=80,5,IF(N944+O944&gt;=70,4,IF(N944+O944&gt;=60,3.5,IF(N944+O944&gt;=50,3,IF(N944+O944&gt;=40,2,IF(N944+O944&gt;=33,1,0)))))))</f>
        <v/>
      </c>
      <c r="AI944">
        <f>IF(AA944,0,IF(P944+Q944&gt;=80,5,IF(P944+Q944&gt;=70,4,IF(P944+Q944&gt;=60,3.5,IF(P944+Q944&gt;=50,3,IF(P944+Q944&gt;=40,2,IF(P944+Q944&gt;=33,1,0)))))))</f>
        <v/>
      </c>
      <c r="AJ944">
        <f>IF(R944&lt;8.25,0,IF(R944*2&gt;=80,5,IF(R944*2&gt;=70,4,IF(R944*2&gt;=60,3.5,IF(R944*2&gt;=50,3,IF(R944*2&gt;=40,2,IF(R944*2&gt;=33,1,0)))))))</f>
        <v/>
      </c>
      <c r="AK944">
        <f>IF(S944&lt;33,0,IF(S944&gt;=80,5,IF(S944&gt;=70,4,IF(S944&gt;=60,3.5,IF(S944&gt;=50,3,IF(S944&gt;=40,2,IF(S944&gt;=33,1,0)))))))</f>
        <v/>
      </c>
      <c r="AL944">
        <f>(AC944+AD944+AE944+AF944+AG944+AH944+AI944+AJ944)/8</f>
        <v/>
      </c>
      <c r="AM944">
        <f>IF(AK944&gt;=2,(AK944-2)/8,0)</f>
        <v/>
      </c>
    </row>
    <row r="945">
      <c r="T945">
        <f>SUM(C945:R945)</f>
        <v/>
      </c>
      <c r="U945" s="6">
        <f>ROUND(T945/11.5,2)</f>
        <v/>
      </c>
      <c r="V945" s="7">
        <f>IF(B945="","",IF(AB945,0,ROUND(AL945,2)))</f>
        <v/>
      </c>
      <c r="W945" s="7">
        <f>IF(B945="","",IF(AB945,0,MIN(5,ROUND(AL945+AM945,2))))</f>
        <v/>
      </c>
      <c r="X945" s="8">
        <f>IF(B945="","",IF(W945&gt;=5,"A+",IF(W945&gt;=4,"A",IF(W945&gt;=3.5,"A-",IF(W945&gt;=3,"B",IF(W945&gt;=2,"C",IF(W945&gt;=1,"D","F")))))))</f>
        <v/>
      </c>
      <c r="Y945">
        <f>NOT(OR(AND(J945&gt;=10,K945&gt;=23,L945&gt;=10,M945&gt;=23),AND(J945+L945&gt;=20,K945+M945&gt;=46)))</f>
        <v/>
      </c>
      <c r="Z945">
        <f>OR(N945&lt;10,O945&lt;23)</f>
        <v/>
      </c>
      <c r="AA945">
        <f>OR(P945&lt;10,Q945&lt;23)</f>
        <v/>
      </c>
      <c r="AB945">
        <f>OR((C945+D945)&lt;66,(E945+F945)&lt;66,G945&lt;33,(H945+I945)&lt;66,Y945,Z945,AA945,R945&lt;8.25)</f>
        <v/>
      </c>
      <c r="AC945">
        <f>IF(C945+D945&lt;66,0,IF((C945+D945)/2&gt;=80,5,IF((C945+D945)/2&gt;=70,4,IF((C945+D945)/2&gt;=60,3.5,IF((C945+D945)/2&gt;=50,3,IF((C945+D945)/2&gt;=40,2,IF((C945+D945)/2&gt;=33,1,0)))))))</f>
        <v/>
      </c>
      <c r="AD945">
        <f>IF(E945+F945&lt;66,0,IF((E945+F945)/2&gt;=80,5,IF((E945+F945)/2&gt;=70,4,IF((E945+F945)/2&gt;=60,3.5,IF((E945+F945)/2&gt;=50,3,IF((E945+F945)/2&gt;=40,2,IF((E945+F945)/2&gt;=33,1,0)))))))</f>
        <v/>
      </c>
      <c r="AE945">
        <f>IF(G945&lt;33,0,IF(G945&gt;=80,5,IF(G945&gt;=70,4,IF(G945&gt;=60,3.5,IF(G945&gt;=50,3,IF(G945&gt;=40,2,IF(G945&gt;=33,1,0)))))))</f>
        <v/>
      </c>
      <c r="AF945">
        <f>IF(H945+I945&lt;66,0,IF((H945+I945)/2&gt;=80,5,IF((H945+I945)/2&gt;=70,4,IF((H945+I945)/2&gt;=60,3.5,IF((H945+I945)/2&gt;=50,3,IF((H945+I945)/2&gt;=40,2,IF((H945+I945)/2&gt;=33,1,0)))))))</f>
        <v/>
      </c>
      <c r="AG945">
        <f>IF(Y945,0,IF((J945+K945+L945+M945)/2&gt;=80,5,IF((J945+K945+L945+M945)/2&gt;=70,4,IF((J945+K945+L945+M945)/2&gt;=60,3.5,IF((J945+K945+L945+M945)/2&gt;=50,3,IF((J945+K945+L945+M945)/2&gt;=40,2,IF((J945+K945+L945+M945)/2&gt;=33,1,0)))))))</f>
        <v/>
      </c>
      <c r="AH945">
        <f>IF(Z945,0,IF(N945+O945&gt;=80,5,IF(N945+O945&gt;=70,4,IF(N945+O945&gt;=60,3.5,IF(N945+O945&gt;=50,3,IF(N945+O945&gt;=40,2,IF(N945+O945&gt;=33,1,0)))))))</f>
        <v/>
      </c>
      <c r="AI945">
        <f>IF(AA945,0,IF(P945+Q945&gt;=80,5,IF(P945+Q945&gt;=70,4,IF(P945+Q945&gt;=60,3.5,IF(P945+Q945&gt;=50,3,IF(P945+Q945&gt;=40,2,IF(P945+Q945&gt;=33,1,0)))))))</f>
        <v/>
      </c>
      <c r="AJ945">
        <f>IF(R945&lt;8.25,0,IF(R945*2&gt;=80,5,IF(R945*2&gt;=70,4,IF(R945*2&gt;=60,3.5,IF(R945*2&gt;=50,3,IF(R945*2&gt;=40,2,IF(R945*2&gt;=33,1,0)))))))</f>
        <v/>
      </c>
      <c r="AK945">
        <f>IF(S945&lt;33,0,IF(S945&gt;=80,5,IF(S945&gt;=70,4,IF(S945&gt;=60,3.5,IF(S945&gt;=50,3,IF(S945&gt;=40,2,IF(S945&gt;=33,1,0)))))))</f>
        <v/>
      </c>
      <c r="AL945">
        <f>(AC945+AD945+AE945+AF945+AG945+AH945+AI945+AJ945)/8</f>
        <v/>
      </c>
      <c r="AM945">
        <f>IF(AK945&gt;=2,(AK945-2)/8,0)</f>
        <v/>
      </c>
    </row>
    <row r="946">
      <c r="T946">
        <f>SUM(C946:R946)</f>
        <v/>
      </c>
      <c r="U946" s="6">
        <f>ROUND(T946/11.5,2)</f>
        <v/>
      </c>
      <c r="V946" s="7">
        <f>IF(B946="","",IF(AB946,0,ROUND(AL946,2)))</f>
        <v/>
      </c>
      <c r="W946" s="7">
        <f>IF(B946="","",IF(AB946,0,MIN(5,ROUND(AL946+AM946,2))))</f>
        <v/>
      </c>
      <c r="X946" s="8">
        <f>IF(B946="","",IF(W946&gt;=5,"A+",IF(W946&gt;=4,"A",IF(W946&gt;=3.5,"A-",IF(W946&gt;=3,"B",IF(W946&gt;=2,"C",IF(W946&gt;=1,"D","F")))))))</f>
        <v/>
      </c>
      <c r="Y946">
        <f>NOT(OR(AND(J946&gt;=10,K946&gt;=23,L946&gt;=10,M946&gt;=23),AND(J946+L946&gt;=20,K946+M946&gt;=46)))</f>
        <v/>
      </c>
      <c r="Z946">
        <f>OR(N946&lt;10,O946&lt;23)</f>
        <v/>
      </c>
      <c r="AA946">
        <f>OR(P946&lt;10,Q946&lt;23)</f>
        <v/>
      </c>
      <c r="AB946">
        <f>OR((C946+D946)&lt;66,(E946+F946)&lt;66,G946&lt;33,(H946+I946)&lt;66,Y946,Z946,AA946,R946&lt;8.25)</f>
        <v/>
      </c>
      <c r="AC946">
        <f>IF(C946+D946&lt;66,0,IF((C946+D946)/2&gt;=80,5,IF((C946+D946)/2&gt;=70,4,IF((C946+D946)/2&gt;=60,3.5,IF((C946+D946)/2&gt;=50,3,IF((C946+D946)/2&gt;=40,2,IF((C946+D946)/2&gt;=33,1,0)))))))</f>
        <v/>
      </c>
      <c r="AD946">
        <f>IF(E946+F946&lt;66,0,IF((E946+F946)/2&gt;=80,5,IF((E946+F946)/2&gt;=70,4,IF((E946+F946)/2&gt;=60,3.5,IF((E946+F946)/2&gt;=50,3,IF((E946+F946)/2&gt;=40,2,IF((E946+F946)/2&gt;=33,1,0)))))))</f>
        <v/>
      </c>
      <c r="AE946">
        <f>IF(G946&lt;33,0,IF(G946&gt;=80,5,IF(G946&gt;=70,4,IF(G946&gt;=60,3.5,IF(G946&gt;=50,3,IF(G946&gt;=40,2,IF(G946&gt;=33,1,0)))))))</f>
        <v/>
      </c>
      <c r="AF946">
        <f>IF(H946+I946&lt;66,0,IF((H946+I946)/2&gt;=80,5,IF((H946+I946)/2&gt;=70,4,IF((H946+I946)/2&gt;=60,3.5,IF((H946+I946)/2&gt;=50,3,IF((H946+I946)/2&gt;=40,2,IF((H946+I946)/2&gt;=33,1,0)))))))</f>
        <v/>
      </c>
      <c r="AG946">
        <f>IF(Y946,0,IF((J946+K946+L946+M946)/2&gt;=80,5,IF((J946+K946+L946+M946)/2&gt;=70,4,IF((J946+K946+L946+M946)/2&gt;=60,3.5,IF((J946+K946+L946+M946)/2&gt;=50,3,IF((J946+K946+L946+M946)/2&gt;=40,2,IF((J946+K946+L946+M946)/2&gt;=33,1,0)))))))</f>
        <v/>
      </c>
      <c r="AH946">
        <f>IF(Z946,0,IF(N946+O946&gt;=80,5,IF(N946+O946&gt;=70,4,IF(N946+O946&gt;=60,3.5,IF(N946+O946&gt;=50,3,IF(N946+O946&gt;=40,2,IF(N946+O946&gt;=33,1,0)))))))</f>
        <v/>
      </c>
      <c r="AI946">
        <f>IF(AA946,0,IF(P946+Q946&gt;=80,5,IF(P946+Q946&gt;=70,4,IF(P946+Q946&gt;=60,3.5,IF(P946+Q946&gt;=50,3,IF(P946+Q946&gt;=40,2,IF(P946+Q946&gt;=33,1,0)))))))</f>
        <v/>
      </c>
      <c r="AJ946">
        <f>IF(R946&lt;8.25,0,IF(R946*2&gt;=80,5,IF(R946*2&gt;=70,4,IF(R946*2&gt;=60,3.5,IF(R946*2&gt;=50,3,IF(R946*2&gt;=40,2,IF(R946*2&gt;=33,1,0)))))))</f>
        <v/>
      </c>
      <c r="AK946">
        <f>IF(S946&lt;33,0,IF(S946&gt;=80,5,IF(S946&gt;=70,4,IF(S946&gt;=60,3.5,IF(S946&gt;=50,3,IF(S946&gt;=40,2,IF(S946&gt;=33,1,0)))))))</f>
        <v/>
      </c>
      <c r="AL946">
        <f>(AC946+AD946+AE946+AF946+AG946+AH946+AI946+AJ946)/8</f>
        <v/>
      </c>
      <c r="AM946">
        <f>IF(AK946&gt;=2,(AK946-2)/8,0)</f>
        <v/>
      </c>
    </row>
    <row r="947">
      <c r="T947">
        <f>SUM(C947:R947)</f>
        <v/>
      </c>
      <c r="U947" s="6">
        <f>ROUND(T947/11.5,2)</f>
        <v/>
      </c>
      <c r="V947" s="7">
        <f>IF(B947="","",IF(AB947,0,ROUND(AL947,2)))</f>
        <v/>
      </c>
      <c r="W947" s="7">
        <f>IF(B947="","",IF(AB947,0,MIN(5,ROUND(AL947+AM947,2))))</f>
        <v/>
      </c>
      <c r="X947" s="8">
        <f>IF(B947="","",IF(W947&gt;=5,"A+",IF(W947&gt;=4,"A",IF(W947&gt;=3.5,"A-",IF(W947&gt;=3,"B",IF(W947&gt;=2,"C",IF(W947&gt;=1,"D","F")))))))</f>
        <v/>
      </c>
      <c r="Y947">
        <f>NOT(OR(AND(J947&gt;=10,K947&gt;=23,L947&gt;=10,M947&gt;=23),AND(J947+L947&gt;=20,K947+M947&gt;=46)))</f>
        <v/>
      </c>
      <c r="Z947">
        <f>OR(N947&lt;10,O947&lt;23)</f>
        <v/>
      </c>
      <c r="AA947">
        <f>OR(P947&lt;10,Q947&lt;23)</f>
        <v/>
      </c>
      <c r="AB947">
        <f>OR((C947+D947)&lt;66,(E947+F947)&lt;66,G947&lt;33,(H947+I947)&lt;66,Y947,Z947,AA947,R947&lt;8.25)</f>
        <v/>
      </c>
      <c r="AC947">
        <f>IF(C947+D947&lt;66,0,IF((C947+D947)/2&gt;=80,5,IF((C947+D947)/2&gt;=70,4,IF((C947+D947)/2&gt;=60,3.5,IF((C947+D947)/2&gt;=50,3,IF((C947+D947)/2&gt;=40,2,IF((C947+D947)/2&gt;=33,1,0)))))))</f>
        <v/>
      </c>
      <c r="AD947">
        <f>IF(E947+F947&lt;66,0,IF((E947+F947)/2&gt;=80,5,IF((E947+F947)/2&gt;=70,4,IF((E947+F947)/2&gt;=60,3.5,IF((E947+F947)/2&gt;=50,3,IF((E947+F947)/2&gt;=40,2,IF((E947+F947)/2&gt;=33,1,0)))))))</f>
        <v/>
      </c>
      <c r="AE947">
        <f>IF(G947&lt;33,0,IF(G947&gt;=80,5,IF(G947&gt;=70,4,IF(G947&gt;=60,3.5,IF(G947&gt;=50,3,IF(G947&gt;=40,2,IF(G947&gt;=33,1,0)))))))</f>
        <v/>
      </c>
      <c r="AF947">
        <f>IF(H947+I947&lt;66,0,IF((H947+I947)/2&gt;=80,5,IF((H947+I947)/2&gt;=70,4,IF((H947+I947)/2&gt;=60,3.5,IF((H947+I947)/2&gt;=50,3,IF((H947+I947)/2&gt;=40,2,IF((H947+I947)/2&gt;=33,1,0)))))))</f>
        <v/>
      </c>
      <c r="AG947">
        <f>IF(Y947,0,IF((J947+K947+L947+M947)/2&gt;=80,5,IF((J947+K947+L947+M947)/2&gt;=70,4,IF((J947+K947+L947+M947)/2&gt;=60,3.5,IF((J947+K947+L947+M947)/2&gt;=50,3,IF((J947+K947+L947+M947)/2&gt;=40,2,IF((J947+K947+L947+M947)/2&gt;=33,1,0)))))))</f>
        <v/>
      </c>
      <c r="AH947">
        <f>IF(Z947,0,IF(N947+O947&gt;=80,5,IF(N947+O947&gt;=70,4,IF(N947+O947&gt;=60,3.5,IF(N947+O947&gt;=50,3,IF(N947+O947&gt;=40,2,IF(N947+O947&gt;=33,1,0)))))))</f>
        <v/>
      </c>
      <c r="AI947">
        <f>IF(AA947,0,IF(P947+Q947&gt;=80,5,IF(P947+Q947&gt;=70,4,IF(P947+Q947&gt;=60,3.5,IF(P947+Q947&gt;=50,3,IF(P947+Q947&gt;=40,2,IF(P947+Q947&gt;=33,1,0)))))))</f>
        <v/>
      </c>
      <c r="AJ947">
        <f>IF(R947&lt;8.25,0,IF(R947*2&gt;=80,5,IF(R947*2&gt;=70,4,IF(R947*2&gt;=60,3.5,IF(R947*2&gt;=50,3,IF(R947*2&gt;=40,2,IF(R947*2&gt;=33,1,0)))))))</f>
        <v/>
      </c>
      <c r="AK947">
        <f>IF(S947&lt;33,0,IF(S947&gt;=80,5,IF(S947&gt;=70,4,IF(S947&gt;=60,3.5,IF(S947&gt;=50,3,IF(S947&gt;=40,2,IF(S947&gt;=33,1,0)))))))</f>
        <v/>
      </c>
      <c r="AL947">
        <f>(AC947+AD947+AE947+AF947+AG947+AH947+AI947+AJ947)/8</f>
        <v/>
      </c>
      <c r="AM947">
        <f>IF(AK947&gt;=2,(AK947-2)/8,0)</f>
        <v/>
      </c>
    </row>
    <row r="948">
      <c r="T948">
        <f>SUM(C948:R948)</f>
        <v/>
      </c>
      <c r="U948" s="6">
        <f>ROUND(T948/11.5,2)</f>
        <v/>
      </c>
      <c r="V948" s="7">
        <f>IF(B948="","",IF(AB948,0,ROUND(AL948,2)))</f>
        <v/>
      </c>
      <c r="W948" s="7">
        <f>IF(B948="","",IF(AB948,0,MIN(5,ROUND(AL948+AM948,2))))</f>
        <v/>
      </c>
      <c r="X948" s="8">
        <f>IF(B948="","",IF(W948&gt;=5,"A+",IF(W948&gt;=4,"A",IF(W948&gt;=3.5,"A-",IF(W948&gt;=3,"B",IF(W948&gt;=2,"C",IF(W948&gt;=1,"D","F")))))))</f>
        <v/>
      </c>
      <c r="Y948">
        <f>NOT(OR(AND(J948&gt;=10,K948&gt;=23,L948&gt;=10,M948&gt;=23),AND(J948+L948&gt;=20,K948+M948&gt;=46)))</f>
        <v/>
      </c>
      <c r="Z948">
        <f>OR(N948&lt;10,O948&lt;23)</f>
        <v/>
      </c>
      <c r="AA948">
        <f>OR(P948&lt;10,Q948&lt;23)</f>
        <v/>
      </c>
      <c r="AB948">
        <f>OR((C948+D948)&lt;66,(E948+F948)&lt;66,G948&lt;33,(H948+I948)&lt;66,Y948,Z948,AA948,R948&lt;8.25)</f>
        <v/>
      </c>
      <c r="AC948">
        <f>IF(C948+D948&lt;66,0,IF((C948+D948)/2&gt;=80,5,IF((C948+D948)/2&gt;=70,4,IF((C948+D948)/2&gt;=60,3.5,IF((C948+D948)/2&gt;=50,3,IF((C948+D948)/2&gt;=40,2,IF((C948+D948)/2&gt;=33,1,0)))))))</f>
        <v/>
      </c>
      <c r="AD948">
        <f>IF(E948+F948&lt;66,0,IF((E948+F948)/2&gt;=80,5,IF((E948+F948)/2&gt;=70,4,IF((E948+F948)/2&gt;=60,3.5,IF((E948+F948)/2&gt;=50,3,IF((E948+F948)/2&gt;=40,2,IF((E948+F948)/2&gt;=33,1,0)))))))</f>
        <v/>
      </c>
      <c r="AE948">
        <f>IF(G948&lt;33,0,IF(G948&gt;=80,5,IF(G948&gt;=70,4,IF(G948&gt;=60,3.5,IF(G948&gt;=50,3,IF(G948&gt;=40,2,IF(G948&gt;=33,1,0)))))))</f>
        <v/>
      </c>
      <c r="AF948">
        <f>IF(H948+I948&lt;66,0,IF((H948+I948)/2&gt;=80,5,IF((H948+I948)/2&gt;=70,4,IF((H948+I948)/2&gt;=60,3.5,IF((H948+I948)/2&gt;=50,3,IF((H948+I948)/2&gt;=40,2,IF((H948+I948)/2&gt;=33,1,0)))))))</f>
        <v/>
      </c>
      <c r="AG948">
        <f>IF(Y948,0,IF((J948+K948+L948+M948)/2&gt;=80,5,IF((J948+K948+L948+M948)/2&gt;=70,4,IF((J948+K948+L948+M948)/2&gt;=60,3.5,IF((J948+K948+L948+M948)/2&gt;=50,3,IF((J948+K948+L948+M948)/2&gt;=40,2,IF((J948+K948+L948+M948)/2&gt;=33,1,0)))))))</f>
        <v/>
      </c>
      <c r="AH948">
        <f>IF(Z948,0,IF(N948+O948&gt;=80,5,IF(N948+O948&gt;=70,4,IF(N948+O948&gt;=60,3.5,IF(N948+O948&gt;=50,3,IF(N948+O948&gt;=40,2,IF(N948+O948&gt;=33,1,0)))))))</f>
        <v/>
      </c>
      <c r="AI948">
        <f>IF(AA948,0,IF(P948+Q948&gt;=80,5,IF(P948+Q948&gt;=70,4,IF(P948+Q948&gt;=60,3.5,IF(P948+Q948&gt;=50,3,IF(P948+Q948&gt;=40,2,IF(P948+Q948&gt;=33,1,0)))))))</f>
        <v/>
      </c>
      <c r="AJ948">
        <f>IF(R948&lt;8.25,0,IF(R948*2&gt;=80,5,IF(R948*2&gt;=70,4,IF(R948*2&gt;=60,3.5,IF(R948*2&gt;=50,3,IF(R948*2&gt;=40,2,IF(R948*2&gt;=33,1,0)))))))</f>
        <v/>
      </c>
      <c r="AK948">
        <f>IF(S948&lt;33,0,IF(S948&gt;=80,5,IF(S948&gt;=70,4,IF(S948&gt;=60,3.5,IF(S948&gt;=50,3,IF(S948&gt;=40,2,IF(S948&gt;=33,1,0)))))))</f>
        <v/>
      </c>
      <c r="AL948">
        <f>(AC948+AD948+AE948+AF948+AG948+AH948+AI948+AJ948)/8</f>
        <v/>
      </c>
      <c r="AM948">
        <f>IF(AK948&gt;=2,(AK948-2)/8,0)</f>
        <v/>
      </c>
    </row>
    <row r="949">
      <c r="T949">
        <f>SUM(C949:R949)</f>
        <v/>
      </c>
      <c r="U949" s="6">
        <f>ROUND(T949/11.5,2)</f>
        <v/>
      </c>
      <c r="V949" s="7">
        <f>IF(B949="","",IF(AB949,0,ROUND(AL949,2)))</f>
        <v/>
      </c>
      <c r="W949" s="7">
        <f>IF(B949="","",IF(AB949,0,MIN(5,ROUND(AL949+AM949,2))))</f>
        <v/>
      </c>
      <c r="X949" s="8">
        <f>IF(B949="","",IF(W949&gt;=5,"A+",IF(W949&gt;=4,"A",IF(W949&gt;=3.5,"A-",IF(W949&gt;=3,"B",IF(W949&gt;=2,"C",IF(W949&gt;=1,"D","F")))))))</f>
        <v/>
      </c>
      <c r="Y949">
        <f>NOT(OR(AND(J949&gt;=10,K949&gt;=23,L949&gt;=10,M949&gt;=23),AND(J949+L949&gt;=20,K949+M949&gt;=46)))</f>
        <v/>
      </c>
      <c r="Z949">
        <f>OR(N949&lt;10,O949&lt;23)</f>
        <v/>
      </c>
      <c r="AA949">
        <f>OR(P949&lt;10,Q949&lt;23)</f>
        <v/>
      </c>
      <c r="AB949">
        <f>OR((C949+D949)&lt;66,(E949+F949)&lt;66,G949&lt;33,(H949+I949)&lt;66,Y949,Z949,AA949,R949&lt;8.25)</f>
        <v/>
      </c>
      <c r="AC949">
        <f>IF(C949+D949&lt;66,0,IF((C949+D949)/2&gt;=80,5,IF((C949+D949)/2&gt;=70,4,IF((C949+D949)/2&gt;=60,3.5,IF((C949+D949)/2&gt;=50,3,IF((C949+D949)/2&gt;=40,2,IF((C949+D949)/2&gt;=33,1,0)))))))</f>
        <v/>
      </c>
      <c r="AD949">
        <f>IF(E949+F949&lt;66,0,IF((E949+F949)/2&gt;=80,5,IF((E949+F949)/2&gt;=70,4,IF((E949+F949)/2&gt;=60,3.5,IF((E949+F949)/2&gt;=50,3,IF((E949+F949)/2&gt;=40,2,IF((E949+F949)/2&gt;=33,1,0)))))))</f>
        <v/>
      </c>
      <c r="AE949">
        <f>IF(G949&lt;33,0,IF(G949&gt;=80,5,IF(G949&gt;=70,4,IF(G949&gt;=60,3.5,IF(G949&gt;=50,3,IF(G949&gt;=40,2,IF(G949&gt;=33,1,0)))))))</f>
        <v/>
      </c>
      <c r="AF949">
        <f>IF(H949+I949&lt;66,0,IF((H949+I949)/2&gt;=80,5,IF((H949+I949)/2&gt;=70,4,IF((H949+I949)/2&gt;=60,3.5,IF((H949+I949)/2&gt;=50,3,IF((H949+I949)/2&gt;=40,2,IF((H949+I949)/2&gt;=33,1,0)))))))</f>
        <v/>
      </c>
      <c r="AG949">
        <f>IF(Y949,0,IF((J949+K949+L949+M949)/2&gt;=80,5,IF((J949+K949+L949+M949)/2&gt;=70,4,IF((J949+K949+L949+M949)/2&gt;=60,3.5,IF((J949+K949+L949+M949)/2&gt;=50,3,IF((J949+K949+L949+M949)/2&gt;=40,2,IF((J949+K949+L949+M949)/2&gt;=33,1,0)))))))</f>
        <v/>
      </c>
      <c r="AH949">
        <f>IF(Z949,0,IF(N949+O949&gt;=80,5,IF(N949+O949&gt;=70,4,IF(N949+O949&gt;=60,3.5,IF(N949+O949&gt;=50,3,IF(N949+O949&gt;=40,2,IF(N949+O949&gt;=33,1,0)))))))</f>
        <v/>
      </c>
      <c r="AI949">
        <f>IF(AA949,0,IF(P949+Q949&gt;=80,5,IF(P949+Q949&gt;=70,4,IF(P949+Q949&gt;=60,3.5,IF(P949+Q949&gt;=50,3,IF(P949+Q949&gt;=40,2,IF(P949+Q949&gt;=33,1,0)))))))</f>
        <v/>
      </c>
      <c r="AJ949">
        <f>IF(R949&lt;8.25,0,IF(R949*2&gt;=80,5,IF(R949*2&gt;=70,4,IF(R949*2&gt;=60,3.5,IF(R949*2&gt;=50,3,IF(R949*2&gt;=40,2,IF(R949*2&gt;=33,1,0)))))))</f>
        <v/>
      </c>
      <c r="AK949">
        <f>IF(S949&lt;33,0,IF(S949&gt;=80,5,IF(S949&gt;=70,4,IF(S949&gt;=60,3.5,IF(S949&gt;=50,3,IF(S949&gt;=40,2,IF(S949&gt;=33,1,0)))))))</f>
        <v/>
      </c>
      <c r="AL949">
        <f>(AC949+AD949+AE949+AF949+AG949+AH949+AI949+AJ949)/8</f>
        <v/>
      </c>
      <c r="AM949">
        <f>IF(AK949&gt;=2,(AK949-2)/8,0)</f>
        <v/>
      </c>
    </row>
    <row r="950">
      <c r="T950">
        <f>SUM(C950:R950)</f>
        <v/>
      </c>
      <c r="U950" s="6">
        <f>ROUND(T950/11.5,2)</f>
        <v/>
      </c>
      <c r="V950" s="7">
        <f>IF(B950="","",IF(AB950,0,ROUND(AL950,2)))</f>
        <v/>
      </c>
      <c r="W950" s="7">
        <f>IF(B950="","",IF(AB950,0,MIN(5,ROUND(AL950+AM950,2))))</f>
        <v/>
      </c>
      <c r="X950" s="8">
        <f>IF(B950="","",IF(W950&gt;=5,"A+",IF(W950&gt;=4,"A",IF(W950&gt;=3.5,"A-",IF(W950&gt;=3,"B",IF(W950&gt;=2,"C",IF(W950&gt;=1,"D","F")))))))</f>
        <v/>
      </c>
      <c r="Y950">
        <f>NOT(OR(AND(J950&gt;=10,K950&gt;=23,L950&gt;=10,M950&gt;=23),AND(J950+L950&gt;=20,K950+M950&gt;=46)))</f>
        <v/>
      </c>
      <c r="Z950">
        <f>OR(N950&lt;10,O950&lt;23)</f>
        <v/>
      </c>
      <c r="AA950">
        <f>OR(P950&lt;10,Q950&lt;23)</f>
        <v/>
      </c>
      <c r="AB950">
        <f>OR((C950+D950)&lt;66,(E950+F950)&lt;66,G950&lt;33,(H950+I950)&lt;66,Y950,Z950,AA950,R950&lt;8.25)</f>
        <v/>
      </c>
      <c r="AC950">
        <f>IF(C950+D950&lt;66,0,IF((C950+D950)/2&gt;=80,5,IF((C950+D950)/2&gt;=70,4,IF((C950+D950)/2&gt;=60,3.5,IF((C950+D950)/2&gt;=50,3,IF((C950+D950)/2&gt;=40,2,IF((C950+D950)/2&gt;=33,1,0)))))))</f>
        <v/>
      </c>
      <c r="AD950">
        <f>IF(E950+F950&lt;66,0,IF((E950+F950)/2&gt;=80,5,IF((E950+F950)/2&gt;=70,4,IF((E950+F950)/2&gt;=60,3.5,IF((E950+F950)/2&gt;=50,3,IF((E950+F950)/2&gt;=40,2,IF((E950+F950)/2&gt;=33,1,0)))))))</f>
        <v/>
      </c>
      <c r="AE950">
        <f>IF(G950&lt;33,0,IF(G950&gt;=80,5,IF(G950&gt;=70,4,IF(G950&gt;=60,3.5,IF(G950&gt;=50,3,IF(G950&gt;=40,2,IF(G950&gt;=33,1,0)))))))</f>
        <v/>
      </c>
      <c r="AF950">
        <f>IF(H950+I950&lt;66,0,IF((H950+I950)/2&gt;=80,5,IF((H950+I950)/2&gt;=70,4,IF((H950+I950)/2&gt;=60,3.5,IF((H950+I950)/2&gt;=50,3,IF((H950+I950)/2&gt;=40,2,IF((H950+I950)/2&gt;=33,1,0)))))))</f>
        <v/>
      </c>
      <c r="AG950">
        <f>IF(Y950,0,IF((J950+K950+L950+M950)/2&gt;=80,5,IF((J950+K950+L950+M950)/2&gt;=70,4,IF((J950+K950+L950+M950)/2&gt;=60,3.5,IF((J950+K950+L950+M950)/2&gt;=50,3,IF((J950+K950+L950+M950)/2&gt;=40,2,IF((J950+K950+L950+M950)/2&gt;=33,1,0)))))))</f>
        <v/>
      </c>
      <c r="AH950">
        <f>IF(Z950,0,IF(N950+O950&gt;=80,5,IF(N950+O950&gt;=70,4,IF(N950+O950&gt;=60,3.5,IF(N950+O950&gt;=50,3,IF(N950+O950&gt;=40,2,IF(N950+O950&gt;=33,1,0)))))))</f>
        <v/>
      </c>
      <c r="AI950">
        <f>IF(AA950,0,IF(P950+Q950&gt;=80,5,IF(P950+Q950&gt;=70,4,IF(P950+Q950&gt;=60,3.5,IF(P950+Q950&gt;=50,3,IF(P950+Q950&gt;=40,2,IF(P950+Q950&gt;=33,1,0)))))))</f>
        <v/>
      </c>
      <c r="AJ950">
        <f>IF(R950&lt;8.25,0,IF(R950*2&gt;=80,5,IF(R950*2&gt;=70,4,IF(R950*2&gt;=60,3.5,IF(R950*2&gt;=50,3,IF(R950*2&gt;=40,2,IF(R950*2&gt;=33,1,0)))))))</f>
        <v/>
      </c>
      <c r="AK950">
        <f>IF(S950&lt;33,0,IF(S950&gt;=80,5,IF(S950&gt;=70,4,IF(S950&gt;=60,3.5,IF(S950&gt;=50,3,IF(S950&gt;=40,2,IF(S950&gt;=33,1,0)))))))</f>
        <v/>
      </c>
      <c r="AL950">
        <f>(AC950+AD950+AE950+AF950+AG950+AH950+AI950+AJ950)/8</f>
        <v/>
      </c>
      <c r="AM950">
        <f>IF(AK950&gt;=2,(AK950-2)/8,0)</f>
        <v/>
      </c>
    </row>
    <row r="951">
      <c r="T951">
        <f>SUM(C951:R951)</f>
        <v/>
      </c>
      <c r="U951" s="6">
        <f>ROUND(T951/11.5,2)</f>
        <v/>
      </c>
      <c r="V951" s="7">
        <f>IF(B951="","",IF(AB951,0,ROUND(AL951,2)))</f>
        <v/>
      </c>
      <c r="W951" s="7">
        <f>IF(B951="","",IF(AB951,0,MIN(5,ROUND(AL951+AM951,2))))</f>
        <v/>
      </c>
      <c r="X951" s="8">
        <f>IF(B951="","",IF(W951&gt;=5,"A+",IF(W951&gt;=4,"A",IF(W951&gt;=3.5,"A-",IF(W951&gt;=3,"B",IF(W951&gt;=2,"C",IF(W951&gt;=1,"D","F")))))))</f>
        <v/>
      </c>
      <c r="Y951">
        <f>NOT(OR(AND(J951&gt;=10,K951&gt;=23,L951&gt;=10,M951&gt;=23),AND(J951+L951&gt;=20,K951+M951&gt;=46)))</f>
        <v/>
      </c>
      <c r="Z951">
        <f>OR(N951&lt;10,O951&lt;23)</f>
        <v/>
      </c>
      <c r="AA951">
        <f>OR(P951&lt;10,Q951&lt;23)</f>
        <v/>
      </c>
      <c r="AB951">
        <f>OR((C951+D951)&lt;66,(E951+F951)&lt;66,G951&lt;33,(H951+I951)&lt;66,Y951,Z951,AA951,R951&lt;8.25)</f>
        <v/>
      </c>
      <c r="AC951">
        <f>IF(C951+D951&lt;66,0,IF((C951+D951)/2&gt;=80,5,IF((C951+D951)/2&gt;=70,4,IF((C951+D951)/2&gt;=60,3.5,IF((C951+D951)/2&gt;=50,3,IF((C951+D951)/2&gt;=40,2,IF((C951+D951)/2&gt;=33,1,0)))))))</f>
        <v/>
      </c>
      <c r="AD951">
        <f>IF(E951+F951&lt;66,0,IF((E951+F951)/2&gt;=80,5,IF((E951+F951)/2&gt;=70,4,IF((E951+F951)/2&gt;=60,3.5,IF((E951+F951)/2&gt;=50,3,IF((E951+F951)/2&gt;=40,2,IF((E951+F951)/2&gt;=33,1,0)))))))</f>
        <v/>
      </c>
      <c r="AE951">
        <f>IF(G951&lt;33,0,IF(G951&gt;=80,5,IF(G951&gt;=70,4,IF(G951&gt;=60,3.5,IF(G951&gt;=50,3,IF(G951&gt;=40,2,IF(G951&gt;=33,1,0)))))))</f>
        <v/>
      </c>
      <c r="AF951">
        <f>IF(H951+I951&lt;66,0,IF((H951+I951)/2&gt;=80,5,IF((H951+I951)/2&gt;=70,4,IF((H951+I951)/2&gt;=60,3.5,IF((H951+I951)/2&gt;=50,3,IF((H951+I951)/2&gt;=40,2,IF((H951+I951)/2&gt;=33,1,0)))))))</f>
        <v/>
      </c>
      <c r="AG951">
        <f>IF(Y951,0,IF((J951+K951+L951+M951)/2&gt;=80,5,IF((J951+K951+L951+M951)/2&gt;=70,4,IF((J951+K951+L951+M951)/2&gt;=60,3.5,IF((J951+K951+L951+M951)/2&gt;=50,3,IF((J951+K951+L951+M951)/2&gt;=40,2,IF((J951+K951+L951+M951)/2&gt;=33,1,0)))))))</f>
        <v/>
      </c>
      <c r="AH951">
        <f>IF(Z951,0,IF(N951+O951&gt;=80,5,IF(N951+O951&gt;=70,4,IF(N951+O951&gt;=60,3.5,IF(N951+O951&gt;=50,3,IF(N951+O951&gt;=40,2,IF(N951+O951&gt;=33,1,0)))))))</f>
        <v/>
      </c>
      <c r="AI951">
        <f>IF(AA951,0,IF(P951+Q951&gt;=80,5,IF(P951+Q951&gt;=70,4,IF(P951+Q951&gt;=60,3.5,IF(P951+Q951&gt;=50,3,IF(P951+Q951&gt;=40,2,IF(P951+Q951&gt;=33,1,0)))))))</f>
        <v/>
      </c>
      <c r="AJ951">
        <f>IF(R951&lt;8.25,0,IF(R951*2&gt;=80,5,IF(R951*2&gt;=70,4,IF(R951*2&gt;=60,3.5,IF(R951*2&gt;=50,3,IF(R951*2&gt;=40,2,IF(R951*2&gt;=33,1,0)))))))</f>
        <v/>
      </c>
      <c r="AK951">
        <f>IF(S951&lt;33,0,IF(S951&gt;=80,5,IF(S951&gt;=70,4,IF(S951&gt;=60,3.5,IF(S951&gt;=50,3,IF(S951&gt;=40,2,IF(S951&gt;=33,1,0)))))))</f>
        <v/>
      </c>
      <c r="AL951">
        <f>(AC951+AD951+AE951+AF951+AG951+AH951+AI951+AJ951)/8</f>
        <v/>
      </c>
      <c r="AM951">
        <f>IF(AK951&gt;=2,(AK951-2)/8,0)</f>
        <v/>
      </c>
    </row>
    <row r="952">
      <c r="T952">
        <f>SUM(C952:R952)</f>
        <v/>
      </c>
      <c r="U952" s="6">
        <f>ROUND(T952/11.5,2)</f>
        <v/>
      </c>
      <c r="V952" s="7">
        <f>IF(B952="","",IF(AB952,0,ROUND(AL952,2)))</f>
        <v/>
      </c>
      <c r="W952" s="7">
        <f>IF(B952="","",IF(AB952,0,MIN(5,ROUND(AL952+AM952,2))))</f>
        <v/>
      </c>
      <c r="X952" s="8">
        <f>IF(B952="","",IF(W952&gt;=5,"A+",IF(W952&gt;=4,"A",IF(W952&gt;=3.5,"A-",IF(W952&gt;=3,"B",IF(W952&gt;=2,"C",IF(W952&gt;=1,"D","F")))))))</f>
        <v/>
      </c>
      <c r="Y952">
        <f>NOT(OR(AND(J952&gt;=10,K952&gt;=23,L952&gt;=10,M952&gt;=23),AND(J952+L952&gt;=20,K952+M952&gt;=46)))</f>
        <v/>
      </c>
      <c r="Z952">
        <f>OR(N952&lt;10,O952&lt;23)</f>
        <v/>
      </c>
      <c r="AA952">
        <f>OR(P952&lt;10,Q952&lt;23)</f>
        <v/>
      </c>
      <c r="AB952">
        <f>OR((C952+D952)&lt;66,(E952+F952)&lt;66,G952&lt;33,(H952+I952)&lt;66,Y952,Z952,AA952,R952&lt;8.25)</f>
        <v/>
      </c>
      <c r="AC952">
        <f>IF(C952+D952&lt;66,0,IF((C952+D952)/2&gt;=80,5,IF((C952+D952)/2&gt;=70,4,IF((C952+D952)/2&gt;=60,3.5,IF((C952+D952)/2&gt;=50,3,IF((C952+D952)/2&gt;=40,2,IF((C952+D952)/2&gt;=33,1,0)))))))</f>
        <v/>
      </c>
      <c r="AD952">
        <f>IF(E952+F952&lt;66,0,IF((E952+F952)/2&gt;=80,5,IF((E952+F952)/2&gt;=70,4,IF((E952+F952)/2&gt;=60,3.5,IF((E952+F952)/2&gt;=50,3,IF((E952+F952)/2&gt;=40,2,IF((E952+F952)/2&gt;=33,1,0)))))))</f>
        <v/>
      </c>
      <c r="AE952">
        <f>IF(G952&lt;33,0,IF(G952&gt;=80,5,IF(G952&gt;=70,4,IF(G952&gt;=60,3.5,IF(G952&gt;=50,3,IF(G952&gt;=40,2,IF(G952&gt;=33,1,0)))))))</f>
        <v/>
      </c>
      <c r="AF952">
        <f>IF(H952+I952&lt;66,0,IF((H952+I952)/2&gt;=80,5,IF((H952+I952)/2&gt;=70,4,IF((H952+I952)/2&gt;=60,3.5,IF((H952+I952)/2&gt;=50,3,IF((H952+I952)/2&gt;=40,2,IF((H952+I952)/2&gt;=33,1,0)))))))</f>
        <v/>
      </c>
      <c r="AG952">
        <f>IF(Y952,0,IF((J952+K952+L952+M952)/2&gt;=80,5,IF((J952+K952+L952+M952)/2&gt;=70,4,IF((J952+K952+L952+M952)/2&gt;=60,3.5,IF((J952+K952+L952+M952)/2&gt;=50,3,IF((J952+K952+L952+M952)/2&gt;=40,2,IF((J952+K952+L952+M952)/2&gt;=33,1,0)))))))</f>
        <v/>
      </c>
      <c r="AH952">
        <f>IF(Z952,0,IF(N952+O952&gt;=80,5,IF(N952+O952&gt;=70,4,IF(N952+O952&gt;=60,3.5,IF(N952+O952&gt;=50,3,IF(N952+O952&gt;=40,2,IF(N952+O952&gt;=33,1,0)))))))</f>
        <v/>
      </c>
      <c r="AI952">
        <f>IF(AA952,0,IF(P952+Q952&gt;=80,5,IF(P952+Q952&gt;=70,4,IF(P952+Q952&gt;=60,3.5,IF(P952+Q952&gt;=50,3,IF(P952+Q952&gt;=40,2,IF(P952+Q952&gt;=33,1,0)))))))</f>
        <v/>
      </c>
      <c r="AJ952">
        <f>IF(R952&lt;8.25,0,IF(R952*2&gt;=80,5,IF(R952*2&gt;=70,4,IF(R952*2&gt;=60,3.5,IF(R952*2&gt;=50,3,IF(R952*2&gt;=40,2,IF(R952*2&gt;=33,1,0)))))))</f>
        <v/>
      </c>
      <c r="AK952">
        <f>IF(S952&lt;33,0,IF(S952&gt;=80,5,IF(S952&gt;=70,4,IF(S952&gt;=60,3.5,IF(S952&gt;=50,3,IF(S952&gt;=40,2,IF(S952&gt;=33,1,0)))))))</f>
        <v/>
      </c>
      <c r="AL952">
        <f>(AC952+AD952+AE952+AF952+AG952+AH952+AI952+AJ952)/8</f>
        <v/>
      </c>
      <c r="AM952">
        <f>IF(AK952&gt;=2,(AK952-2)/8,0)</f>
        <v/>
      </c>
    </row>
    <row r="953">
      <c r="T953">
        <f>SUM(C953:R953)</f>
        <v/>
      </c>
      <c r="U953" s="6">
        <f>ROUND(T953/11.5,2)</f>
        <v/>
      </c>
      <c r="V953" s="7">
        <f>IF(B953="","",IF(AB953,0,ROUND(AL953,2)))</f>
        <v/>
      </c>
      <c r="W953" s="7">
        <f>IF(B953="","",IF(AB953,0,MIN(5,ROUND(AL953+AM953,2))))</f>
        <v/>
      </c>
      <c r="X953" s="8">
        <f>IF(B953="","",IF(W953&gt;=5,"A+",IF(W953&gt;=4,"A",IF(W953&gt;=3.5,"A-",IF(W953&gt;=3,"B",IF(W953&gt;=2,"C",IF(W953&gt;=1,"D","F")))))))</f>
        <v/>
      </c>
      <c r="Y953">
        <f>NOT(OR(AND(J953&gt;=10,K953&gt;=23,L953&gt;=10,M953&gt;=23),AND(J953+L953&gt;=20,K953+M953&gt;=46)))</f>
        <v/>
      </c>
      <c r="Z953">
        <f>OR(N953&lt;10,O953&lt;23)</f>
        <v/>
      </c>
      <c r="AA953">
        <f>OR(P953&lt;10,Q953&lt;23)</f>
        <v/>
      </c>
      <c r="AB953">
        <f>OR((C953+D953)&lt;66,(E953+F953)&lt;66,G953&lt;33,(H953+I953)&lt;66,Y953,Z953,AA953,R953&lt;8.25)</f>
        <v/>
      </c>
      <c r="AC953">
        <f>IF(C953+D953&lt;66,0,IF((C953+D953)/2&gt;=80,5,IF((C953+D953)/2&gt;=70,4,IF((C953+D953)/2&gt;=60,3.5,IF((C953+D953)/2&gt;=50,3,IF((C953+D953)/2&gt;=40,2,IF((C953+D953)/2&gt;=33,1,0)))))))</f>
        <v/>
      </c>
      <c r="AD953">
        <f>IF(E953+F953&lt;66,0,IF((E953+F953)/2&gt;=80,5,IF((E953+F953)/2&gt;=70,4,IF((E953+F953)/2&gt;=60,3.5,IF((E953+F953)/2&gt;=50,3,IF((E953+F953)/2&gt;=40,2,IF((E953+F953)/2&gt;=33,1,0)))))))</f>
        <v/>
      </c>
      <c r="AE953">
        <f>IF(G953&lt;33,0,IF(G953&gt;=80,5,IF(G953&gt;=70,4,IF(G953&gt;=60,3.5,IF(G953&gt;=50,3,IF(G953&gt;=40,2,IF(G953&gt;=33,1,0)))))))</f>
        <v/>
      </c>
      <c r="AF953">
        <f>IF(H953+I953&lt;66,0,IF((H953+I953)/2&gt;=80,5,IF((H953+I953)/2&gt;=70,4,IF((H953+I953)/2&gt;=60,3.5,IF((H953+I953)/2&gt;=50,3,IF((H953+I953)/2&gt;=40,2,IF((H953+I953)/2&gt;=33,1,0)))))))</f>
        <v/>
      </c>
      <c r="AG953">
        <f>IF(Y953,0,IF((J953+K953+L953+M953)/2&gt;=80,5,IF((J953+K953+L953+M953)/2&gt;=70,4,IF((J953+K953+L953+M953)/2&gt;=60,3.5,IF((J953+K953+L953+M953)/2&gt;=50,3,IF((J953+K953+L953+M953)/2&gt;=40,2,IF((J953+K953+L953+M953)/2&gt;=33,1,0)))))))</f>
        <v/>
      </c>
      <c r="AH953">
        <f>IF(Z953,0,IF(N953+O953&gt;=80,5,IF(N953+O953&gt;=70,4,IF(N953+O953&gt;=60,3.5,IF(N953+O953&gt;=50,3,IF(N953+O953&gt;=40,2,IF(N953+O953&gt;=33,1,0)))))))</f>
        <v/>
      </c>
      <c r="AI953">
        <f>IF(AA953,0,IF(P953+Q953&gt;=80,5,IF(P953+Q953&gt;=70,4,IF(P953+Q953&gt;=60,3.5,IF(P953+Q953&gt;=50,3,IF(P953+Q953&gt;=40,2,IF(P953+Q953&gt;=33,1,0)))))))</f>
        <v/>
      </c>
      <c r="AJ953">
        <f>IF(R953&lt;8.25,0,IF(R953*2&gt;=80,5,IF(R953*2&gt;=70,4,IF(R953*2&gt;=60,3.5,IF(R953*2&gt;=50,3,IF(R953*2&gt;=40,2,IF(R953*2&gt;=33,1,0)))))))</f>
        <v/>
      </c>
      <c r="AK953">
        <f>IF(S953&lt;33,0,IF(S953&gt;=80,5,IF(S953&gt;=70,4,IF(S953&gt;=60,3.5,IF(S953&gt;=50,3,IF(S953&gt;=40,2,IF(S953&gt;=33,1,0)))))))</f>
        <v/>
      </c>
      <c r="AL953">
        <f>(AC953+AD953+AE953+AF953+AG953+AH953+AI953+AJ953)/8</f>
        <v/>
      </c>
      <c r="AM953">
        <f>IF(AK953&gt;=2,(AK953-2)/8,0)</f>
        <v/>
      </c>
    </row>
    <row r="954">
      <c r="T954">
        <f>SUM(C954:R954)</f>
        <v/>
      </c>
      <c r="U954" s="6">
        <f>ROUND(T954/11.5,2)</f>
        <v/>
      </c>
      <c r="V954" s="7">
        <f>IF(B954="","",IF(AB954,0,ROUND(AL954,2)))</f>
        <v/>
      </c>
      <c r="W954" s="7">
        <f>IF(B954="","",IF(AB954,0,MIN(5,ROUND(AL954+AM954,2))))</f>
        <v/>
      </c>
      <c r="X954" s="8">
        <f>IF(B954="","",IF(W954&gt;=5,"A+",IF(W954&gt;=4,"A",IF(W954&gt;=3.5,"A-",IF(W954&gt;=3,"B",IF(W954&gt;=2,"C",IF(W954&gt;=1,"D","F")))))))</f>
        <v/>
      </c>
      <c r="Y954">
        <f>NOT(OR(AND(J954&gt;=10,K954&gt;=23,L954&gt;=10,M954&gt;=23),AND(J954+L954&gt;=20,K954+M954&gt;=46)))</f>
        <v/>
      </c>
      <c r="Z954">
        <f>OR(N954&lt;10,O954&lt;23)</f>
        <v/>
      </c>
      <c r="AA954">
        <f>OR(P954&lt;10,Q954&lt;23)</f>
        <v/>
      </c>
      <c r="AB954">
        <f>OR((C954+D954)&lt;66,(E954+F954)&lt;66,G954&lt;33,(H954+I954)&lt;66,Y954,Z954,AA954,R954&lt;8.25)</f>
        <v/>
      </c>
      <c r="AC954">
        <f>IF(C954+D954&lt;66,0,IF((C954+D954)/2&gt;=80,5,IF((C954+D954)/2&gt;=70,4,IF((C954+D954)/2&gt;=60,3.5,IF((C954+D954)/2&gt;=50,3,IF((C954+D954)/2&gt;=40,2,IF((C954+D954)/2&gt;=33,1,0)))))))</f>
        <v/>
      </c>
      <c r="AD954">
        <f>IF(E954+F954&lt;66,0,IF((E954+F954)/2&gt;=80,5,IF((E954+F954)/2&gt;=70,4,IF((E954+F954)/2&gt;=60,3.5,IF((E954+F954)/2&gt;=50,3,IF((E954+F954)/2&gt;=40,2,IF((E954+F954)/2&gt;=33,1,0)))))))</f>
        <v/>
      </c>
      <c r="AE954">
        <f>IF(G954&lt;33,0,IF(G954&gt;=80,5,IF(G954&gt;=70,4,IF(G954&gt;=60,3.5,IF(G954&gt;=50,3,IF(G954&gt;=40,2,IF(G954&gt;=33,1,0)))))))</f>
        <v/>
      </c>
      <c r="AF954">
        <f>IF(H954+I954&lt;66,0,IF((H954+I954)/2&gt;=80,5,IF((H954+I954)/2&gt;=70,4,IF((H954+I954)/2&gt;=60,3.5,IF((H954+I954)/2&gt;=50,3,IF((H954+I954)/2&gt;=40,2,IF((H954+I954)/2&gt;=33,1,0)))))))</f>
        <v/>
      </c>
      <c r="AG954">
        <f>IF(Y954,0,IF((J954+K954+L954+M954)/2&gt;=80,5,IF((J954+K954+L954+M954)/2&gt;=70,4,IF((J954+K954+L954+M954)/2&gt;=60,3.5,IF((J954+K954+L954+M954)/2&gt;=50,3,IF((J954+K954+L954+M954)/2&gt;=40,2,IF((J954+K954+L954+M954)/2&gt;=33,1,0)))))))</f>
        <v/>
      </c>
      <c r="AH954">
        <f>IF(Z954,0,IF(N954+O954&gt;=80,5,IF(N954+O954&gt;=70,4,IF(N954+O954&gt;=60,3.5,IF(N954+O954&gt;=50,3,IF(N954+O954&gt;=40,2,IF(N954+O954&gt;=33,1,0)))))))</f>
        <v/>
      </c>
      <c r="AI954">
        <f>IF(AA954,0,IF(P954+Q954&gt;=80,5,IF(P954+Q954&gt;=70,4,IF(P954+Q954&gt;=60,3.5,IF(P954+Q954&gt;=50,3,IF(P954+Q954&gt;=40,2,IF(P954+Q954&gt;=33,1,0)))))))</f>
        <v/>
      </c>
      <c r="AJ954">
        <f>IF(R954&lt;8.25,0,IF(R954*2&gt;=80,5,IF(R954*2&gt;=70,4,IF(R954*2&gt;=60,3.5,IF(R954*2&gt;=50,3,IF(R954*2&gt;=40,2,IF(R954*2&gt;=33,1,0)))))))</f>
        <v/>
      </c>
      <c r="AK954">
        <f>IF(S954&lt;33,0,IF(S954&gt;=80,5,IF(S954&gt;=70,4,IF(S954&gt;=60,3.5,IF(S954&gt;=50,3,IF(S954&gt;=40,2,IF(S954&gt;=33,1,0)))))))</f>
        <v/>
      </c>
      <c r="AL954">
        <f>(AC954+AD954+AE954+AF954+AG954+AH954+AI954+AJ954)/8</f>
        <v/>
      </c>
      <c r="AM954">
        <f>IF(AK954&gt;=2,(AK954-2)/8,0)</f>
        <v/>
      </c>
    </row>
    <row r="955">
      <c r="T955">
        <f>SUM(C955:R955)</f>
        <v/>
      </c>
      <c r="U955" s="6">
        <f>ROUND(T955/11.5,2)</f>
        <v/>
      </c>
      <c r="V955" s="7">
        <f>IF(B955="","",IF(AB955,0,ROUND(AL955,2)))</f>
        <v/>
      </c>
      <c r="W955" s="7">
        <f>IF(B955="","",IF(AB955,0,MIN(5,ROUND(AL955+AM955,2))))</f>
        <v/>
      </c>
      <c r="X955" s="8">
        <f>IF(B955="","",IF(W955&gt;=5,"A+",IF(W955&gt;=4,"A",IF(W955&gt;=3.5,"A-",IF(W955&gt;=3,"B",IF(W955&gt;=2,"C",IF(W955&gt;=1,"D","F")))))))</f>
        <v/>
      </c>
      <c r="Y955">
        <f>NOT(OR(AND(J955&gt;=10,K955&gt;=23,L955&gt;=10,M955&gt;=23),AND(J955+L955&gt;=20,K955+M955&gt;=46)))</f>
        <v/>
      </c>
      <c r="Z955">
        <f>OR(N955&lt;10,O955&lt;23)</f>
        <v/>
      </c>
      <c r="AA955">
        <f>OR(P955&lt;10,Q955&lt;23)</f>
        <v/>
      </c>
      <c r="AB955">
        <f>OR((C955+D955)&lt;66,(E955+F955)&lt;66,G955&lt;33,(H955+I955)&lt;66,Y955,Z955,AA955,R955&lt;8.25)</f>
        <v/>
      </c>
      <c r="AC955">
        <f>IF(C955+D955&lt;66,0,IF((C955+D955)/2&gt;=80,5,IF((C955+D955)/2&gt;=70,4,IF((C955+D955)/2&gt;=60,3.5,IF((C955+D955)/2&gt;=50,3,IF((C955+D955)/2&gt;=40,2,IF((C955+D955)/2&gt;=33,1,0)))))))</f>
        <v/>
      </c>
      <c r="AD955">
        <f>IF(E955+F955&lt;66,0,IF((E955+F955)/2&gt;=80,5,IF((E955+F955)/2&gt;=70,4,IF((E955+F955)/2&gt;=60,3.5,IF((E955+F955)/2&gt;=50,3,IF((E955+F955)/2&gt;=40,2,IF((E955+F955)/2&gt;=33,1,0)))))))</f>
        <v/>
      </c>
      <c r="AE955">
        <f>IF(G955&lt;33,0,IF(G955&gt;=80,5,IF(G955&gt;=70,4,IF(G955&gt;=60,3.5,IF(G955&gt;=50,3,IF(G955&gt;=40,2,IF(G955&gt;=33,1,0)))))))</f>
        <v/>
      </c>
      <c r="AF955">
        <f>IF(H955+I955&lt;66,0,IF((H955+I955)/2&gt;=80,5,IF((H955+I955)/2&gt;=70,4,IF((H955+I955)/2&gt;=60,3.5,IF((H955+I955)/2&gt;=50,3,IF((H955+I955)/2&gt;=40,2,IF((H955+I955)/2&gt;=33,1,0)))))))</f>
        <v/>
      </c>
      <c r="AG955">
        <f>IF(Y955,0,IF((J955+K955+L955+M955)/2&gt;=80,5,IF((J955+K955+L955+M955)/2&gt;=70,4,IF((J955+K955+L955+M955)/2&gt;=60,3.5,IF((J955+K955+L955+M955)/2&gt;=50,3,IF((J955+K955+L955+M955)/2&gt;=40,2,IF((J955+K955+L955+M955)/2&gt;=33,1,0)))))))</f>
        <v/>
      </c>
      <c r="AH955">
        <f>IF(Z955,0,IF(N955+O955&gt;=80,5,IF(N955+O955&gt;=70,4,IF(N955+O955&gt;=60,3.5,IF(N955+O955&gt;=50,3,IF(N955+O955&gt;=40,2,IF(N955+O955&gt;=33,1,0)))))))</f>
        <v/>
      </c>
      <c r="AI955">
        <f>IF(AA955,0,IF(P955+Q955&gt;=80,5,IF(P955+Q955&gt;=70,4,IF(P955+Q955&gt;=60,3.5,IF(P955+Q955&gt;=50,3,IF(P955+Q955&gt;=40,2,IF(P955+Q955&gt;=33,1,0)))))))</f>
        <v/>
      </c>
      <c r="AJ955">
        <f>IF(R955&lt;8.25,0,IF(R955*2&gt;=80,5,IF(R955*2&gt;=70,4,IF(R955*2&gt;=60,3.5,IF(R955*2&gt;=50,3,IF(R955*2&gt;=40,2,IF(R955*2&gt;=33,1,0)))))))</f>
        <v/>
      </c>
      <c r="AK955">
        <f>IF(S955&lt;33,0,IF(S955&gt;=80,5,IF(S955&gt;=70,4,IF(S955&gt;=60,3.5,IF(S955&gt;=50,3,IF(S955&gt;=40,2,IF(S955&gt;=33,1,0)))))))</f>
        <v/>
      </c>
      <c r="AL955">
        <f>(AC955+AD955+AE955+AF955+AG955+AH955+AI955+AJ955)/8</f>
        <v/>
      </c>
      <c r="AM955">
        <f>IF(AK955&gt;=2,(AK955-2)/8,0)</f>
        <v/>
      </c>
    </row>
    <row r="956">
      <c r="T956">
        <f>SUM(C956:R956)</f>
        <v/>
      </c>
      <c r="U956" s="6">
        <f>ROUND(T956/11.5,2)</f>
        <v/>
      </c>
      <c r="V956" s="7">
        <f>IF(B956="","",IF(AB956,0,ROUND(AL956,2)))</f>
        <v/>
      </c>
      <c r="W956" s="7">
        <f>IF(B956="","",IF(AB956,0,MIN(5,ROUND(AL956+AM956,2))))</f>
        <v/>
      </c>
      <c r="X956" s="8">
        <f>IF(B956="","",IF(W956&gt;=5,"A+",IF(W956&gt;=4,"A",IF(W956&gt;=3.5,"A-",IF(W956&gt;=3,"B",IF(W956&gt;=2,"C",IF(W956&gt;=1,"D","F")))))))</f>
        <v/>
      </c>
      <c r="Y956">
        <f>NOT(OR(AND(J956&gt;=10,K956&gt;=23,L956&gt;=10,M956&gt;=23),AND(J956+L956&gt;=20,K956+M956&gt;=46)))</f>
        <v/>
      </c>
      <c r="Z956">
        <f>OR(N956&lt;10,O956&lt;23)</f>
        <v/>
      </c>
      <c r="AA956">
        <f>OR(P956&lt;10,Q956&lt;23)</f>
        <v/>
      </c>
      <c r="AB956">
        <f>OR((C956+D956)&lt;66,(E956+F956)&lt;66,G956&lt;33,(H956+I956)&lt;66,Y956,Z956,AA956,R956&lt;8.25)</f>
        <v/>
      </c>
      <c r="AC956">
        <f>IF(C956+D956&lt;66,0,IF((C956+D956)/2&gt;=80,5,IF((C956+D956)/2&gt;=70,4,IF((C956+D956)/2&gt;=60,3.5,IF((C956+D956)/2&gt;=50,3,IF((C956+D956)/2&gt;=40,2,IF((C956+D956)/2&gt;=33,1,0)))))))</f>
        <v/>
      </c>
      <c r="AD956">
        <f>IF(E956+F956&lt;66,0,IF((E956+F956)/2&gt;=80,5,IF((E956+F956)/2&gt;=70,4,IF((E956+F956)/2&gt;=60,3.5,IF((E956+F956)/2&gt;=50,3,IF((E956+F956)/2&gt;=40,2,IF((E956+F956)/2&gt;=33,1,0)))))))</f>
        <v/>
      </c>
      <c r="AE956">
        <f>IF(G956&lt;33,0,IF(G956&gt;=80,5,IF(G956&gt;=70,4,IF(G956&gt;=60,3.5,IF(G956&gt;=50,3,IF(G956&gt;=40,2,IF(G956&gt;=33,1,0)))))))</f>
        <v/>
      </c>
      <c r="AF956">
        <f>IF(H956+I956&lt;66,0,IF((H956+I956)/2&gt;=80,5,IF((H956+I956)/2&gt;=70,4,IF((H956+I956)/2&gt;=60,3.5,IF((H956+I956)/2&gt;=50,3,IF((H956+I956)/2&gt;=40,2,IF((H956+I956)/2&gt;=33,1,0)))))))</f>
        <v/>
      </c>
      <c r="AG956">
        <f>IF(Y956,0,IF((J956+K956+L956+M956)/2&gt;=80,5,IF((J956+K956+L956+M956)/2&gt;=70,4,IF((J956+K956+L956+M956)/2&gt;=60,3.5,IF((J956+K956+L956+M956)/2&gt;=50,3,IF((J956+K956+L956+M956)/2&gt;=40,2,IF((J956+K956+L956+M956)/2&gt;=33,1,0)))))))</f>
        <v/>
      </c>
      <c r="AH956">
        <f>IF(Z956,0,IF(N956+O956&gt;=80,5,IF(N956+O956&gt;=70,4,IF(N956+O956&gt;=60,3.5,IF(N956+O956&gt;=50,3,IF(N956+O956&gt;=40,2,IF(N956+O956&gt;=33,1,0)))))))</f>
        <v/>
      </c>
      <c r="AI956">
        <f>IF(AA956,0,IF(P956+Q956&gt;=80,5,IF(P956+Q956&gt;=70,4,IF(P956+Q956&gt;=60,3.5,IF(P956+Q956&gt;=50,3,IF(P956+Q956&gt;=40,2,IF(P956+Q956&gt;=33,1,0)))))))</f>
        <v/>
      </c>
      <c r="AJ956">
        <f>IF(R956&lt;8.25,0,IF(R956*2&gt;=80,5,IF(R956*2&gt;=70,4,IF(R956*2&gt;=60,3.5,IF(R956*2&gt;=50,3,IF(R956*2&gt;=40,2,IF(R956*2&gt;=33,1,0)))))))</f>
        <v/>
      </c>
      <c r="AK956">
        <f>IF(S956&lt;33,0,IF(S956&gt;=80,5,IF(S956&gt;=70,4,IF(S956&gt;=60,3.5,IF(S956&gt;=50,3,IF(S956&gt;=40,2,IF(S956&gt;=33,1,0)))))))</f>
        <v/>
      </c>
      <c r="AL956">
        <f>(AC956+AD956+AE956+AF956+AG956+AH956+AI956+AJ956)/8</f>
        <v/>
      </c>
      <c r="AM956">
        <f>IF(AK956&gt;=2,(AK956-2)/8,0)</f>
        <v/>
      </c>
    </row>
    <row r="957">
      <c r="T957">
        <f>SUM(C957:R957)</f>
        <v/>
      </c>
      <c r="U957" s="6">
        <f>ROUND(T957/11.5,2)</f>
        <v/>
      </c>
      <c r="V957" s="7">
        <f>IF(B957="","",IF(AB957,0,ROUND(AL957,2)))</f>
        <v/>
      </c>
      <c r="W957" s="7">
        <f>IF(B957="","",IF(AB957,0,MIN(5,ROUND(AL957+AM957,2))))</f>
        <v/>
      </c>
      <c r="X957" s="8">
        <f>IF(B957="","",IF(W957&gt;=5,"A+",IF(W957&gt;=4,"A",IF(W957&gt;=3.5,"A-",IF(W957&gt;=3,"B",IF(W957&gt;=2,"C",IF(W957&gt;=1,"D","F")))))))</f>
        <v/>
      </c>
      <c r="Y957">
        <f>NOT(OR(AND(J957&gt;=10,K957&gt;=23,L957&gt;=10,M957&gt;=23),AND(J957+L957&gt;=20,K957+M957&gt;=46)))</f>
        <v/>
      </c>
      <c r="Z957">
        <f>OR(N957&lt;10,O957&lt;23)</f>
        <v/>
      </c>
      <c r="AA957">
        <f>OR(P957&lt;10,Q957&lt;23)</f>
        <v/>
      </c>
      <c r="AB957">
        <f>OR((C957+D957)&lt;66,(E957+F957)&lt;66,G957&lt;33,(H957+I957)&lt;66,Y957,Z957,AA957,R957&lt;8.25)</f>
        <v/>
      </c>
      <c r="AC957">
        <f>IF(C957+D957&lt;66,0,IF((C957+D957)/2&gt;=80,5,IF((C957+D957)/2&gt;=70,4,IF((C957+D957)/2&gt;=60,3.5,IF((C957+D957)/2&gt;=50,3,IF((C957+D957)/2&gt;=40,2,IF((C957+D957)/2&gt;=33,1,0)))))))</f>
        <v/>
      </c>
      <c r="AD957">
        <f>IF(E957+F957&lt;66,0,IF((E957+F957)/2&gt;=80,5,IF((E957+F957)/2&gt;=70,4,IF((E957+F957)/2&gt;=60,3.5,IF((E957+F957)/2&gt;=50,3,IF((E957+F957)/2&gt;=40,2,IF((E957+F957)/2&gt;=33,1,0)))))))</f>
        <v/>
      </c>
      <c r="AE957">
        <f>IF(G957&lt;33,0,IF(G957&gt;=80,5,IF(G957&gt;=70,4,IF(G957&gt;=60,3.5,IF(G957&gt;=50,3,IF(G957&gt;=40,2,IF(G957&gt;=33,1,0)))))))</f>
        <v/>
      </c>
      <c r="AF957">
        <f>IF(H957+I957&lt;66,0,IF((H957+I957)/2&gt;=80,5,IF((H957+I957)/2&gt;=70,4,IF((H957+I957)/2&gt;=60,3.5,IF((H957+I957)/2&gt;=50,3,IF((H957+I957)/2&gt;=40,2,IF((H957+I957)/2&gt;=33,1,0)))))))</f>
        <v/>
      </c>
      <c r="AG957">
        <f>IF(Y957,0,IF((J957+K957+L957+M957)/2&gt;=80,5,IF((J957+K957+L957+M957)/2&gt;=70,4,IF((J957+K957+L957+M957)/2&gt;=60,3.5,IF((J957+K957+L957+M957)/2&gt;=50,3,IF((J957+K957+L957+M957)/2&gt;=40,2,IF((J957+K957+L957+M957)/2&gt;=33,1,0)))))))</f>
        <v/>
      </c>
      <c r="AH957">
        <f>IF(Z957,0,IF(N957+O957&gt;=80,5,IF(N957+O957&gt;=70,4,IF(N957+O957&gt;=60,3.5,IF(N957+O957&gt;=50,3,IF(N957+O957&gt;=40,2,IF(N957+O957&gt;=33,1,0)))))))</f>
        <v/>
      </c>
      <c r="AI957">
        <f>IF(AA957,0,IF(P957+Q957&gt;=80,5,IF(P957+Q957&gt;=70,4,IF(P957+Q957&gt;=60,3.5,IF(P957+Q957&gt;=50,3,IF(P957+Q957&gt;=40,2,IF(P957+Q957&gt;=33,1,0)))))))</f>
        <v/>
      </c>
      <c r="AJ957">
        <f>IF(R957&lt;8.25,0,IF(R957*2&gt;=80,5,IF(R957*2&gt;=70,4,IF(R957*2&gt;=60,3.5,IF(R957*2&gt;=50,3,IF(R957*2&gt;=40,2,IF(R957*2&gt;=33,1,0)))))))</f>
        <v/>
      </c>
      <c r="AK957">
        <f>IF(S957&lt;33,0,IF(S957&gt;=80,5,IF(S957&gt;=70,4,IF(S957&gt;=60,3.5,IF(S957&gt;=50,3,IF(S957&gt;=40,2,IF(S957&gt;=33,1,0)))))))</f>
        <v/>
      </c>
      <c r="AL957">
        <f>(AC957+AD957+AE957+AF957+AG957+AH957+AI957+AJ957)/8</f>
        <v/>
      </c>
      <c r="AM957">
        <f>IF(AK957&gt;=2,(AK957-2)/8,0)</f>
        <v/>
      </c>
    </row>
    <row r="958">
      <c r="T958">
        <f>SUM(C958:R958)</f>
        <v/>
      </c>
      <c r="U958" s="6">
        <f>ROUND(T958/11.5,2)</f>
        <v/>
      </c>
      <c r="V958" s="7">
        <f>IF(B958="","",IF(AB958,0,ROUND(AL958,2)))</f>
        <v/>
      </c>
      <c r="W958" s="7">
        <f>IF(B958="","",IF(AB958,0,MIN(5,ROUND(AL958+AM958,2))))</f>
        <v/>
      </c>
      <c r="X958" s="8">
        <f>IF(B958="","",IF(W958&gt;=5,"A+",IF(W958&gt;=4,"A",IF(W958&gt;=3.5,"A-",IF(W958&gt;=3,"B",IF(W958&gt;=2,"C",IF(W958&gt;=1,"D","F")))))))</f>
        <v/>
      </c>
      <c r="Y958">
        <f>NOT(OR(AND(J958&gt;=10,K958&gt;=23,L958&gt;=10,M958&gt;=23),AND(J958+L958&gt;=20,K958+M958&gt;=46)))</f>
        <v/>
      </c>
      <c r="Z958">
        <f>OR(N958&lt;10,O958&lt;23)</f>
        <v/>
      </c>
      <c r="AA958">
        <f>OR(P958&lt;10,Q958&lt;23)</f>
        <v/>
      </c>
      <c r="AB958">
        <f>OR((C958+D958)&lt;66,(E958+F958)&lt;66,G958&lt;33,(H958+I958)&lt;66,Y958,Z958,AA958,R958&lt;8.25)</f>
        <v/>
      </c>
      <c r="AC958">
        <f>IF(C958+D958&lt;66,0,IF((C958+D958)/2&gt;=80,5,IF((C958+D958)/2&gt;=70,4,IF((C958+D958)/2&gt;=60,3.5,IF((C958+D958)/2&gt;=50,3,IF((C958+D958)/2&gt;=40,2,IF((C958+D958)/2&gt;=33,1,0)))))))</f>
        <v/>
      </c>
      <c r="AD958">
        <f>IF(E958+F958&lt;66,0,IF((E958+F958)/2&gt;=80,5,IF((E958+F958)/2&gt;=70,4,IF((E958+F958)/2&gt;=60,3.5,IF((E958+F958)/2&gt;=50,3,IF((E958+F958)/2&gt;=40,2,IF((E958+F958)/2&gt;=33,1,0)))))))</f>
        <v/>
      </c>
      <c r="AE958">
        <f>IF(G958&lt;33,0,IF(G958&gt;=80,5,IF(G958&gt;=70,4,IF(G958&gt;=60,3.5,IF(G958&gt;=50,3,IF(G958&gt;=40,2,IF(G958&gt;=33,1,0)))))))</f>
        <v/>
      </c>
      <c r="AF958">
        <f>IF(H958+I958&lt;66,0,IF((H958+I958)/2&gt;=80,5,IF((H958+I958)/2&gt;=70,4,IF((H958+I958)/2&gt;=60,3.5,IF((H958+I958)/2&gt;=50,3,IF((H958+I958)/2&gt;=40,2,IF((H958+I958)/2&gt;=33,1,0)))))))</f>
        <v/>
      </c>
      <c r="AG958">
        <f>IF(Y958,0,IF((J958+K958+L958+M958)/2&gt;=80,5,IF((J958+K958+L958+M958)/2&gt;=70,4,IF((J958+K958+L958+M958)/2&gt;=60,3.5,IF((J958+K958+L958+M958)/2&gt;=50,3,IF((J958+K958+L958+M958)/2&gt;=40,2,IF((J958+K958+L958+M958)/2&gt;=33,1,0)))))))</f>
        <v/>
      </c>
      <c r="AH958">
        <f>IF(Z958,0,IF(N958+O958&gt;=80,5,IF(N958+O958&gt;=70,4,IF(N958+O958&gt;=60,3.5,IF(N958+O958&gt;=50,3,IF(N958+O958&gt;=40,2,IF(N958+O958&gt;=33,1,0)))))))</f>
        <v/>
      </c>
      <c r="AI958">
        <f>IF(AA958,0,IF(P958+Q958&gt;=80,5,IF(P958+Q958&gt;=70,4,IF(P958+Q958&gt;=60,3.5,IF(P958+Q958&gt;=50,3,IF(P958+Q958&gt;=40,2,IF(P958+Q958&gt;=33,1,0)))))))</f>
        <v/>
      </c>
      <c r="AJ958">
        <f>IF(R958&lt;8.25,0,IF(R958*2&gt;=80,5,IF(R958*2&gt;=70,4,IF(R958*2&gt;=60,3.5,IF(R958*2&gt;=50,3,IF(R958*2&gt;=40,2,IF(R958*2&gt;=33,1,0)))))))</f>
        <v/>
      </c>
      <c r="AK958">
        <f>IF(S958&lt;33,0,IF(S958&gt;=80,5,IF(S958&gt;=70,4,IF(S958&gt;=60,3.5,IF(S958&gt;=50,3,IF(S958&gt;=40,2,IF(S958&gt;=33,1,0)))))))</f>
        <v/>
      </c>
      <c r="AL958">
        <f>(AC958+AD958+AE958+AF958+AG958+AH958+AI958+AJ958)/8</f>
        <v/>
      </c>
      <c r="AM958">
        <f>IF(AK958&gt;=2,(AK958-2)/8,0)</f>
        <v/>
      </c>
    </row>
    <row r="959">
      <c r="T959">
        <f>SUM(C959:R959)</f>
        <v/>
      </c>
      <c r="U959" s="6">
        <f>ROUND(T959/11.5,2)</f>
        <v/>
      </c>
      <c r="V959" s="7">
        <f>IF(B959="","",IF(AB959,0,ROUND(AL959,2)))</f>
        <v/>
      </c>
      <c r="W959" s="7">
        <f>IF(B959="","",IF(AB959,0,MIN(5,ROUND(AL959+AM959,2))))</f>
        <v/>
      </c>
      <c r="X959" s="8">
        <f>IF(B959="","",IF(W959&gt;=5,"A+",IF(W959&gt;=4,"A",IF(W959&gt;=3.5,"A-",IF(W959&gt;=3,"B",IF(W959&gt;=2,"C",IF(W959&gt;=1,"D","F")))))))</f>
        <v/>
      </c>
      <c r="Y959">
        <f>NOT(OR(AND(J959&gt;=10,K959&gt;=23,L959&gt;=10,M959&gt;=23),AND(J959+L959&gt;=20,K959+M959&gt;=46)))</f>
        <v/>
      </c>
      <c r="Z959">
        <f>OR(N959&lt;10,O959&lt;23)</f>
        <v/>
      </c>
      <c r="AA959">
        <f>OR(P959&lt;10,Q959&lt;23)</f>
        <v/>
      </c>
      <c r="AB959">
        <f>OR((C959+D959)&lt;66,(E959+F959)&lt;66,G959&lt;33,(H959+I959)&lt;66,Y959,Z959,AA959,R959&lt;8.25)</f>
        <v/>
      </c>
      <c r="AC959">
        <f>IF(C959+D959&lt;66,0,IF((C959+D959)/2&gt;=80,5,IF((C959+D959)/2&gt;=70,4,IF((C959+D959)/2&gt;=60,3.5,IF((C959+D959)/2&gt;=50,3,IF((C959+D959)/2&gt;=40,2,IF((C959+D959)/2&gt;=33,1,0)))))))</f>
        <v/>
      </c>
      <c r="AD959">
        <f>IF(E959+F959&lt;66,0,IF((E959+F959)/2&gt;=80,5,IF((E959+F959)/2&gt;=70,4,IF((E959+F959)/2&gt;=60,3.5,IF((E959+F959)/2&gt;=50,3,IF((E959+F959)/2&gt;=40,2,IF((E959+F959)/2&gt;=33,1,0)))))))</f>
        <v/>
      </c>
      <c r="AE959">
        <f>IF(G959&lt;33,0,IF(G959&gt;=80,5,IF(G959&gt;=70,4,IF(G959&gt;=60,3.5,IF(G959&gt;=50,3,IF(G959&gt;=40,2,IF(G959&gt;=33,1,0)))))))</f>
        <v/>
      </c>
      <c r="AF959">
        <f>IF(H959+I959&lt;66,0,IF((H959+I959)/2&gt;=80,5,IF((H959+I959)/2&gt;=70,4,IF((H959+I959)/2&gt;=60,3.5,IF((H959+I959)/2&gt;=50,3,IF((H959+I959)/2&gt;=40,2,IF((H959+I959)/2&gt;=33,1,0)))))))</f>
        <v/>
      </c>
      <c r="AG959">
        <f>IF(Y959,0,IF((J959+K959+L959+M959)/2&gt;=80,5,IF((J959+K959+L959+M959)/2&gt;=70,4,IF((J959+K959+L959+M959)/2&gt;=60,3.5,IF((J959+K959+L959+M959)/2&gt;=50,3,IF((J959+K959+L959+M959)/2&gt;=40,2,IF((J959+K959+L959+M959)/2&gt;=33,1,0)))))))</f>
        <v/>
      </c>
      <c r="AH959">
        <f>IF(Z959,0,IF(N959+O959&gt;=80,5,IF(N959+O959&gt;=70,4,IF(N959+O959&gt;=60,3.5,IF(N959+O959&gt;=50,3,IF(N959+O959&gt;=40,2,IF(N959+O959&gt;=33,1,0)))))))</f>
        <v/>
      </c>
      <c r="AI959">
        <f>IF(AA959,0,IF(P959+Q959&gt;=80,5,IF(P959+Q959&gt;=70,4,IF(P959+Q959&gt;=60,3.5,IF(P959+Q959&gt;=50,3,IF(P959+Q959&gt;=40,2,IF(P959+Q959&gt;=33,1,0)))))))</f>
        <v/>
      </c>
      <c r="AJ959">
        <f>IF(R959&lt;8.25,0,IF(R959*2&gt;=80,5,IF(R959*2&gt;=70,4,IF(R959*2&gt;=60,3.5,IF(R959*2&gt;=50,3,IF(R959*2&gt;=40,2,IF(R959*2&gt;=33,1,0)))))))</f>
        <v/>
      </c>
      <c r="AK959">
        <f>IF(S959&lt;33,0,IF(S959&gt;=80,5,IF(S959&gt;=70,4,IF(S959&gt;=60,3.5,IF(S959&gt;=50,3,IF(S959&gt;=40,2,IF(S959&gt;=33,1,0)))))))</f>
        <v/>
      </c>
      <c r="AL959">
        <f>(AC959+AD959+AE959+AF959+AG959+AH959+AI959+AJ959)/8</f>
        <v/>
      </c>
      <c r="AM959">
        <f>IF(AK959&gt;=2,(AK959-2)/8,0)</f>
        <v/>
      </c>
    </row>
    <row r="960">
      <c r="T960">
        <f>SUM(C960:R960)</f>
        <v/>
      </c>
      <c r="U960" s="6">
        <f>ROUND(T960/11.5,2)</f>
        <v/>
      </c>
      <c r="V960" s="7">
        <f>IF(B960="","",IF(AB960,0,ROUND(AL960,2)))</f>
        <v/>
      </c>
      <c r="W960" s="7">
        <f>IF(B960="","",IF(AB960,0,MIN(5,ROUND(AL960+AM960,2))))</f>
        <v/>
      </c>
      <c r="X960" s="8">
        <f>IF(B960="","",IF(W960&gt;=5,"A+",IF(W960&gt;=4,"A",IF(W960&gt;=3.5,"A-",IF(W960&gt;=3,"B",IF(W960&gt;=2,"C",IF(W960&gt;=1,"D","F")))))))</f>
        <v/>
      </c>
      <c r="Y960">
        <f>NOT(OR(AND(J960&gt;=10,K960&gt;=23,L960&gt;=10,M960&gt;=23),AND(J960+L960&gt;=20,K960+M960&gt;=46)))</f>
        <v/>
      </c>
      <c r="Z960">
        <f>OR(N960&lt;10,O960&lt;23)</f>
        <v/>
      </c>
      <c r="AA960">
        <f>OR(P960&lt;10,Q960&lt;23)</f>
        <v/>
      </c>
      <c r="AB960">
        <f>OR((C960+D960)&lt;66,(E960+F960)&lt;66,G960&lt;33,(H960+I960)&lt;66,Y960,Z960,AA960,R960&lt;8.25)</f>
        <v/>
      </c>
      <c r="AC960">
        <f>IF(C960+D960&lt;66,0,IF((C960+D960)/2&gt;=80,5,IF((C960+D960)/2&gt;=70,4,IF((C960+D960)/2&gt;=60,3.5,IF((C960+D960)/2&gt;=50,3,IF((C960+D960)/2&gt;=40,2,IF((C960+D960)/2&gt;=33,1,0)))))))</f>
        <v/>
      </c>
      <c r="AD960">
        <f>IF(E960+F960&lt;66,0,IF((E960+F960)/2&gt;=80,5,IF((E960+F960)/2&gt;=70,4,IF((E960+F960)/2&gt;=60,3.5,IF((E960+F960)/2&gt;=50,3,IF((E960+F960)/2&gt;=40,2,IF((E960+F960)/2&gt;=33,1,0)))))))</f>
        <v/>
      </c>
      <c r="AE960">
        <f>IF(G960&lt;33,0,IF(G960&gt;=80,5,IF(G960&gt;=70,4,IF(G960&gt;=60,3.5,IF(G960&gt;=50,3,IF(G960&gt;=40,2,IF(G960&gt;=33,1,0)))))))</f>
        <v/>
      </c>
      <c r="AF960">
        <f>IF(H960+I960&lt;66,0,IF((H960+I960)/2&gt;=80,5,IF((H960+I960)/2&gt;=70,4,IF((H960+I960)/2&gt;=60,3.5,IF((H960+I960)/2&gt;=50,3,IF((H960+I960)/2&gt;=40,2,IF((H960+I960)/2&gt;=33,1,0)))))))</f>
        <v/>
      </c>
      <c r="AG960">
        <f>IF(Y960,0,IF((J960+K960+L960+M960)/2&gt;=80,5,IF((J960+K960+L960+M960)/2&gt;=70,4,IF((J960+K960+L960+M960)/2&gt;=60,3.5,IF((J960+K960+L960+M960)/2&gt;=50,3,IF((J960+K960+L960+M960)/2&gt;=40,2,IF((J960+K960+L960+M960)/2&gt;=33,1,0)))))))</f>
        <v/>
      </c>
      <c r="AH960">
        <f>IF(Z960,0,IF(N960+O960&gt;=80,5,IF(N960+O960&gt;=70,4,IF(N960+O960&gt;=60,3.5,IF(N960+O960&gt;=50,3,IF(N960+O960&gt;=40,2,IF(N960+O960&gt;=33,1,0)))))))</f>
        <v/>
      </c>
      <c r="AI960">
        <f>IF(AA960,0,IF(P960+Q960&gt;=80,5,IF(P960+Q960&gt;=70,4,IF(P960+Q960&gt;=60,3.5,IF(P960+Q960&gt;=50,3,IF(P960+Q960&gt;=40,2,IF(P960+Q960&gt;=33,1,0)))))))</f>
        <v/>
      </c>
      <c r="AJ960">
        <f>IF(R960&lt;8.25,0,IF(R960*2&gt;=80,5,IF(R960*2&gt;=70,4,IF(R960*2&gt;=60,3.5,IF(R960*2&gt;=50,3,IF(R960*2&gt;=40,2,IF(R960*2&gt;=33,1,0)))))))</f>
        <v/>
      </c>
      <c r="AK960">
        <f>IF(S960&lt;33,0,IF(S960&gt;=80,5,IF(S960&gt;=70,4,IF(S960&gt;=60,3.5,IF(S960&gt;=50,3,IF(S960&gt;=40,2,IF(S960&gt;=33,1,0)))))))</f>
        <v/>
      </c>
      <c r="AL960">
        <f>(AC960+AD960+AE960+AF960+AG960+AH960+AI960+AJ960)/8</f>
        <v/>
      </c>
      <c r="AM960">
        <f>IF(AK960&gt;=2,(AK960-2)/8,0)</f>
        <v/>
      </c>
    </row>
    <row r="961">
      <c r="T961">
        <f>SUM(C961:R961)</f>
        <v/>
      </c>
      <c r="U961" s="6">
        <f>ROUND(T961/11.5,2)</f>
        <v/>
      </c>
      <c r="V961" s="7">
        <f>IF(B961="","",IF(AB961,0,ROUND(AL961,2)))</f>
        <v/>
      </c>
      <c r="W961" s="7">
        <f>IF(B961="","",IF(AB961,0,MIN(5,ROUND(AL961+AM961,2))))</f>
        <v/>
      </c>
      <c r="X961" s="8">
        <f>IF(B961="","",IF(W961&gt;=5,"A+",IF(W961&gt;=4,"A",IF(W961&gt;=3.5,"A-",IF(W961&gt;=3,"B",IF(W961&gt;=2,"C",IF(W961&gt;=1,"D","F")))))))</f>
        <v/>
      </c>
      <c r="Y961">
        <f>NOT(OR(AND(J961&gt;=10,K961&gt;=23,L961&gt;=10,M961&gt;=23),AND(J961+L961&gt;=20,K961+M961&gt;=46)))</f>
        <v/>
      </c>
      <c r="Z961">
        <f>OR(N961&lt;10,O961&lt;23)</f>
        <v/>
      </c>
      <c r="AA961">
        <f>OR(P961&lt;10,Q961&lt;23)</f>
        <v/>
      </c>
      <c r="AB961">
        <f>OR((C961+D961)&lt;66,(E961+F961)&lt;66,G961&lt;33,(H961+I961)&lt;66,Y961,Z961,AA961,R961&lt;8.25)</f>
        <v/>
      </c>
      <c r="AC961">
        <f>IF(C961+D961&lt;66,0,IF((C961+D961)/2&gt;=80,5,IF((C961+D961)/2&gt;=70,4,IF((C961+D961)/2&gt;=60,3.5,IF((C961+D961)/2&gt;=50,3,IF((C961+D961)/2&gt;=40,2,IF((C961+D961)/2&gt;=33,1,0)))))))</f>
        <v/>
      </c>
      <c r="AD961">
        <f>IF(E961+F961&lt;66,0,IF((E961+F961)/2&gt;=80,5,IF((E961+F961)/2&gt;=70,4,IF((E961+F961)/2&gt;=60,3.5,IF((E961+F961)/2&gt;=50,3,IF((E961+F961)/2&gt;=40,2,IF((E961+F961)/2&gt;=33,1,0)))))))</f>
        <v/>
      </c>
      <c r="AE961">
        <f>IF(G961&lt;33,0,IF(G961&gt;=80,5,IF(G961&gt;=70,4,IF(G961&gt;=60,3.5,IF(G961&gt;=50,3,IF(G961&gt;=40,2,IF(G961&gt;=33,1,0)))))))</f>
        <v/>
      </c>
      <c r="AF961">
        <f>IF(H961+I961&lt;66,0,IF((H961+I961)/2&gt;=80,5,IF((H961+I961)/2&gt;=70,4,IF((H961+I961)/2&gt;=60,3.5,IF((H961+I961)/2&gt;=50,3,IF((H961+I961)/2&gt;=40,2,IF((H961+I961)/2&gt;=33,1,0)))))))</f>
        <v/>
      </c>
      <c r="AG961">
        <f>IF(Y961,0,IF((J961+K961+L961+M961)/2&gt;=80,5,IF((J961+K961+L961+M961)/2&gt;=70,4,IF((J961+K961+L961+M961)/2&gt;=60,3.5,IF((J961+K961+L961+M961)/2&gt;=50,3,IF((J961+K961+L961+M961)/2&gt;=40,2,IF((J961+K961+L961+M961)/2&gt;=33,1,0)))))))</f>
        <v/>
      </c>
      <c r="AH961">
        <f>IF(Z961,0,IF(N961+O961&gt;=80,5,IF(N961+O961&gt;=70,4,IF(N961+O961&gt;=60,3.5,IF(N961+O961&gt;=50,3,IF(N961+O961&gt;=40,2,IF(N961+O961&gt;=33,1,0)))))))</f>
        <v/>
      </c>
      <c r="AI961">
        <f>IF(AA961,0,IF(P961+Q961&gt;=80,5,IF(P961+Q961&gt;=70,4,IF(P961+Q961&gt;=60,3.5,IF(P961+Q961&gt;=50,3,IF(P961+Q961&gt;=40,2,IF(P961+Q961&gt;=33,1,0)))))))</f>
        <v/>
      </c>
      <c r="AJ961">
        <f>IF(R961&lt;8.25,0,IF(R961*2&gt;=80,5,IF(R961*2&gt;=70,4,IF(R961*2&gt;=60,3.5,IF(R961*2&gt;=50,3,IF(R961*2&gt;=40,2,IF(R961*2&gt;=33,1,0)))))))</f>
        <v/>
      </c>
      <c r="AK961">
        <f>IF(S961&lt;33,0,IF(S961&gt;=80,5,IF(S961&gt;=70,4,IF(S961&gt;=60,3.5,IF(S961&gt;=50,3,IF(S961&gt;=40,2,IF(S961&gt;=33,1,0)))))))</f>
        <v/>
      </c>
      <c r="AL961">
        <f>(AC961+AD961+AE961+AF961+AG961+AH961+AI961+AJ961)/8</f>
        <v/>
      </c>
      <c r="AM961">
        <f>IF(AK961&gt;=2,(AK961-2)/8,0)</f>
        <v/>
      </c>
    </row>
    <row r="962">
      <c r="T962">
        <f>SUM(C962:R962)</f>
        <v/>
      </c>
      <c r="U962" s="6">
        <f>ROUND(T962/11.5,2)</f>
        <v/>
      </c>
      <c r="V962" s="7">
        <f>IF(B962="","",IF(AB962,0,ROUND(AL962,2)))</f>
        <v/>
      </c>
      <c r="W962" s="7">
        <f>IF(B962="","",IF(AB962,0,MIN(5,ROUND(AL962+AM962,2))))</f>
        <v/>
      </c>
      <c r="X962" s="8">
        <f>IF(B962="","",IF(W962&gt;=5,"A+",IF(W962&gt;=4,"A",IF(W962&gt;=3.5,"A-",IF(W962&gt;=3,"B",IF(W962&gt;=2,"C",IF(W962&gt;=1,"D","F")))))))</f>
        <v/>
      </c>
      <c r="Y962">
        <f>NOT(OR(AND(J962&gt;=10,K962&gt;=23,L962&gt;=10,M962&gt;=23),AND(J962+L962&gt;=20,K962+M962&gt;=46)))</f>
        <v/>
      </c>
      <c r="Z962">
        <f>OR(N962&lt;10,O962&lt;23)</f>
        <v/>
      </c>
      <c r="AA962">
        <f>OR(P962&lt;10,Q962&lt;23)</f>
        <v/>
      </c>
      <c r="AB962">
        <f>OR((C962+D962)&lt;66,(E962+F962)&lt;66,G962&lt;33,(H962+I962)&lt;66,Y962,Z962,AA962,R962&lt;8.25)</f>
        <v/>
      </c>
      <c r="AC962">
        <f>IF(C962+D962&lt;66,0,IF((C962+D962)/2&gt;=80,5,IF((C962+D962)/2&gt;=70,4,IF((C962+D962)/2&gt;=60,3.5,IF((C962+D962)/2&gt;=50,3,IF((C962+D962)/2&gt;=40,2,IF((C962+D962)/2&gt;=33,1,0)))))))</f>
        <v/>
      </c>
      <c r="AD962">
        <f>IF(E962+F962&lt;66,0,IF((E962+F962)/2&gt;=80,5,IF((E962+F962)/2&gt;=70,4,IF((E962+F962)/2&gt;=60,3.5,IF((E962+F962)/2&gt;=50,3,IF((E962+F962)/2&gt;=40,2,IF((E962+F962)/2&gt;=33,1,0)))))))</f>
        <v/>
      </c>
      <c r="AE962">
        <f>IF(G962&lt;33,0,IF(G962&gt;=80,5,IF(G962&gt;=70,4,IF(G962&gt;=60,3.5,IF(G962&gt;=50,3,IF(G962&gt;=40,2,IF(G962&gt;=33,1,0)))))))</f>
        <v/>
      </c>
      <c r="AF962">
        <f>IF(H962+I962&lt;66,0,IF((H962+I962)/2&gt;=80,5,IF((H962+I962)/2&gt;=70,4,IF((H962+I962)/2&gt;=60,3.5,IF((H962+I962)/2&gt;=50,3,IF((H962+I962)/2&gt;=40,2,IF((H962+I962)/2&gt;=33,1,0)))))))</f>
        <v/>
      </c>
      <c r="AG962">
        <f>IF(Y962,0,IF((J962+K962+L962+M962)/2&gt;=80,5,IF((J962+K962+L962+M962)/2&gt;=70,4,IF((J962+K962+L962+M962)/2&gt;=60,3.5,IF((J962+K962+L962+M962)/2&gt;=50,3,IF((J962+K962+L962+M962)/2&gt;=40,2,IF((J962+K962+L962+M962)/2&gt;=33,1,0)))))))</f>
        <v/>
      </c>
      <c r="AH962">
        <f>IF(Z962,0,IF(N962+O962&gt;=80,5,IF(N962+O962&gt;=70,4,IF(N962+O962&gt;=60,3.5,IF(N962+O962&gt;=50,3,IF(N962+O962&gt;=40,2,IF(N962+O962&gt;=33,1,0)))))))</f>
        <v/>
      </c>
      <c r="AI962">
        <f>IF(AA962,0,IF(P962+Q962&gt;=80,5,IF(P962+Q962&gt;=70,4,IF(P962+Q962&gt;=60,3.5,IF(P962+Q962&gt;=50,3,IF(P962+Q962&gt;=40,2,IF(P962+Q962&gt;=33,1,0)))))))</f>
        <v/>
      </c>
      <c r="AJ962">
        <f>IF(R962&lt;8.25,0,IF(R962*2&gt;=80,5,IF(R962*2&gt;=70,4,IF(R962*2&gt;=60,3.5,IF(R962*2&gt;=50,3,IF(R962*2&gt;=40,2,IF(R962*2&gt;=33,1,0)))))))</f>
        <v/>
      </c>
      <c r="AK962">
        <f>IF(S962&lt;33,0,IF(S962&gt;=80,5,IF(S962&gt;=70,4,IF(S962&gt;=60,3.5,IF(S962&gt;=50,3,IF(S962&gt;=40,2,IF(S962&gt;=33,1,0)))))))</f>
        <v/>
      </c>
      <c r="AL962">
        <f>(AC962+AD962+AE962+AF962+AG962+AH962+AI962+AJ962)/8</f>
        <v/>
      </c>
      <c r="AM962">
        <f>IF(AK962&gt;=2,(AK962-2)/8,0)</f>
        <v/>
      </c>
    </row>
    <row r="963">
      <c r="T963">
        <f>SUM(C963:R963)</f>
        <v/>
      </c>
      <c r="U963" s="6">
        <f>ROUND(T963/11.5,2)</f>
        <v/>
      </c>
      <c r="V963" s="7">
        <f>IF(B963="","",IF(AB963,0,ROUND(AL963,2)))</f>
        <v/>
      </c>
      <c r="W963" s="7">
        <f>IF(B963="","",IF(AB963,0,MIN(5,ROUND(AL963+AM963,2))))</f>
        <v/>
      </c>
      <c r="X963" s="8">
        <f>IF(B963="","",IF(W963&gt;=5,"A+",IF(W963&gt;=4,"A",IF(W963&gt;=3.5,"A-",IF(W963&gt;=3,"B",IF(W963&gt;=2,"C",IF(W963&gt;=1,"D","F")))))))</f>
        <v/>
      </c>
      <c r="Y963">
        <f>NOT(OR(AND(J963&gt;=10,K963&gt;=23,L963&gt;=10,M963&gt;=23),AND(J963+L963&gt;=20,K963+M963&gt;=46)))</f>
        <v/>
      </c>
      <c r="Z963">
        <f>OR(N963&lt;10,O963&lt;23)</f>
        <v/>
      </c>
      <c r="AA963">
        <f>OR(P963&lt;10,Q963&lt;23)</f>
        <v/>
      </c>
      <c r="AB963">
        <f>OR((C963+D963)&lt;66,(E963+F963)&lt;66,G963&lt;33,(H963+I963)&lt;66,Y963,Z963,AA963,R963&lt;8.25)</f>
        <v/>
      </c>
      <c r="AC963">
        <f>IF(C963+D963&lt;66,0,IF((C963+D963)/2&gt;=80,5,IF((C963+D963)/2&gt;=70,4,IF((C963+D963)/2&gt;=60,3.5,IF((C963+D963)/2&gt;=50,3,IF((C963+D963)/2&gt;=40,2,IF((C963+D963)/2&gt;=33,1,0)))))))</f>
        <v/>
      </c>
      <c r="AD963">
        <f>IF(E963+F963&lt;66,0,IF((E963+F963)/2&gt;=80,5,IF((E963+F963)/2&gt;=70,4,IF((E963+F963)/2&gt;=60,3.5,IF((E963+F963)/2&gt;=50,3,IF((E963+F963)/2&gt;=40,2,IF((E963+F963)/2&gt;=33,1,0)))))))</f>
        <v/>
      </c>
      <c r="AE963">
        <f>IF(G963&lt;33,0,IF(G963&gt;=80,5,IF(G963&gt;=70,4,IF(G963&gt;=60,3.5,IF(G963&gt;=50,3,IF(G963&gt;=40,2,IF(G963&gt;=33,1,0)))))))</f>
        <v/>
      </c>
      <c r="AF963">
        <f>IF(H963+I963&lt;66,0,IF((H963+I963)/2&gt;=80,5,IF((H963+I963)/2&gt;=70,4,IF((H963+I963)/2&gt;=60,3.5,IF((H963+I963)/2&gt;=50,3,IF((H963+I963)/2&gt;=40,2,IF((H963+I963)/2&gt;=33,1,0)))))))</f>
        <v/>
      </c>
      <c r="AG963">
        <f>IF(Y963,0,IF((J963+K963+L963+M963)/2&gt;=80,5,IF((J963+K963+L963+M963)/2&gt;=70,4,IF((J963+K963+L963+M963)/2&gt;=60,3.5,IF((J963+K963+L963+M963)/2&gt;=50,3,IF((J963+K963+L963+M963)/2&gt;=40,2,IF((J963+K963+L963+M963)/2&gt;=33,1,0)))))))</f>
        <v/>
      </c>
      <c r="AH963">
        <f>IF(Z963,0,IF(N963+O963&gt;=80,5,IF(N963+O963&gt;=70,4,IF(N963+O963&gt;=60,3.5,IF(N963+O963&gt;=50,3,IF(N963+O963&gt;=40,2,IF(N963+O963&gt;=33,1,0)))))))</f>
        <v/>
      </c>
      <c r="AI963">
        <f>IF(AA963,0,IF(P963+Q963&gt;=80,5,IF(P963+Q963&gt;=70,4,IF(P963+Q963&gt;=60,3.5,IF(P963+Q963&gt;=50,3,IF(P963+Q963&gt;=40,2,IF(P963+Q963&gt;=33,1,0)))))))</f>
        <v/>
      </c>
      <c r="AJ963">
        <f>IF(R963&lt;8.25,0,IF(R963*2&gt;=80,5,IF(R963*2&gt;=70,4,IF(R963*2&gt;=60,3.5,IF(R963*2&gt;=50,3,IF(R963*2&gt;=40,2,IF(R963*2&gt;=33,1,0)))))))</f>
        <v/>
      </c>
      <c r="AK963">
        <f>IF(S963&lt;33,0,IF(S963&gt;=80,5,IF(S963&gt;=70,4,IF(S963&gt;=60,3.5,IF(S963&gt;=50,3,IF(S963&gt;=40,2,IF(S963&gt;=33,1,0)))))))</f>
        <v/>
      </c>
      <c r="AL963">
        <f>(AC963+AD963+AE963+AF963+AG963+AH963+AI963+AJ963)/8</f>
        <v/>
      </c>
      <c r="AM963">
        <f>IF(AK963&gt;=2,(AK963-2)/8,0)</f>
        <v/>
      </c>
    </row>
    <row r="964">
      <c r="T964">
        <f>SUM(C964:R964)</f>
        <v/>
      </c>
      <c r="U964" s="6">
        <f>ROUND(T964/11.5,2)</f>
        <v/>
      </c>
      <c r="V964" s="7">
        <f>IF(B964="","",IF(AB964,0,ROUND(AL964,2)))</f>
        <v/>
      </c>
      <c r="W964" s="7">
        <f>IF(B964="","",IF(AB964,0,MIN(5,ROUND(AL964+AM964,2))))</f>
        <v/>
      </c>
      <c r="X964" s="8">
        <f>IF(B964="","",IF(W964&gt;=5,"A+",IF(W964&gt;=4,"A",IF(W964&gt;=3.5,"A-",IF(W964&gt;=3,"B",IF(W964&gt;=2,"C",IF(W964&gt;=1,"D","F")))))))</f>
        <v/>
      </c>
      <c r="Y964">
        <f>NOT(OR(AND(J964&gt;=10,K964&gt;=23,L964&gt;=10,M964&gt;=23),AND(J964+L964&gt;=20,K964+M964&gt;=46)))</f>
        <v/>
      </c>
      <c r="Z964">
        <f>OR(N964&lt;10,O964&lt;23)</f>
        <v/>
      </c>
      <c r="AA964">
        <f>OR(P964&lt;10,Q964&lt;23)</f>
        <v/>
      </c>
      <c r="AB964">
        <f>OR((C964+D964)&lt;66,(E964+F964)&lt;66,G964&lt;33,(H964+I964)&lt;66,Y964,Z964,AA964,R964&lt;8.25)</f>
        <v/>
      </c>
      <c r="AC964">
        <f>IF(C964+D964&lt;66,0,IF((C964+D964)/2&gt;=80,5,IF((C964+D964)/2&gt;=70,4,IF((C964+D964)/2&gt;=60,3.5,IF((C964+D964)/2&gt;=50,3,IF((C964+D964)/2&gt;=40,2,IF((C964+D964)/2&gt;=33,1,0)))))))</f>
        <v/>
      </c>
      <c r="AD964">
        <f>IF(E964+F964&lt;66,0,IF((E964+F964)/2&gt;=80,5,IF((E964+F964)/2&gt;=70,4,IF((E964+F964)/2&gt;=60,3.5,IF((E964+F964)/2&gt;=50,3,IF((E964+F964)/2&gt;=40,2,IF((E964+F964)/2&gt;=33,1,0)))))))</f>
        <v/>
      </c>
      <c r="AE964">
        <f>IF(G964&lt;33,0,IF(G964&gt;=80,5,IF(G964&gt;=70,4,IF(G964&gt;=60,3.5,IF(G964&gt;=50,3,IF(G964&gt;=40,2,IF(G964&gt;=33,1,0)))))))</f>
        <v/>
      </c>
      <c r="AF964">
        <f>IF(H964+I964&lt;66,0,IF((H964+I964)/2&gt;=80,5,IF((H964+I964)/2&gt;=70,4,IF((H964+I964)/2&gt;=60,3.5,IF((H964+I964)/2&gt;=50,3,IF((H964+I964)/2&gt;=40,2,IF((H964+I964)/2&gt;=33,1,0)))))))</f>
        <v/>
      </c>
      <c r="AG964">
        <f>IF(Y964,0,IF((J964+K964+L964+M964)/2&gt;=80,5,IF((J964+K964+L964+M964)/2&gt;=70,4,IF((J964+K964+L964+M964)/2&gt;=60,3.5,IF((J964+K964+L964+M964)/2&gt;=50,3,IF((J964+K964+L964+M964)/2&gt;=40,2,IF((J964+K964+L964+M964)/2&gt;=33,1,0)))))))</f>
        <v/>
      </c>
      <c r="AH964">
        <f>IF(Z964,0,IF(N964+O964&gt;=80,5,IF(N964+O964&gt;=70,4,IF(N964+O964&gt;=60,3.5,IF(N964+O964&gt;=50,3,IF(N964+O964&gt;=40,2,IF(N964+O964&gt;=33,1,0)))))))</f>
        <v/>
      </c>
      <c r="AI964">
        <f>IF(AA964,0,IF(P964+Q964&gt;=80,5,IF(P964+Q964&gt;=70,4,IF(P964+Q964&gt;=60,3.5,IF(P964+Q964&gt;=50,3,IF(P964+Q964&gt;=40,2,IF(P964+Q964&gt;=33,1,0)))))))</f>
        <v/>
      </c>
      <c r="AJ964">
        <f>IF(R964&lt;8.25,0,IF(R964*2&gt;=80,5,IF(R964*2&gt;=70,4,IF(R964*2&gt;=60,3.5,IF(R964*2&gt;=50,3,IF(R964*2&gt;=40,2,IF(R964*2&gt;=33,1,0)))))))</f>
        <v/>
      </c>
      <c r="AK964">
        <f>IF(S964&lt;33,0,IF(S964&gt;=80,5,IF(S964&gt;=70,4,IF(S964&gt;=60,3.5,IF(S964&gt;=50,3,IF(S964&gt;=40,2,IF(S964&gt;=33,1,0)))))))</f>
        <v/>
      </c>
      <c r="AL964">
        <f>(AC964+AD964+AE964+AF964+AG964+AH964+AI964+AJ964)/8</f>
        <v/>
      </c>
      <c r="AM964">
        <f>IF(AK964&gt;=2,(AK964-2)/8,0)</f>
        <v/>
      </c>
    </row>
    <row r="965">
      <c r="T965">
        <f>SUM(C965:R965)</f>
        <v/>
      </c>
      <c r="U965" s="6">
        <f>ROUND(T965/11.5,2)</f>
        <v/>
      </c>
      <c r="V965" s="7">
        <f>IF(B965="","",IF(AB965,0,ROUND(AL965,2)))</f>
        <v/>
      </c>
      <c r="W965" s="7">
        <f>IF(B965="","",IF(AB965,0,MIN(5,ROUND(AL965+AM965,2))))</f>
        <v/>
      </c>
      <c r="X965" s="8">
        <f>IF(B965="","",IF(W965&gt;=5,"A+",IF(W965&gt;=4,"A",IF(W965&gt;=3.5,"A-",IF(W965&gt;=3,"B",IF(W965&gt;=2,"C",IF(W965&gt;=1,"D","F")))))))</f>
        <v/>
      </c>
      <c r="Y965">
        <f>NOT(OR(AND(J965&gt;=10,K965&gt;=23,L965&gt;=10,M965&gt;=23),AND(J965+L965&gt;=20,K965+M965&gt;=46)))</f>
        <v/>
      </c>
      <c r="Z965">
        <f>OR(N965&lt;10,O965&lt;23)</f>
        <v/>
      </c>
      <c r="AA965">
        <f>OR(P965&lt;10,Q965&lt;23)</f>
        <v/>
      </c>
      <c r="AB965">
        <f>OR((C965+D965)&lt;66,(E965+F965)&lt;66,G965&lt;33,(H965+I965)&lt;66,Y965,Z965,AA965,R965&lt;8.25)</f>
        <v/>
      </c>
      <c r="AC965">
        <f>IF(C965+D965&lt;66,0,IF((C965+D965)/2&gt;=80,5,IF((C965+D965)/2&gt;=70,4,IF((C965+D965)/2&gt;=60,3.5,IF((C965+D965)/2&gt;=50,3,IF((C965+D965)/2&gt;=40,2,IF((C965+D965)/2&gt;=33,1,0)))))))</f>
        <v/>
      </c>
      <c r="AD965">
        <f>IF(E965+F965&lt;66,0,IF((E965+F965)/2&gt;=80,5,IF((E965+F965)/2&gt;=70,4,IF((E965+F965)/2&gt;=60,3.5,IF((E965+F965)/2&gt;=50,3,IF((E965+F965)/2&gt;=40,2,IF((E965+F965)/2&gt;=33,1,0)))))))</f>
        <v/>
      </c>
      <c r="AE965">
        <f>IF(G965&lt;33,0,IF(G965&gt;=80,5,IF(G965&gt;=70,4,IF(G965&gt;=60,3.5,IF(G965&gt;=50,3,IF(G965&gt;=40,2,IF(G965&gt;=33,1,0)))))))</f>
        <v/>
      </c>
      <c r="AF965">
        <f>IF(H965+I965&lt;66,0,IF((H965+I965)/2&gt;=80,5,IF((H965+I965)/2&gt;=70,4,IF((H965+I965)/2&gt;=60,3.5,IF((H965+I965)/2&gt;=50,3,IF((H965+I965)/2&gt;=40,2,IF((H965+I965)/2&gt;=33,1,0)))))))</f>
        <v/>
      </c>
      <c r="AG965">
        <f>IF(Y965,0,IF((J965+K965+L965+M965)/2&gt;=80,5,IF((J965+K965+L965+M965)/2&gt;=70,4,IF((J965+K965+L965+M965)/2&gt;=60,3.5,IF((J965+K965+L965+M965)/2&gt;=50,3,IF((J965+K965+L965+M965)/2&gt;=40,2,IF((J965+K965+L965+M965)/2&gt;=33,1,0)))))))</f>
        <v/>
      </c>
      <c r="AH965">
        <f>IF(Z965,0,IF(N965+O965&gt;=80,5,IF(N965+O965&gt;=70,4,IF(N965+O965&gt;=60,3.5,IF(N965+O965&gt;=50,3,IF(N965+O965&gt;=40,2,IF(N965+O965&gt;=33,1,0)))))))</f>
        <v/>
      </c>
      <c r="AI965">
        <f>IF(AA965,0,IF(P965+Q965&gt;=80,5,IF(P965+Q965&gt;=70,4,IF(P965+Q965&gt;=60,3.5,IF(P965+Q965&gt;=50,3,IF(P965+Q965&gt;=40,2,IF(P965+Q965&gt;=33,1,0)))))))</f>
        <v/>
      </c>
      <c r="AJ965">
        <f>IF(R965&lt;8.25,0,IF(R965*2&gt;=80,5,IF(R965*2&gt;=70,4,IF(R965*2&gt;=60,3.5,IF(R965*2&gt;=50,3,IF(R965*2&gt;=40,2,IF(R965*2&gt;=33,1,0)))))))</f>
        <v/>
      </c>
      <c r="AK965">
        <f>IF(S965&lt;33,0,IF(S965&gt;=80,5,IF(S965&gt;=70,4,IF(S965&gt;=60,3.5,IF(S965&gt;=50,3,IF(S965&gt;=40,2,IF(S965&gt;=33,1,0)))))))</f>
        <v/>
      </c>
      <c r="AL965">
        <f>(AC965+AD965+AE965+AF965+AG965+AH965+AI965+AJ965)/8</f>
        <v/>
      </c>
      <c r="AM965">
        <f>IF(AK965&gt;=2,(AK965-2)/8,0)</f>
        <v/>
      </c>
    </row>
    <row r="966">
      <c r="T966">
        <f>SUM(C966:R966)</f>
        <v/>
      </c>
      <c r="U966" s="6">
        <f>ROUND(T966/11.5,2)</f>
        <v/>
      </c>
      <c r="V966" s="7">
        <f>IF(B966="","",IF(AB966,0,ROUND(AL966,2)))</f>
        <v/>
      </c>
      <c r="W966" s="7">
        <f>IF(B966="","",IF(AB966,0,MIN(5,ROUND(AL966+AM966,2))))</f>
        <v/>
      </c>
      <c r="X966" s="8">
        <f>IF(B966="","",IF(W966&gt;=5,"A+",IF(W966&gt;=4,"A",IF(W966&gt;=3.5,"A-",IF(W966&gt;=3,"B",IF(W966&gt;=2,"C",IF(W966&gt;=1,"D","F")))))))</f>
        <v/>
      </c>
      <c r="Y966">
        <f>NOT(OR(AND(J966&gt;=10,K966&gt;=23,L966&gt;=10,M966&gt;=23),AND(J966+L966&gt;=20,K966+M966&gt;=46)))</f>
        <v/>
      </c>
      <c r="Z966">
        <f>OR(N966&lt;10,O966&lt;23)</f>
        <v/>
      </c>
      <c r="AA966">
        <f>OR(P966&lt;10,Q966&lt;23)</f>
        <v/>
      </c>
      <c r="AB966">
        <f>OR((C966+D966)&lt;66,(E966+F966)&lt;66,G966&lt;33,(H966+I966)&lt;66,Y966,Z966,AA966,R966&lt;8.25)</f>
        <v/>
      </c>
      <c r="AC966">
        <f>IF(C966+D966&lt;66,0,IF((C966+D966)/2&gt;=80,5,IF((C966+D966)/2&gt;=70,4,IF((C966+D966)/2&gt;=60,3.5,IF((C966+D966)/2&gt;=50,3,IF((C966+D966)/2&gt;=40,2,IF((C966+D966)/2&gt;=33,1,0)))))))</f>
        <v/>
      </c>
      <c r="AD966">
        <f>IF(E966+F966&lt;66,0,IF((E966+F966)/2&gt;=80,5,IF((E966+F966)/2&gt;=70,4,IF((E966+F966)/2&gt;=60,3.5,IF((E966+F966)/2&gt;=50,3,IF((E966+F966)/2&gt;=40,2,IF((E966+F966)/2&gt;=33,1,0)))))))</f>
        <v/>
      </c>
      <c r="AE966">
        <f>IF(G966&lt;33,0,IF(G966&gt;=80,5,IF(G966&gt;=70,4,IF(G966&gt;=60,3.5,IF(G966&gt;=50,3,IF(G966&gt;=40,2,IF(G966&gt;=33,1,0)))))))</f>
        <v/>
      </c>
      <c r="AF966">
        <f>IF(H966+I966&lt;66,0,IF((H966+I966)/2&gt;=80,5,IF((H966+I966)/2&gt;=70,4,IF((H966+I966)/2&gt;=60,3.5,IF((H966+I966)/2&gt;=50,3,IF((H966+I966)/2&gt;=40,2,IF((H966+I966)/2&gt;=33,1,0)))))))</f>
        <v/>
      </c>
      <c r="AG966">
        <f>IF(Y966,0,IF((J966+K966+L966+M966)/2&gt;=80,5,IF((J966+K966+L966+M966)/2&gt;=70,4,IF((J966+K966+L966+M966)/2&gt;=60,3.5,IF((J966+K966+L966+M966)/2&gt;=50,3,IF((J966+K966+L966+M966)/2&gt;=40,2,IF((J966+K966+L966+M966)/2&gt;=33,1,0)))))))</f>
        <v/>
      </c>
      <c r="AH966">
        <f>IF(Z966,0,IF(N966+O966&gt;=80,5,IF(N966+O966&gt;=70,4,IF(N966+O966&gt;=60,3.5,IF(N966+O966&gt;=50,3,IF(N966+O966&gt;=40,2,IF(N966+O966&gt;=33,1,0)))))))</f>
        <v/>
      </c>
      <c r="AI966">
        <f>IF(AA966,0,IF(P966+Q966&gt;=80,5,IF(P966+Q966&gt;=70,4,IF(P966+Q966&gt;=60,3.5,IF(P966+Q966&gt;=50,3,IF(P966+Q966&gt;=40,2,IF(P966+Q966&gt;=33,1,0)))))))</f>
        <v/>
      </c>
      <c r="AJ966">
        <f>IF(R966&lt;8.25,0,IF(R966*2&gt;=80,5,IF(R966*2&gt;=70,4,IF(R966*2&gt;=60,3.5,IF(R966*2&gt;=50,3,IF(R966*2&gt;=40,2,IF(R966*2&gt;=33,1,0)))))))</f>
        <v/>
      </c>
      <c r="AK966">
        <f>IF(S966&lt;33,0,IF(S966&gt;=80,5,IF(S966&gt;=70,4,IF(S966&gt;=60,3.5,IF(S966&gt;=50,3,IF(S966&gt;=40,2,IF(S966&gt;=33,1,0)))))))</f>
        <v/>
      </c>
      <c r="AL966">
        <f>(AC966+AD966+AE966+AF966+AG966+AH966+AI966+AJ966)/8</f>
        <v/>
      </c>
      <c r="AM966">
        <f>IF(AK966&gt;=2,(AK966-2)/8,0)</f>
        <v/>
      </c>
    </row>
    <row r="967">
      <c r="T967">
        <f>SUM(C967:R967)</f>
        <v/>
      </c>
      <c r="U967" s="6">
        <f>ROUND(T967/11.5,2)</f>
        <v/>
      </c>
      <c r="V967" s="7">
        <f>IF(B967="","",IF(AB967,0,ROUND(AL967,2)))</f>
        <v/>
      </c>
      <c r="W967" s="7">
        <f>IF(B967="","",IF(AB967,0,MIN(5,ROUND(AL967+AM967,2))))</f>
        <v/>
      </c>
      <c r="X967" s="8">
        <f>IF(B967="","",IF(W967&gt;=5,"A+",IF(W967&gt;=4,"A",IF(W967&gt;=3.5,"A-",IF(W967&gt;=3,"B",IF(W967&gt;=2,"C",IF(W967&gt;=1,"D","F")))))))</f>
        <v/>
      </c>
      <c r="Y967">
        <f>NOT(OR(AND(J967&gt;=10,K967&gt;=23,L967&gt;=10,M967&gt;=23),AND(J967+L967&gt;=20,K967+M967&gt;=46)))</f>
        <v/>
      </c>
      <c r="Z967">
        <f>OR(N967&lt;10,O967&lt;23)</f>
        <v/>
      </c>
      <c r="AA967">
        <f>OR(P967&lt;10,Q967&lt;23)</f>
        <v/>
      </c>
      <c r="AB967">
        <f>OR((C967+D967)&lt;66,(E967+F967)&lt;66,G967&lt;33,(H967+I967)&lt;66,Y967,Z967,AA967,R967&lt;8.25)</f>
        <v/>
      </c>
      <c r="AC967">
        <f>IF(C967+D967&lt;66,0,IF((C967+D967)/2&gt;=80,5,IF((C967+D967)/2&gt;=70,4,IF((C967+D967)/2&gt;=60,3.5,IF((C967+D967)/2&gt;=50,3,IF((C967+D967)/2&gt;=40,2,IF((C967+D967)/2&gt;=33,1,0)))))))</f>
        <v/>
      </c>
      <c r="AD967">
        <f>IF(E967+F967&lt;66,0,IF((E967+F967)/2&gt;=80,5,IF((E967+F967)/2&gt;=70,4,IF((E967+F967)/2&gt;=60,3.5,IF((E967+F967)/2&gt;=50,3,IF((E967+F967)/2&gt;=40,2,IF((E967+F967)/2&gt;=33,1,0)))))))</f>
        <v/>
      </c>
      <c r="AE967">
        <f>IF(G967&lt;33,0,IF(G967&gt;=80,5,IF(G967&gt;=70,4,IF(G967&gt;=60,3.5,IF(G967&gt;=50,3,IF(G967&gt;=40,2,IF(G967&gt;=33,1,0)))))))</f>
        <v/>
      </c>
      <c r="AF967">
        <f>IF(H967+I967&lt;66,0,IF((H967+I967)/2&gt;=80,5,IF((H967+I967)/2&gt;=70,4,IF((H967+I967)/2&gt;=60,3.5,IF((H967+I967)/2&gt;=50,3,IF((H967+I967)/2&gt;=40,2,IF((H967+I967)/2&gt;=33,1,0)))))))</f>
        <v/>
      </c>
      <c r="AG967">
        <f>IF(Y967,0,IF((J967+K967+L967+M967)/2&gt;=80,5,IF((J967+K967+L967+M967)/2&gt;=70,4,IF((J967+K967+L967+M967)/2&gt;=60,3.5,IF((J967+K967+L967+M967)/2&gt;=50,3,IF((J967+K967+L967+M967)/2&gt;=40,2,IF((J967+K967+L967+M967)/2&gt;=33,1,0)))))))</f>
        <v/>
      </c>
      <c r="AH967">
        <f>IF(Z967,0,IF(N967+O967&gt;=80,5,IF(N967+O967&gt;=70,4,IF(N967+O967&gt;=60,3.5,IF(N967+O967&gt;=50,3,IF(N967+O967&gt;=40,2,IF(N967+O967&gt;=33,1,0)))))))</f>
        <v/>
      </c>
      <c r="AI967">
        <f>IF(AA967,0,IF(P967+Q967&gt;=80,5,IF(P967+Q967&gt;=70,4,IF(P967+Q967&gt;=60,3.5,IF(P967+Q967&gt;=50,3,IF(P967+Q967&gt;=40,2,IF(P967+Q967&gt;=33,1,0)))))))</f>
        <v/>
      </c>
      <c r="AJ967">
        <f>IF(R967&lt;8.25,0,IF(R967*2&gt;=80,5,IF(R967*2&gt;=70,4,IF(R967*2&gt;=60,3.5,IF(R967*2&gt;=50,3,IF(R967*2&gt;=40,2,IF(R967*2&gt;=33,1,0)))))))</f>
        <v/>
      </c>
      <c r="AK967">
        <f>IF(S967&lt;33,0,IF(S967&gt;=80,5,IF(S967&gt;=70,4,IF(S967&gt;=60,3.5,IF(S967&gt;=50,3,IF(S967&gt;=40,2,IF(S967&gt;=33,1,0)))))))</f>
        <v/>
      </c>
      <c r="AL967">
        <f>(AC967+AD967+AE967+AF967+AG967+AH967+AI967+AJ967)/8</f>
        <v/>
      </c>
      <c r="AM967">
        <f>IF(AK967&gt;=2,(AK967-2)/8,0)</f>
        <v/>
      </c>
    </row>
    <row r="968">
      <c r="T968">
        <f>SUM(C968:R968)</f>
        <v/>
      </c>
      <c r="U968" s="6">
        <f>ROUND(T968/11.5,2)</f>
        <v/>
      </c>
      <c r="V968" s="7">
        <f>IF(B968="","",IF(AB968,0,ROUND(AL968,2)))</f>
        <v/>
      </c>
      <c r="W968" s="7">
        <f>IF(B968="","",IF(AB968,0,MIN(5,ROUND(AL968+AM968,2))))</f>
        <v/>
      </c>
      <c r="X968" s="8">
        <f>IF(B968="","",IF(W968&gt;=5,"A+",IF(W968&gt;=4,"A",IF(W968&gt;=3.5,"A-",IF(W968&gt;=3,"B",IF(W968&gt;=2,"C",IF(W968&gt;=1,"D","F")))))))</f>
        <v/>
      </c>
      <c r="Y968">
        <f>NOT(OR(AND(J968&gt;=10,K968&gt;=23,L968&gt;=10,M968&gt;=23),AND(J968+L968&gt;=20,K968+M968&gt;=46)))</f>
        <v/>
      </c>
      <c r="Z968">
        <f>OR(N968&lt;10,O968&lt;23)</f>
        <v/>
      </c>
      <c r="AA968">
        <f>OR(P968&lt;10,Q968&lt;23)</f>
        <v/>
      </c>
      <c r="AB968">
        <f>OR((C968+D968)&lt;66,(E968+F968)&lt;66,G968&lt;33,(H968+I968)&lt;66,Y968,Z968,AA968,R968&lt;8.25)</f>
        <v/>
      </c>
      <c r="AC968">
        <f>IF(C968+D968&lt;66,0,IF((C968+D968)/2&gt;=80,5,IF((C968+D968)/2&gt;=70,4,IF((C968+D968)/2&gt;=60,3.5,IF((C968+D968)/2&gt;=50,3,IF((C968+D968)/2&gt;=40,2,IF((C968+D968)/2&gt;=33,1,0)))))))</f>
        <v/>
      </c>
      <c r="AD968">
        <f>IF(E968+F968&lt;66,0,IF((E968+F968)/2&gt;=80,5,IF((E968+F968)/2&gt;=70,4,IF((E968+F968)/2&gt;=60,3.5,IF((E968+F968)/2&gt;=50,3,IF((E968+F968)/2&gt;=40,2,IF((E968+F968)/2&gt;=33,1,0)))))))</f>
        <v/>
      </c>
      <c r="AE968">
        <f>IF(G968&lt;33,0,IF(G968&gt;=80,5,IF(G968&gt;=70,4,IF(G968&gt;=60,3.5,IF(G968&gt;=50,3,IF(G968&gt;=40,2,IF(G968&gt;=33,1,0)))))))</f>
        <v/>
      </c>
      <c r="AF968">
        <f>IF(H968+I968&lt;66,0,IF((H968+I968)/2&gt;=80,5,IF((H968+I968)/2&gt;=70,4,IF((H968+I968)/2&gt;=60,3.5,IF((H968+I968)/2&gt;=50,3,IF((H968+I968)/2&gt;=40,2,IF((H968+I968)/2&gt;=33,1,0)))))))</f>
        <v/>
      </c>
      <c r="AG968">
        <f>IF(Y968,0,IF((J968+K968+L968+M968)/2&gt;=80,5,IF((J968+K968+L968+M968)/2&gt;=70,4,IF((J968+K968+L968+M968)/2&gt;=60,3.5,IF((J968+K968+L968+M968)/2&gt;=50,3,IF((J968+K968+L968+M968)/2&gt;=40,2,IF((J968+K968+L968+M968)/2&gt;=33,1,0)))))))</f>
        <v/>
      </c>
      <c r="AH968">
        <f>IF(Z968,0,IF(N968+O968&gt;=80,5,IF(N968+O968&gt;=70,4,IF(N968+O968&gt;=60,3.5,IF(N968+O968&gt;=50,3,IF(N968+O968&gt;=40,2,IF(N968+O968&gt;=33,1,0)))))))</f>
        <v/>
      </c>
      <c r="AI968">
        <f>IF(AA968,0,IF(P968+Q968&gt;=80,5,IF(P968+Q968&gt;=70,4,IF(P968+Q968&gt;=60,3.5,IF(P968+Q968&gt;=50,3,IF(P968+Q968&gt;=40,2,IF(P968+Q968&gt;=33,1,0)))))))</f>
        <v/>
      </c>
      <c r="AJ968">
        <f>IF(R968&lt;8.25,0,IF(R968*2&gt;=80,5,IF(R968*2&gt;=70,4,IF(R968*2&gt;=60,3.5,IF(R968*2&gt;=50,3,IF(R968*2&gt;=40,2,IF(R968*2&gt;=33,1,0)))))))</f>
        <v/>
      </c>
      <c r="AK968">
        <f>IF(S968&lt;33,0,IF(S968&gt;=80,5,IF(S968&gt;=70,4,IF(S968&gt;=60,3.5,IF(S968&gt;=50,3,IF(S968&gt;=40,2,IF(S968&gt;=33,1,0)))))))</f>
        <v/>
      </c>
      <c r="AL968">
        <f>(AC968+AD968+AE968+AF968+AG968+AH968+AI968+AJ968)/8</f>
        <v/>
      </c>
      <c r="AM968">
        <f>IF(AK968&gt;=2,(AK968-2)/8,0)</f>
        <v/>
      </c>
    </row>
    <row r="969">
      <c r="T969">
        <f>SUM(C969:R969)</f>
        <v/>
      </c>
      <c r="U969" s="6">
        <f>ROUND(T969/11.5,2)</f>
        <v/>
      </c>
      <c r="V969" s="7">
        <f>IF(B969="","",IF(AB969,0,ROUND(AL969,2)))</f>
        <v/>
      </c>
      <c r="W969" s="7">
        <f>IF(B969="","",IF(AB969,0,MIN(5,ROUND(AL969+AM969,2))))</f>
        <v/>
      </c>
      <c r="X969" s="8">
        <f>IF(B969="","",IF(W969&gt;=5,"A+",IF(W969&gt;=4,"A",IF(W969&gt;=3.5,"A-",IF(W969&gt;=3,"B",IF(W969&gt;=2,"C",IF(W969&gt;=1,"D","F")))))))</f>
        <v/>
      </c>
      <c r="Y969">
        <f>NOT(OR(AND(J969&gt;=10,K969&gt;=23,L969&gt;=10,M969&gt;=23),AND(J969+L969&gt;=20,K969+M969&gt;=46)))</f>
        <v/>
      </c>
      <c r="Z969">
        <f>OR(N969&lt;10,O969&lt;23)</f>
        <v/>
      </c>
      <c r="AA969">
        <f>OR(P969&lt;10,Q969&lt;23)</f>
        <v/>
      </c>
      <c r="AB969">
        <f>OR((C969+D969)&lt;66,(E969+F969)&lt;66,G969&lt;33,(H969+I969)&lt;66,Y969,Z969,AA969,R969&lt;8.25)</f>
        <v/>
      </c>
      <c r="AC969">
        <f>IF(C969+D969&lt;66,0,IF((C969+D969)/2&gt;=80,5,IF((C969+D969)/2&gt;=70,4,IF((C969+D969)/2&gt;=60,3.5,IF((C969+D969)/2&gt;=50,3,IF((C969+D969)/2&gt;=40,2,IF((C969+D969)/2&gt;=33,1,0)))))))</f>
        <v/>
      </c>
      <c r="AD969">
        <f>IF(E969+F969&lt;66,0,IF((E969+F969)/2&gt;=80,5,IF((E969+F969)/2&gt;=70,4,IF((E969+F969)/2&gt;=60,3.5,IF((E969+F969)/2&gt;=50,3,IF((E969+F969)/2&gt;=40,2,IF((E969+F969)/2&gt;=33,1,0)))))))</f>
        <v/>
      </c>
      <c r="AE969">
        <f>IF(G969&lt;33,0,IF(G969&gt;=80,5,IF(G969&gt;=70,4,IF(G969&gt;=60,3.5,IF(G969&gt;=50,3,IF(G969&gt;=40,2,IF(G969&gt;=33,1,0)))))))</f>
        <v/>
      </c>
      <c r="AF969">
        <f>IF(H969+I969&lt;66,0,IF((H969+I969)/2&gt;=80,5,IF((H969+I969)/2&gt;=70,4,IF((H969+I969)/2&gt;=60,3.5,IF((H969+I969)/2&gt;=50,3,IF((H969+I969)/2&gt;=40,2,IF((H969+I969)/2&gt;=33,1,0)))))))</f>
        <v/>
      </c>
      <c r="AG969">
        <f>IF(Y969,0,IF((J969+K969+L969+M969)/2&gt;=80,5,IF((J969+K969+L969+M969)/2&gt;=70,4,IF((J969+K969+L969+M969)/2&gt;=60,3.5,IF((J969+K969+L969+M969)/2&gt;=50,3,IF((J969+K969+L969+M969)/2&gt;=40,2,IF((J969+K969+L969+M969)/2&gt;=33,1,0)))))))</f>
        <v/>
      </c>
      <c r="AH969">
        <f>IF(Z969,0,IF(N969+O969&gt;=80,5,IF(N969+O969&gt;=70,4,IF(N969+O969&gt;=60,3.5,IF(N969+O969&gt;=50,3,IF(N969+O969&gt;=40,2,IF(N969+O969&gt;=33,1,0)))))))</f>
        <v/>
      </c>
      <c r="AI969">
        <f>IF(AA969,0,IF(P969+Q969&gt;=80,5,IF(P969+Q969&gt;=70,4,IF(P969+Q969&gt;=60,3.5,IF(P969+Q969&gt;=50,3,IF(P969+Q969&gt;=40,2,IF(P969+Q969&gt;=33,1,0)))))))</f>
        <v/>
      </c>
      <c r="AJ969">
        <f>IF(R969&lt;8.25,0,IF(R969*2&gt;=80,5,IF(R969*2&gt;=70,4,IF(R969*2&gt;=60,3.5,IF(R969*2&gt;=50,3,IF(R969*2&gt;=40,2,IF(R969*2&gt;=33,1,0)))))))</f>
        <v/>
      </c>
      <c r="AK969">
        <f>IF(S969&lt;33,0,IF(S969&gt;=80,5,IF(S969&gt;=70,4,IF(S969&gt;=60,3.5,IF(S969&gt;=50,3,IF(S969&gt;=40,2,IF(S969&gt;=33,1,0)))))))</f>
        <v/>
      </c>
      <c r="AL969">
        <f>(AC969+AD969+AE969+AF969+AG969+AH969+AI969+AJ969)/8</f>
        <v/>
      </c>
      <c r="AM969">
        <f>IF(AK969&gt;=2,(AK969-2)/8,0)</f>
        <v/>
      </c>
    </row>
    <row r="970">
      <c r="T970">
        <f>SUM(C970:R970)</f>
        <v/>
      </c>
      <c r="U970" s="6">
        <f>ROUND(T970/11.5,2)</f>
        <v/>
      </c>
      <c r="V970" s="7">
        <f>IF(B970="","",IF(AB970,0,ROUND(AL970,2)))</f>
        <v/>
      </c>
      <c r="W970" s="7">
        <f>IF(B970="","",IF(AB970,0,MIN(5,ROUND(AL970+AM970,2))))</f>
        <v/>
      </c>
      <c r="X970" s="8">
        <f>IF(B970="","",IF(W970&gt;=5,"A+",IF(W970&gt;=4,"A",IF(W970&gt;=3.5,"A-",IF(W970&gt;=3,"B",IF(W970&gt;=2,"C",IF(W970&gt;=1,"D","F")))))))</f>
        <v/>
      </c>
      <c r="Y970">
        <f>NOT(OR(AND(J970&gt;=10,K970&gt;=23,L970&gt;=10,M970&gt;=23),AND(J970+L970&gt;=20,K970+M970&gt;=46)))</f>
        <v/>
      </c>
      <c r="Z970">
        <f>OR(N970&lt;10,O970&lt;23)</f>
        <v/>
      </c>
      <c r="AA970">
        <f>OR(P970&lt;10,Q970&lt;23)</f>
        <v/>
      </c>
      <c r="AB970">
        <f>OR((C970+D970)&lt;66,(E970+F970)&lt;66,G970&lt;33,(H970+I970)&lt;66,Y970,Z970,AA970,R970&lt;8.25)</f>
        <v/>
      </c>
      <c r="AC970">
        <f>IF(C970+D970&lt;66,0,IF((C970+D970)/2&gt;=80,5,IF((C970+D970)/2&gt;=70,4,IF((C970+D970)/2&gt;=60,3.5,IF((C970+D970)/2&gt;=50,3,IF((C970+D970)/2&gt;=40,2,IF((C970+D970)/2&gt;=33,1,0)))))))</f>
        <v/>
      </c>
      <c r="AD970">
        <f>IF(E970+F970&lt;66,0,IF((E970+F970)/2&gt;=80,5,IF((E970+F970)/2&gt;=70,4,IF((E970+F970)/2&gt;=60,3.5,IF((E970+F970)/2&gt;=50,3,IF((E970+F970)/2&gt;=40,2,IF((E970+F970)/2&gt;=33,1,0)))))))</f>
        <v/>
      </c>
      <c r="AE970">
        <f>IF(G970&lt;33,0,IF(G970&gt;=80,5,IF(G970&gt;=70,4,IF(G970&gt;=60,3.5,IF(G970&gt;=50,3,IF(G970&gt;=40,2,IF(G970&gt;=33,1,0)))))))</f>
        <v/>
      </c>
      <c r="AF970">
        <f>IF(H970+I970&lt;66,0,IF((H970+I970)/2&gt;=80,5,IF((H970+I970)/2&gt;=70,4,IF((H970+I970)/2&gt;=60,3.5,IF((H970+I970)/2&gt;=50,3,IF((H970+I970)/2&gt;=40,2,IF((H970+I970)/2&gt;=33,1,0)))))))</f>
        <v/>
      </c>
      <c r="AG970">
        <f>IF(Y970,0,IF((J970+K970+L970+M970)/2&gt;=80,5,IF((J970+K970+L970+M970)/2&gt;=70,4,IF((J970+K970+L970+M970)/2&gt;=60,3.5,IF((J970+K970+L970+M970)/2&gt;=50,3,IF((J970+K970+L970+M970)/2&gt;=40,2,IF((J970+K970+L970+M970)/2&gt;=33,1,0)))))))</f>
        <v/>
      </c>
      <c r="AH970">
        <f>IF(Z970,0,IF(N970+O970&gt;=80,5,IF(N970+O970&gt;=70,4,IF(N970+O970&gt;=60,3.5,IF(N970+O970&gt;=50,3,IF(N970+O970&gt;=40,2,IF(N970+O970&gt;=33,1,0)))))))</f>
        <v/>
      </c>
      <c r="AI970">
        <f>IF(AA970,0,IF(P970+Q970&gt;=80,5,IF(P970+Q970&gt;=70,4,IF(P970+Q970&gt;=60,3.5,IF(P970+Q970&gt;=50,3,IF(P970+Q970&gt;=40,2,IF(P970+Q970&gt;=33,1,0)))))))</f>
        <v/>
      </c>
      <c r="AJ970">
        <f>IF(R970&lt;8.25,0,IF(R970*2&gt;=80,5,IF(R970*2&gt;=70,4,IF(R970*2&gt;=60,3.5,IF(R970*2&gt;=50,3,IF(R970*2&gt;=40,2,IF(R970*2&gt;=33,1,0)))))))</f>
        <v/>
      </c>
      <c r="AK970">
        <f>IF(S970&lt;33,0,IF(S970&gt;=80,5,IF(S970&gt;=70,4,IF(S970&gt;=60,3.5,IF(S970&gt;=50,3,IF(S970&gt;=40,2,IF(S970&gt;=33,1,0)))))))</f>
        <v/>
      </c>
      <c r="AL970">
        <f>(AC970+AD970+AE970+AF970+AG970+AH970+AI970+AJ970)/8</f>
        <v/>
      </c>
      <c r="AM970">
        <f>IF(AK970&gt;=2,(AK970-2)/8,0)</f>
        <v/>
      </c>
    </row>
    <row r="971">
      <c r="T971">
        <f>SUM(C971:R971)</f>
        <v/>
      </c>
      <c r="U971" s="6">
        <f>ROUND(T971/11.5,2)</f>
        <v/>
      </c>
      <c r="V971" s="7">
        <f>IF(B971="","",IF(AB971,0,ROUND(AL971,2)))</f>
        <v/>
      </c>
      <c r="W971" s="7">
        <f>IF(B971="","",IF(AB971,0,MIN(5,ROUND(AL971+AM971,2))))</f>
        <v/>
      </c>
      <c r="X971" s="8">
        <f>IF(B971="","",IF(W971&gt;=5,"A+",IF(W971&gt;=4,"A",IF(W971&gt;=3.5,"A-",IF(W971&gt;=3,"B",IF(W971&gt;=2,"C",IF(W971&gt;=1,"D","F")))))))</f>
        <v/>
      </c>
      <c r="Y971">
        <f>NOT(OR(AND(J971&gt;=10,K971&gt;=23,L971&gt;=10,M971&gt;=23),AND(J971+L971&gt;=20,K971+M971&gt;=46)))</f>
        <v/>
      </c>
      <c r="Z971">
        <f>OR(N971&lt;10,O971&lt;23)</f>
        <v/>
      </c>
      <c r="AA971">
        <f>OR(P971&lt;10,Q971&lt;23)</f>
        <v/>
      </c>
      <c r="AB971">
        <f>OR((C971+D971)&lt;66,(E971+F971)&lt;66,G971&lt;33,(H971+I971)&lt;66,Y971,Z971,AA971,R971&lt;8.25)</f>
        <v/>
      </c>
      <c r="AC971">
        <f>IF(C971+D971&lt;66,0,IF((C971+D971)/2&gt;=80,5,IF((C971+D971)/2&gt;=70,4,IF((C971+D971)/2&gt;=60,3.5,IF((C971+D971)/2&gt;=50,3,IF((C971+D971)/2&gt;=40,2,IF((C971+D971)/2&gt;=33,1,0)))))))</f>
        <v/>
      </c>
      <c r="AD971">
        <f>IF(E971+F971&lt;66,0,IF((E971+F971)/2&gt;=80,5,IF((E971+F971)/2&gt;=70,4,IF((E971+F971)/2&gt;=60,3.5,IF((E971+F971)/2&gt;=50,3,IF((E971+F971)/2&gt;=40,2,IF((E971+F971)/2&gt;=33,1,0)))))))</f>
        <v/>
      </c>
      <c r="AE971">
        <f>IF(G971&lt;33,0,IF(G971&gt;=80,5,IF(G971&gt;=70,4,IF(G971&gt;=60,3.5,IF(G971&gt;=50,3,IF(G971&gt;=40,2,IF(G971&gt;=33,1,0)))))))</f>
        <v/>
      </c>
      <c r="AF971">
        <f>IF(H971+I971&lt;66,0,IF((H971+I971)/2&gt;=80,5,IF((H971+I971)/2&gt;=70,4,IF((H971+I971)/2&gt;=60,3.5,IF((H971+I971)/2&gt;=50,3,IF((H971+I971)/2&gt;=40,2,IF((H971+I971)/2&gt;=33,1,0)))))))</f>
        <v/>
      </c>
      <c r="AG971">
        <f>IF(Y971,0,IF((J971+K971+L971+M971)/2&gt;=80,5,IF((J971+K971+L971+M971)/2&gt;=70,4,IF((J971+K971+L971+M971)/2&gt;=60,3.5,IF((J971+K971+L971+M971)/2&gt;=50,3,IF((J971+K971+L971+M971)/2&gt;=40,2,IF((J971+K971+L971+M971)/2&gt;=33,1,0)))))))</f>
        <v/>
      </c>
      <c r="AH971">
        <f>IF(Z971,0,IF(N971+O971&gt;=80,5,IF(N971+O971&gt;=70,4,IF(N971+O971&gt;=60,3.5,IF(N971+O971&gt;=50,3,IF(N971+O971&gt;=40,2,IF(N971+O971&gt;=33,1,0)))))))</f>
        <v/>
      </c>
      <c r="AI971">
        <f>IF(AA971,0,IF(P971+Q971&gt;=80,5,IF(P971+Q971&gt;=70,4,IF(P971+Q971&gt;=60,3.5,IF(P971+Q971&gt;=50,3,IF(P971+Q971&gt;=40,2,IF(P971+Q971&gt;=33,1,0)))))))</f>
        <v/>
      </c>
      <c r="AJ971">
        <f>IF(R971&lt;8.25,0,IF(R971*2&gt;=80,5,IF(R971*2&gt;=70,4,IF(R971*2&gt;=60,3.5,IF(R971*2&gt;=50,3,IF(R971*2&gt;=40,2,IF(R971*2&gt;=33,1,0)))))))</f>
        <v/>
      </c>
      <c r="AK971">
        <f>IF(S971&lt;33,0,IF(S971&gt;=80,5,IF(S971&gt;=70,4,IF(S971&gt;=60,3.5,IF(S971&gt;=50,3,IF(S971&gt;=40,2,IF(S971&gt;=33,1,0)))))))</f>
        <v/>
      </c>
      <c r="AL971">
        <f>(AC971+AD971+AE971+AF971+AG971+AH971+AI971+AJ971)/8</f>
        <v/>
      </c>
      <c r="AM971">
        <f>IF(AK971&gt;=2,(AK971-2)/8,0)</f>
        <v/>
      </c>
    </row>
    <row r="972">
      <c r="T972">
        <f>SUM(C972:R972)</f>
        <v/>
      </c>
      <c r="U972" s="6">
        <f>ROUND(T972/11.5,2)</f>
        <v/>
      </c>
      <c r="V972" s="7">
        <f>IF(B972="","",IF(AB972,0,ROUND(AL972,2)))</f>
        <v/>
      </c>
      <c r="W972" s="7">
        <f>IF(B972="","",IF(AB972,0,MIN(5,ROUND(AL972+AM972,2))))</f>
        <v/>
      </c>
      <c r="X972" s="8">
        <f>IF(B972="","",IF(W972&gt;=5,"A+",IF(W972&gt;=4,"A",IF(W972&gt;=3.5,"A-",IF(W972&gt;=3,"B",IF(W972&gt;=2,"C",IF(W972&gt;=1,"D","F")))))))</f>
        <v/>
      </c>
      <c r="Y972">
        <f>NOT(OR(AND(J972&gt;=10,K972&gt;=23,L972&gt;=10,M972&gt;=23),AND(J972+L972&gt;=20,K972+M972&gt;=46)))</f>
        <v/>
      </c>
      <c r="Z972">
        <f>OR(N972&lt;10,O972&lt;23)</f>
        <v/>
      </c>
      <c r="AA972">
        <f>OR(P972&lt;10,Q972&lt;23)</f>
        <v/>
      </c>
      <c r="AB972">
        <f>OR((C972+D972)&lt;66,(E972+F972)&lt;66,G972&lt;33,(H972+I972)&lt;66,Y972,Z972,AA972,R972&lt;8.25)</f>
        <v/>
      </c>
      <c r="AC972">
        <f>IF(C972+D972&lt;66,0,IF((C972+D972)/2&gt;=80,5,IF((C972+D972)/2&gt;=70,4,IF((C972+D972)/2&gt;=60,3.5,IF((C972+D972)/2&gt;=50,3,IF((C972+D972)/2&gt;=40,2,IF((C972+D972)/2&gt;=33,1,0)))))))</f>
        <v/>
      </c>
      <c r="AD972">
        <f>IF(E972+F972&lt;66,0,IF((E972+F972)/2&gt;=80,5,IF((E972+F972)/2&gt;=70,4,IF((E972+F972)/2&gt;=60,3.5,IF((E972+F972)/2&gt;=50,3,IF((E972+F972)/2&gt;=40,2,IF((E972+F972)/2&gt;=33,1,0)))))))</f>
        <v/>
      </c>
      <c r="AE972">
        <f>IF(G972&lt;33,0,IF(G972&gt;=80,5,IF(G972&gt;=70,4,IF(G972&gt;=60,3.5,IF(G972&gt;=50,3,IF(G972&gt;=40,2,IF(G972&gt;=33,1,0)))))))</f>
        <v/>
      </c>
      <c r="AF972">
        <f>IF(H972+I972&lt;66,0,IF((H972+I972)/2&gt;=80,5,IF((H972+I972)/2&gt;=70,4,IF((H972+I972)/2&gt;=60,3.5,IF((H972+I972)/2&gt;=50,3,IF((H972+I972)/2&gt;=40,2,IF((H972+I972)/2&gt;=33,1,0)))))))</f>
        <v/>
      </c>
      <c r="AG972">
        <f>IF(Y972,0,IF((J972+K972+L972+M972)/2&gt;=80,5,IF((J972+K972+L972+M972)/2&gt;=70,4,IF((J972+K972+L972+M972)/2&gt;=60,3.5,IF((J972+K972+L972+M972)/2&gt;=50,3,IF((J972+K972+L972+M972)/2&gt;=40,2,IF((J972+K972+L972+M972)/2&gt;=33,1,0)))))))</f>
        <v/>
      </c>
      <c r="AH972">
        <f>IF(Z972,0,IF(N972+O972&gt;=80,5,IF(N972+O972&gt;=70,4,IF(N972+O972&gt;=60,3.5,IF(N972+O972&gt;=50,3,IF(N972+O972&gt;=40,2,IF(N972+O972&gt;=33,1,0)))))))</f>
        <v/>
      </c>
      <c r="AI972">
        <f>IF(AA972,0,IF(P972+Q972&gt;=80,5,IF(P972+Q972&gt;=70,4,IF(P972+Q972&gt;=60,3.5,IF(P972+Q972&gt;=50,3,IF(P972+Q972&gt;=40,2,IF(P972+Q972&gt;=33,1,0)))))))</f>
        <v/>
      </c>
      <c r="AJ972">
        <f>IF(R972&lt;8.25,0,IF(R972*2&gt;=80,5,IF(R972*2&gt;=70,4,IF(R972*2&gt;=60,3.5,IF(R972*2&gt;=50,3,IF(R972*2&gt;=40,2,IF(R972*2&gt;=33,1,0)))))))</f>
        <v/>
      </c>
      <c r="AK972">
        <f>IF(S972&lt;33,0,IF(S972&gt;=80,5,IF(S972&gt;=70,4,IF(S972&gt;=60,3.5,IF(S972&gt;=50,3,IF(S972&gt;=40,2,IF(S972&gt;=33,1,0)))))))</f>
        <v/>
      </c>
      <c r="AL972">
        <f>(AC972+AD972+AE972+AF972+AG972+AH972+AI972+AJ972)/8</f>
        <v/>
      </c>
      <c r="AM972">
        <f>IF(AK972&gt;=2,(AK972-2)/8,0)</f>
        <v/>
      </c>
    </row>
    <row r="973">
      <c r="T973">
        <f>SUM(C973:R973)</f>
        <v/>
      </c>
      <c r="U973" s="6">
        <f>ROUND(T973/11.5,2)</f>
        <v/>
      </c>
      <c r="V973" s="7">
        <f>IF(B973="","",IF(AB973,0,ROUND(AL973,2)))</f>
        <v/>
      </c>
      <c r="W973" s="7">
        <f>IF(B973="","",IF(AB973,0,MIN(5,ROUND(AL973+AM973,2))))</f>
        <v/>
      </c>
      <c r="X973" s="8">
        <f>IF(B973="","",IF(W973&gt;=5,"A+",IF(W973&gt;=4,"A",IF(W973&gt;=3.5,"A-",IF(W973&gt;=3,"B",IF(W973&gt;=2,"C",IF(W973&gt;=1,"D","F")))))))</f>
        <v/>
      </c>
      <c r="Y973">
        <f>NOT(OR(AND(J973&gt;=10,K973&gt;=23,L973&gt;=10,M973&gt;=23),AND(J973+L973&gt;=20,K973+M973&gt;=46)))</f>
        <v/>
      </c>
      <c r="Z973">
        <f>OR(N973&lt;10,O973&lt;23)</f>
        <v/>
      </c>
      <c r="AA973">
        <f>OR(P973&lt;10,Q973&lt;23)</f>
        <v/>
      </c>
      <c r="AB973">
        <f>OR((C973+D973)&lt;66,(E973+F973)&lt;66,G973&lt;33,(H973+I973)&lt;66,Y973,Z973,AA973,R973&lt;8.25)</f>
        <v/>
      </c>
      <c r="AC973">
        <f>IF(C973+D973&lt;66,0,IF((C973+D973)/2&gt;=80,5,IF((C973+D973)/2&gt;=70,4,IF((C973+D973)/2&gt;=60,3.5,IF((C973+D973)/2&gt;=50,3,IF((C973+D973)/2&gt;=40,2,IF((C973+D973)/2&gt;=33,1,0)))))))</f>
        <v/>
      </c>
      <c r="AD973">
        <f>IF(E973+F973&lt;66,0,IF((E973+F973)/2&gt;=80,5,IF((E973+F973)/2&gt;=70,4,IF((E973+F973)/2&gt;=60,3.5,IF((E973+F973)/2&gt;=50,3,IF((E973+F973)/2&gt;=40,2,IF((E973+F973)/2&gt;=33,1,0)))))))</f>
        <v/>
      </c>
      <c r="AE973">
        <f>IF(G973&lt;33,0,IF(G973&gt;=80,5,IF(G973&gt;=70,4,IF(G973&gt;=60,3.5,IF(G973&gt;=50,3,IF(G973&gt;=40,2,IF(G973&gt;=33,1,0)))))))</f>
        <v/>
      </c>
      <c r="AF973">
        <f>IF(H973+I973&lt;66,0,IF((H973+I973)/2&gt;=80,5,IF((H973+I973)/2&gt;=70,4,IF((H973+I973)/2&gt;=60,3.5,IF((H973+I973)/2&gt;=50,3,IF((H973+I973)/2&gt;=40,2,IF((H973+I973)/2&gt;=33,1,0)))))))</f>
        <v/>
      </c>
      <c r="AG973">
        <f>IF(Y973,0,IF((J973+K973+L973+M973)/2&gt;=80,5,IF((J973+K973+L973+M973)/2&gt;=70,4,IF((J973+K973+L973+M973)/2&gt;=60,3.5,IF((J973+K973+L973+M973)/2&gt;=50,3,IF((J973+K973+L973+M973)/2&gt;=40,2,IF((J973+K973+L973+M973)/2&gt;=33,1,0)))))))</f>
        <v/>
      </c>
      <c r="AH973">
        <f>IF(Z973,0,IF(N973+O973&gt;=80,5,IF(N973+O973&gt;=70,4,IF(N973+O973&gt;=60,3.5,IF(N973+O973&gt;=50,3,IF(N973+O973&gt;=40,2,IF(N973+O973&gt;=33,1,0)))))))</f>
        <v/>
      </c>
      <c r="AI973">
        <f>IF(AA973,0,IF(P973+Q973&gt;=80,5,IF(P973+Q973&gt;=70,4,IF(P973+Q973&gt;=60,3.5,IF(P973+Q973&gt;=50,3,IF(P973+Q973&gt;=40,2,IF(P973+Q973&gt;=33,1,0)))))))</f>
        <v/>
      </c>
      <c r="AJ973">
        <f>IF(R973&lt;8.25,0,IF(R973*2&gt;=80,5,IF(R973*2&gt;=70,4,IF(R973*2&gt;=60,3.5,IF(R973*2&gt;=50,3,IF(R973*2&gt;=40,2,IF(R973*2&gt;=33,1,0)))))))</f>
        <v/>
      </c>
      <c r="AK973">
        <f>IF(S973&lt;33,0,IF(S973&gt;=80,5,IF(S973&gt;=70,4,IF(S973&gt;=60,3.5,IF(S973&gt;=50,3,IF(S973&gt;=40,2,IF(S973&gt;=33,1,0)))))))</f>
        <v/>
      </c>
      <c r="AL973">
        <f>(AC973+AD973+AE973+AF973+AG973+AH973+AI973+AJ973)/8</f>
        <v/>
      </c>
      <c r="AM973">
        <f>IF(AK973&gt;=2,(AK973-2)/8,0)</f>
        <v/>
      </c>
    </row>
    <row r="974">
      <c r="T974">
        <f>SUM(C974:R974)</f>
        <v/>
      </c>
      <c r="U974" s="6">
        <f>ROUND(T974/11.5,2)</f>
        <v/>
      </c>
      <c r="V974" s="7">
        <f>IF(B974="","",IF(AB974,0,ROUND(AL974,2)))</f>
        <v/>
      </c>
      <c r="W974" s="7">
        <f>IF(B974="","",IF(AB974,0,MIN(5,ROUND(AL974+AM974,2))))</f>
        <v/>
      </c>
      <c r="X974" s="8">
        <f>IF(B974="","",IF(W974&gt;=5,"A+",IF(W974&gt;=4,"A",IF(W974&gt;=3.5,"A-",IF(W974&gt;=3,"B",IF(W974&gt;=2,"C",IF(W974&gt;=1,"D","F")))))))</f>
        <v/>
      </c>
      <c r="Y974">
        <f>NOT(OR(AND(J974&gt;=10,K974&gt;=23,L974&gt;=10,M974&gt;=23),AND(J974+L974&gt;=20,K974+M974&gt;=46)))</f>
        <v/>
      </c>
      <c r="Z974">
        <f>OR(N974&lt;10,O974&lt;23)</f>
        <v/>
      </c>
      <c r="AA974">
        <f>OR(P974&lt;10,Q974&lt;23)</f>
        <v/>
      </c>
      <c r="AB974">
        <f>OR((C974+D974)&lt;66,(E974+F974)&lt;66,G974&lt;33,(H974+I974)&lt;66,Y974,Z974,AA974,R974&lt;8.25)</f>
        <v/>
      </c>
      <c r="AC974">
        <f>IF(C974+D974&lt;66,0,IF((C974+D974)/2&gt;=80,5,IF((C974+D974)/2&gt;=70,4,IF((C974+D974)/2&gt;=60,3.5,IF((C974+D974)/2&gt;=50,3,IF((C974+D974)/2&gt;=40,2,IF((C974+D974)/2&gt;=33,1,0)))))))</f>
        <v/>
      </c>
      <c r="AD974">
        <f>IF(E974+F974&lt;66,0,IF((E974+F974)/2&gt;=80,5,IF((E974+F974)/2&gt;=70,4,IF((E974+F974)/2&gt;=60,3.5,IF((E974+F974)/2&gt;=50,3,IF((E974+F974)/2&gt;=40,2,IF((E974+F974)/2&gt;=33,1,0)))))))</f>
        <v/>
      </c>
      <c r="AE974">
        <f>IF(G974&lt;33,0,IF(G974&gt;=80,5,IF(G974&gt;=70,4,IF(G974&gt;=60,3.5,IF(G974&gt;=50,3,IF(G974&gt;=40,2,IF(G974&gt;=33,1,0)))))))</f>
        <v/>
      </c>
      <c r="AF974">
        <f>IF(H974+I974&lt;66,0,IF((H974+I974)/2&gt;=80,5,IF((H974+I974)/2&gt;=70,4,IF((H974+I974)/2&gt;=60,3.5,IF((H974+I974)/2&gt;=50,3,IF((H974+I974)/2&gt;=40,2,IF((H974+I974)/2&gt;=33,1,0)))))))</f>
        <v/>
      </c>
      <c r="AG974">
        <f>IF(Y974,0,IF((J974+K974+L974+M974)/2&gt;=80,5,IF((J974+K974+L974+M974)/2&gt;=70,4,IF((J974+K974+L974+M974)/2&gt;=60,3.5,IF((J974+K974+L974+M974)/2&gt;=50,3,IF((J974+K974+L974+M974)/2&gt;=40,2,IF((J974+K974+L974+M974)/2&gt;=33,1,0)))))))</f>
        <v/>
      </c>
      <c r="AH974">
        <f>IF(Z974,0,IF(N974+O974&gt;=80,5,IF(N974+O974&gt;=70,4,IF(N974+O974&gt;=60,3.5,IF(N974+O974&gt;=50,3,IF(N974+O974&gt;=40,2,IF(N974+O974&gt;=33,1,0)))))))</f>
        <v/>
      </c>
      <c r="AI974">
        <f>IF(AA974,0,IF(P974+Q974&gt;=80,5,IF(P974+Q974&gt;=70,4,IF(P974+Q974&gt;=60,3.5,IF(P974+Q974&gt;=50,3,IF(P974+Q974&gt;=40,2,IF(P974+Q974&gt;=33,1,0)))))))</f>
        <v/>
      </c>
      <c r="AJ974">
        <f>IF(R974&lt;8.25,0,IF(R974*2&gt;=80,5,IF(R974*2&gt;=70,4,IF(R974*2&gt;=60,3.5,IF(R974*2&gt;=50,3,IF(R974*2&gt;=40,2,IF(R974*2&gt;=33,1,0)))))))</f>
        <v/>
      </c>
      <c r="AK974">
        <f>IF(S974&lt;33,0,IF(S974&gt;=80,5,IF(S974&gt;=70,4,IF(S974&gt;=60,3.5,IF(S974&gt;=50,3,IF(S974&gt;=40,2,IF(S974&gt;=33,1,0)))))))</f>
        <v/>
      </c>
      <c r="AL974">
        <f>(AC974+AD974+AE974+AF974+AG974+AH974+AI974+AJ974)/8</f>
        <v/>
      </c>
      <c r="AM974">
        <f>IF(AK974&gt;=2,(AK974-2)/8,0)</f>
        <v/>
      </c>
    </row>
    <row r="975">
      <c r="T975">
        <f>SUM(C975:R975)</f>
        <v/>
      </c>
      <c r="U975" s="6">
        <f>ROUND(T975/11.5,2)</f>
        <v/>
      </c>
      <c r="V975" s="7">
        <f>IF(B975="","",IF(AB975,0,ROUND(AL975,2)))</f>
        <v/>
      </c>
      <c r="W975" s="7">
        <f>IF(B975="","",IF(AB975,0,MIN(5,ROUND(AL975+AM975,2))))</f>
        <v/>
      </c>
      <c r="X975" s="8">
        <f>IF(B975="","",IF(W975&gt;=5,"A+",IF(W975&gt;=4,"A",IF(W975&gt;=3.5,"A-",IF(W975&gt;=3,"B",IF(W975&gt;=2,"C",IF(W975&gt;=1,"D","F")))))))</f>
        <v/>
      </c>
      <c r="Y975">
        <f>NOT(OR(AND(J975&gt;=10,K975&gt;=23,L975&gt;=10,M975&gt;=23),AND(J975+L975&gt;=20,K975+M975&gt;=46)))</f>
        <v/>
      </c>
      <c r="Z975">
        <f>OR(N975&lt;10,O975&lt;23)</f>
        <v/>
      </c>
      <c r="AA975">
        <f>OR(P975&lt;10,Q975&lt;23)</f>
        <v/>
      </c>
      <c r="AB975">
        <f>OR((C975+D975)&lt;66,(E975+F975)&lt;66,G975&lt;33,(H975+I975)&lt;66,Y975,Z975,AA975,R975&lt;8.25)</f>
        <v/>
      </c>
      <c r="AC975">
        <f>IF(C975+D975&lt;66,0,IF((C975+D975)/2&gt;=80,5,IF((C975+D975)/2&gt;=70,4,IF((C975+D975)/2&gt;=60,3.5,IF((C975+D975)/2&gt;=50,3,IF((C975+D975)/2&gt;=40,2,IF((C975+D975)/2&gt;=33,1,0)))))))</f>
        <v/>
      </c>
      <c r="AD975">
        <f>IF(E975+F975&lt;66,0,IF((E975+F975)/2&gt;=80,5,IF((E975+F975)/2&gt;=70,4,IF((E975+F975)/2&gt;=60,3.5,IF((E975+F975)/2&gt;=50,3,IF((E975+F975)/2&gt;=40,2,IF((E975+F975)/2&gt;=33,1,0)))))))</f>
        <v/>
      </c>
      <c r="AE975">
        <f>IF(G975&lt;33,0,IF(G975&gt;=80,5,IF(G975&gt;=70,4,IF(G975&gt;=60,3.5,IF(G975&gt;=50,3,IF(G975&gt;=40,2,IF(G975&gt;=33,1,0)))))))</f>
        <v/>
      </c>
      <c r="AF975">
        <f>IF(H975+I975&lt;66,0,IF((H975+I975)/2&gt;=80,5,IF((H975+I975)/2&gt;=70,4,IF((H975+I975)/2&gt;=60,3.5,IF((H975+I975)/2&gt;=50,3,IF((H975+I975)/2&gt;=40,2,IF((H975+I975)/2&gt;=33,1,0)))))))</f>
        <v/>
      </c>
      <c r="AG975">
        <f>IF(Y975,0,IF((J975+K975+L975+M975)/2&gt;=80,5,IF((J975+K975+L975+M975)/2&gt;=70,4,IF((J975+K975+L975+M975)/2&gt;=60,3.5,IF((J975+K975+L975+M975)/2&gt;=50,3,IF((J975+K975+L975+M975)/2&gt;=40,2,IF((J975+K975+L975+M975)/2&gt;=33,1,0)))))))</f>
        <v/>
      </c>
      <c r="AH975">
        <f>IF(Z975,0,IF(N975+O975&gt;=80,5,IF(N975+O975&gt;=70,4,IF(N975+O975&gt;=60,3.5,IF(N975+O975&gt;=50,3,IF(N975+O975&gt;=40,2,IF(N975+O975&gt;=33,1,0)))))))</f>
        <v/>
      </c>
      <c r="AI975">
        <f>IF(AA975,0,IF(P975+Q975&gt;=80,5,IF(P975+Q975&gt;=70,4,IF(P975+Q975&gt;=60,3.5,IF(P975+Q975&gt;=50,3,IF(P975+Q975&gt;=40,2,IF(P975+Q975&gt;=33,1,0)))))))</f>
        <v/>
      </c>
      <c r="AJ975">
        <f>IF(R975&lt;8.25,0,IF(R975*2&gt;=80,5,IF(R975*2&gt;=70,4,IF(R975*2&gt;=60,3.5,IF(R975*2&gt;=50,3,IF(R975*2&gt;=40,2,IF(R975*2&gt;=33,1,0)))))))</f>
        <v/>
      </c>
      <c r="AK975">
        <f>IF(S975&lt;33,0,IF(S975&gt;=80,5,IF(S975&gt;=70,4,IF(S975&gt;=60,3.5,IF(S975&gt;=50,3,IF(S975&gt;=40,2,IF(S975&gt;=33,1,0)))))))</f>
        <v/>
      </c>
      <c r="AL975">
        <f>(AC975+AD975+AE975+AF975+AG975+AH975+AI975+AJ975)/8</f>
        <v/>
      </c>
      <c r="AM975">
        <f>IF(AK975&gt;=2,(AK975-2)/8,0)</f>
        <v/>
      </c>
    </row>
    <row r="976">
      <c r="T976">
        <f>SUM(C976:R976)</f>
        <v/>
      </c>
      <c r="U976" s="6">
        <f>ROUND(T976/11.5,2)</f>
        <v/>
      </c>
      <c r="V976" s="7">
        <f>IF(B976="","",IF(AB976,0,ROUND(AL976,2)))</f>
        <v/>
      </c>
      <c r="W976" s="7">
        <f>IF(B976="","",IF(AB976,0,MIN(5,ROUND(AL976+AM976,2))))</f>
        <v/>
      </c>
      <c r="X976" s="8">
        <f>IF(B976="","",IF(W976&gt;=5,"A+",IF(W976&gt;=4,"A",IF(W976&gt;=3.5,"A-",IF(W976&gt;=3,"B",IF(W976&gt;=2,"C",IF(W976&gt;=1,"D","F")))))))</f>
        <v/>
      </c>
      <c r="Y976">
        <f>NOT(OR(AND(J976&gt;=10,K976&gt;=23,L976&gt;=10,M976&gt;=23),AND(J976+L976&gt;=20,K976+M976&gt;=46)))</f>
        <v/>
      </c>
      <c r="Z976">
        <f>OR(N976&lt;10,O976&lt;23)</f>
        <v/>
      </c>
      <c r="AA976">
        <f>OR(P976&lt;10,Q976&lt;23)</f>
        <v/>
      </c>
      <c r="AB976">
        <f>OR((C976+D976)&lt;66,(E976+F976)&lt;66,G976&lt;33,(H976+I976)&lt;66,Y976,Z976,AA976,R976&lt;8.25)</f>
        <v/>
      </c>
      <c r="AC976">
        <f>IF(C976+D976&lt;66,0,IF((C976+D976)/2&gt;=80,5,IF((C976+D976)/2&gt;=70,4,IF((C976+D976)/2&gt;=60,3.5,IF((C976+D976)/2&gt;=50,3,IF((C976+D976)/2&gt;=40,2,IF((C976+D976)/2&gt;=33,1,0)))))))</f>
        <v/>
      </c>
      <c r="AD976">
        <f>IF(E976+F976&lt;66,0,IF((E976+F976)/2&gt;=80,5,IF((E976+F976)/2&gt;=70,4,IF((E976+F976)/2&gt;=60,3.5,IF((E976+F976)/2&gt;=50,3,IF((E976+F976)/2&gt;=40,2,IF((E976+F976)/2&gt;=33,1,0)))))))</f>
        <v/>
      </c>
      <c r="AE976">
        <f>IF(G976&lt;33,0,IF(G976&gt;=80,5,IF(G976&gt;=70,4,IF(G976&gt;=60,3.5,IF(G976&gt;=50,3,IF(G976&gt;=40,2,IF(G976&gt;=33,1,0)))))))</f>
        <v/>
      </c>
      <c r="AF976">
        <f>IF(H976+I976&lt;66,0,IF((H976+I976)/2&gt;=80,5,IF((H976+I976)/2&gt;=70,4,IF((H976+I976)/2&gt;=60,3.5,IF((H976+I976)/2&gt;=50,3,IF((H976+I976)/2&gt;=40,2,IF((H976+I976)/2&gt;=33,1,0)))))))</f>
        <v/>
      </c>
      <c r="AG976">
        <f>IF(Y976,0,IF((J976+K976+L976+M976)/2&gt;=80,5,IF((J976+K976+L976+M976)/2&gt;=70,4,IF((J976+K976+L976+M976)/2&gt;=60,3.5,IF((J976+K976+L976+M976)/2&gt;=50,3,IF((J976+K976+L976+M976)/2&gt;=40,2,IF((J976+K976+L976+M976)/2&gt;=33,1,0)))))))</f>
        <v/>
      </c>
      <c r="AH976">
        <f>IF(Z976,0,IF(N976+O976&gt;=80,5,IF(N976+O976&gt;=70,4,IF(N976+O976&gt;=60,3.5,IF(N976+O976&gt;=50,3,IF(N976+O976&gt;=40,2,IF(N976+O976&gt;=33,1,0)))))))</f>
        <v/>
      </c>
      <c r="AI976">
        <f>IF(AA976,0,IF(P976+Q976&gt;=80,5,IF(P976+Q976&gt;=70,4,IF(P976+Q976&gt;=60,3.5,IF(P976+Q976&gt;=50,3,IF(P976+Q976&gt;=40,2,IF(P976+Q976&gt;=33,1,0)))))))</f>
        <v/>
      </c>
      <c r="AJ976">
        <f>IF(R976&lt;8.25,0,IF(R976*2&gt;=80,5,IF(R976*2&gt;=70,4,IF(R976*2&gt;=60,3.5,IF(R976*2&gt;=50,3,IF(R976*2&gt;=40,2,IF(R976*2&gt;=33,1,0)))))))</f>
        <v/>
      </c>
      <c r="AK976">
        <f>IF(S976&lt;33,0,IF(S976&gt;=80,5,IF(S976&gt;=70,4,IF(S976&gt;=60,3.5,IF(S976&gt;=50,3,IF(S976&gt;=40,2,IF(S976&gt;=33,1,0)))))))</f>
        <v/>
      </c>
      <c r="AL976">
        <f>(AC976+AD976+AE976+AF976+AG976+AH976+AI976+AJ976)/8</f>
        <v/>
      </c>
      <c r="AM976">
        <f>IF(AK976&gt;=2,(AK976-2)/8,0)</f>
        <v/>
      </c>
    </row>
    <row r="977">
      <c r="T977">
        <f>SUM(C977:R977)</f>
        <v/>
      </c>
      <c r="U977" s="6">
        <f>ROUND(T977/11.5,2)</f>
        <v/>
      </c>
      <c r="V977" s="7">
        <f>IF(B977="","",IF(AB977,0,ROUND(AL977,2)))</f>
        <v/>
      </c>
      <c r="W977" s="7">
        <f>IF(B977="","",IF(AB977,0,MIN(5,ROUND(AL977+AM977,2))))</f>
        <v/>
      </c>
      <c r="X977" s="8">
        <f>IF(B977="","",IF(W977&gt;=5,"A+",IF(W977&gt;=4,"A",IF(W977&gt;=3.5,"A-",IF(W977&gt;=3,"B",IF(W977&gt;=2,"C",IF(W977&gt;=1,"D","F")))))))</f>
        <v/>
      </c>
      <c r="Y977">
        <f>NOT(OR(AND(J977&gt;=10,K977&gt;=23,L977&gt;=10,M977&gt;=23),AND(J977+L977&gt;=20,K977+M977&gt;=46)))</f>
        <v/>
      </c>
      <c r="Z977">
        <f>OR(N977&lt;10,O977&lt;23)</f>
        <v/>
      </c>
      <c r="AA977">
        <f>OR(P977&lt;10,Q977&lt;23)</f>
        <v/>
      </c>
      <c r="AB977">
        <f>OR((C977+D977)&lt;66,(E977+F977)&lt;66,G977&lt;33,(H977+I977)&lt;66,Y977,Z977,AA977,R977&lt;8.25)</f>
        <v/>
      </c>
      <c r="AC977">
        <f>IF(C977+D977&lt;66,0,IF((C977+D977)/2&gt;=80,5,IF((C977+D977)/2&gt;=70,4,IF((C977+D977)/2&gt;=60,3.5,IF((C977+D977)/2&gt;=50,3,IF((C977+D977)/2&gt;=40,2,IF((C977+D977)/2&gt;=33,1,0)))))))</f>
        <v/>
      </c>
      <c r="AD977">
        <f>IF(E977+F977&lt;66,0,IF((E977+F977)/2&gt;=80,5,IF((E977+F977)/2&gt;=70,4,IF((E977+F977)/2&gt;=60,3.5,IF((E977+F977)/2&gt;=50,3,IF((E977+F977)/2&gt;=40,2,IF((E977+F977)/2&gt;=33,1,0)))))))</f>
        <v/>
      </c>
      <c r="AE977">
        <f>IF(G977&lt;33,0,IF(G977&gt;=80,5,IF(G977&gt;=70,4,IF(G977&gt;=60,3.5,IF(G977&gt;=50,3,IF(G977&gt;=40,2,IF(G977&gt;=33,1,0)))))))</f>
        <v/>
      </c>
      <c r="AF977">
        <f>IF(H977+I977&lt;66,0,IF((H977+I977)/2&gt;=80,5,IF((H977+I977)/2&gt;=70,4,IF((H977+I977)/2&gt;=60,3.5,IF((H977+I977)/2&gt;=50,3,IF((H977+I977)/2&gt;=40,2,IF((H977+I977)/2&gt;=33,1,0)))))))</f>
        <v/>
      </c>
      <c r="AG977">
        <f>IF(Y977,0,IF((J977+K977+L977+M977)/2&gt;=80,5,IF((J977+K977+L977+M977)/2&gt;=70,4,IF((J977+K977+L977+M977)/2&gt;=60,3.5,IF((J977+K977+L977+M977)/2&gt;=50,3,IF((J977+K977+L977+M977)/2&gt;=40,2,IF((J977+K977+L977+M977)/2&gt;=33,1,0)))))))</f>
        <v/>
      </c>
      <c r="AH977">
        <f>IF(Z977,0,IF(N977+O977&gt;=80,5,IF(N977+O977&gt;=70,4,IF(N977+O977&gt;=60,3.5,IF(N977+O977&gt;=50,3,IF(N977+O977&gt;=40,2,IF(N977+O977&gt;=33,1,0)))))))</f>
        <v/>
      </c>
      <c r="AI977">
        <f>IF(AA977,0,IF(P977+Q977&gt;=80,5,IF(P977+Q977&gt;=70,4,IF(P977+Q977&gt;=60,3.5,IF(P977+Q977&gt;=50,3,IF(P977+Q977&gt;=40,2,IF(P977+Q977&gt;=33,1,0)))))))</f>
        <v/>
      </c>
      <c r="AJ977">
        <f>IF(R977&lt;8.25,0,IF(R977*2&gt;=80,5,IF(R977*2&gt;=70,4,IF(R977*2&gt;=60,3.5,IF(R977*2&gt;=50,3,IF(R977*2&gt;=40,2,IF(R977*2&gt;=33,1,0)))))))</f>
        <v/>
      </c>
      <c r="AK977">
        <f>IF(S977&lt;33,0,IF(S977&gt;=80,5,IF(S977&gt;=70,4,IF(S977&gt;=60,3.5,IF(S977&gt;=50,3,IF(S977&gt;=40,2,IF(S977&gt;=33,1,0)))))))</f>
        <v/>
      </c>
      <c r="AL977">
        <f>(AC977+AD977+AE977+AF977+AG977+AH977+AI977+AJ977)/8</f>
        <v/>
      </c>
      <c r="AM977">
        <f>IF(AK977&gt;=2,(AK977-2)/8,0)</f>
        <v/>
      </c>
    </row>
    <row r="978">
      <c r="T978">
        <f>SUM(C978:R978)</f>
        <v/>
      </c>
      <c r="U978" s="6">
        <f>ROUND(T978/11.5,2)</f>
        <v/>
      </c>
      <c r="V978" s="7">
        <f>IF(B978="","",IF(AB978,0,ROUND(AL978,2)))</f>
        <v/>
      </c>
      <c r="W978" s="7">
        <f>IF(B978="","",IF(AB978,0,MIN(5,ROUND(AL978+AM978,2))))</f>
        <v/>
      </c>
      <c r="X978" s="8">
        <f>IF(B978="","",IF(W978&gt;=5,"A+",IF(W978&gt;=4,"A",IF(W978&gt;=3.5,"A-",IF(W978&gt;=3,"B",IF(W978&gt;=2,"C",IF(W978&gt;=1,"D","F")))))))</f>
        <v/>
      </c>
      <c r="Y978">
        <f>NOT(OR(AND(J978&gt;=10,K978&gt;=23,L978&gt;=10,M978&gt;=23),AND(J978+L978&gt;=20,K978+M978&gt;=46)))</f>
        <v/>
      </c>
      <c r="Z978">
        <f>OR(N978&lt;10,O978&lt;23)</f>
        <v/>
      </c>
      <c r="AA978">
        <f>OR(P978&lt;10,Q978&lt;23)</f>
        <v/>
      </c>
      <c r="AB978">
        <f>OR((C978+D978)&lt;66,(E978+F978)&lt;66,G978&lt;33,(H978+I978)&lt;66,Y978,Z978,AA978,R978&lt;8.25)</f>
        <v/>
      </c>
      <c r="AC978">
        <f>IF(C978+D978&lt;66,0,IF((C978+D978)/2&gt;=80,5,IF((C978+D978)/2&gt;=70,4,IF((C978+D978)/2&gt;=60,3.5,IF((C978+D978)/2&gt;=50,3,IF((C978+D978)/2&gt;=40,2,IF((C978+D978)/2&gt;=33,1,0)))))))</f>
        <v/>
      </c>
      <c r="AD978">
        <f>IF(E978+F978&lt;66,0,IF((E978+F978)/2&gt;=80,5,IF((E978+F978)/2&gt;=70,4,IF((E978+F978)/2&gt;=60,3.5,IF((E978+F978)/2&gt;=50,3,IF((E978+F978)/2&gt;=40,2,IF((E978+F978)/2&gt;=33,1,0)))))))</f>
        <v/>
      </c>
      <c r="AE978">
        <f>IF(G978&lt;33,0,IF(G978&gt;=80,5,IF(G978&gt;=70,4,IF(G978&gt;=60,3.5,IF(G978&gt;=50,3,IF(G978&gt;=40,2,IF(G978&gt;=33,1,0)))))))</f>
        <v/>
      </c>
      <c r="AF978">
        <f>IF(H978+I978&lt;66,0,IF((H978+I978)/2&gt;=80,5,IF((H978+I978)/2&gt;=70,4,IF((H978+I978)/2&gt;=60,3.5,IF((H978+I978)/2&gt;=50,3,IF((H978+I978)/2&gt;=40,2,IF((H978+I978)/2&gt;=33,1,0)))))))</f>
        <v/>
      </c>
      <c r="AG978">
        <f>IF(Y978,0,IF((J978+K978+L978+M978)/2&gt;=80,5,IF((J978+K978+L978+M978)/2&gt;=70,4,IF((J978+K978+L978+M978)/2&gt;=60,3.5,IF((J978+K978+L978+M978)/2&gt;=50,3,IF((J978+K978+L978+M978)/2&gt;=40,2,IF((J978+K978+L978+M978)/2&gt;=33,1,0)))))))</f>
        <v/>
      </c>
      <c r="AH978">
        <f>IF(Z978,0,IF(N978+O978&gt;=80,5,IF(N978+O978&gt;=70,4,IF(N978+O978&gt;=60,3.5,IF(N978+O978&gt;=50,3,IF(N978+O978&gt;=40,2,IF(N978+O978&gt;=33,1,0)))))))</f>
        <v/>
      </c>
      <c r="AI978">
        <f>IF(AA978,0,IF(P978+Q978&gt;=80,5,IF(P978+Q978&gt;=70,4,IF(P978+Q978&gt;=60,3.5,IF(P978+Q978&gt;=50,3,IF(P978+Q978&gt;=40,2,IF(P978+Q978&gt;=33,1,0)))))))</f>
        <v/>
      </c>
      <c r="AJ978">
        <f>IF(R978&lt;8.25,0,IF(R978*2&gt;=80,5,IF(R978*2&gt;=70,4,IF(R978*2&gt;=60,3.5,IF(R978*2&gt;=50,3,IF(R978*2&gt;=40,2,IF(R978*2&gt;=33,1,0)))))))</f>
        <v/>
      </c>
      <c r="AK978">
        <f>IF(S978&lt;33,0,IF(S978&gt;=80,5,IF(S978&gt;=70,4,IF(S978&gt;=60,3.5,IF(S978&gt;=50,3,IF(S978&gt;=40,2,IF(S978&gt;=33,1,0)))))))</f>
        <v/>
      </c>
      <c r="AL978">
        <f>(AC978+AD978+AE978+AF978+AG978+AH978+AI978+AJ978)/8</f>
        <v/>
      </c>
      <c r="AM978">
        <f>IF(AK978&gt;=2,(AK978-2)/8,0)</f>
        <v/>
      </c>
    </row>
    <row r="979">
      <c r="T979">
        <f>SUM(C979:R979)</f>
        <v/>
      </c>
      <c r="U979" s="6">
        <f>ROUND(T979/11.5,2)</f>
        <v/>
      </c>
      <c r="V979" s="7">
        <f>IF(B979="","",IF(AB979,0,ROUND(AL979,2)))</f>
        <v/>
      </c>
      <c r="W979" s="7">
        <f>IF(B979="","",IF(AB979,0,MIN(5,ROUND(AL979+AM979,2))))</f>
        <v/>
      </c>
      <c r="X979" s="8">
        <f>IF(B979="","",IF(W979&gt;=5,"A+",IF(W979&gt;=4,"A",IF(W979&gt;=3.5,"A-",IF(W979&gt;=3,"B",IF(W979&gt;=2,"C",IF(W979&gt;=1,"D","F")))))))</f>
        <v/>
      </c>
      <c r="Y979">
        <f>NOT(OR(AND(J979&gt;=10,K979&gt;=23,L979&gt;=10,M979&gt;=23),AND(J979+L979&gt;=20,K979+M979&gt;=46)))</f>
        <v/>
      </c>
      <c r="Z979">
        <f>OR(N979&lt;10,O979&lt;23)</f>
        <v/>
      </c>
      <c r="AA979">
        <f>OR(P979&lt;10,Q979&lt;23)</f>
        <v/>
      </c>
      <c r="AB979">
        <f>OR((C979+D979)&lt;66,(E979+F979)&lt;66,G979&lt;33,(H979+I979)&lt;66,Y979,Z979,AA979,R979&lt;8.25)</f>
        <v/>
      </c>
      <c r="AC979">
        <f>IF(C979+D979&lt;66,0,IF((C979+D979)/2&gt;=80,5,IF((C979+D979)/2&gt;=70,4,IF((C979+D979)/2&gt;=60,3.5,IF((C979+D979)/2&gt;=50,3,IF((C979+D979)/2&gt;=40,2,IF((C979+D979)/2&gt;=33,1,0)))))))</f>
        <v/>
      </c>
      <c r="AD979">
        <f>IF(E979+F979&lt;66,0,IF((E979+F979)/2&gt;=80,5,IF((E979+F979)/2&gt;=70,4,IF((E979+F979)/2&gt;=60,3.5,IF((E979+F979)/2&gt;=50,3,IF((E979+F979)/2&gt;=40,2,IF((E979+F979)/2&gt;=33,1,0)))))))</f>
        <v/>
      </c>
      <c r="AE979">
        <f>IF(G979&lt;33,0,IF(G979&gt;=80,5,IF(G979&gt;=70,4,IF(G979&gt;=60,3.5,IF(G979&gt;=50,3,IF(G979&gt;=40,2,IF(G979&gt;=33,1,0)))))))</f>
        <v/>
      </c>
      <c r="AF979">
        <f>IF(H979+I979&lt;66,0,IF((H979+I979)/2&gt;=80,5,IF((H979+I979)/2&gt;=70,4,IF((H979+I979)/2&gt;=60,3.5,IF((H979+I979)/2&gt;=50,3,IF((H979+I979)/2&gt;=40,2,IF((H979+I979)/2&gt;=33,1,0)))))))</f>
        <v/>
      </c>
      <c r="AG979">
        <f>IF(Y979,0,IF((J979+K979+L979+M979)/2&gt;=80,5,IF((J979+K979+L979+M979)/2&gt;=70,4,IF((J979+K979+L979+M979)/2&gt;=60,3.5,IF((J979+K979+L979+M979)/2&gt;=50,3,IF((J979+K979+L979+M979)/2&gt;=40,2,IF((J979+K979+L979+M979)/2&gt;=33,1,0)))))))</f>
        <v/>
      </c>
      <c r="AH979">
        <f>IF(Z979,0,IF(N979+O979&gt;=80,5,IF(N979+O979&gt;=70,4,IF(N979+O979&gt;=60,3.5,IF(N979+O979&gt;=50,3,IF(N979+O979&gt;=40,2,IF(N979+O979&gt;=33,1,0)))))))</f>
        <v/>
      </c>
      <c r="AI979">
        <f>IF(AA979,0,IF(P979+Q979&gt;=80,5,IF(P979+Q979&gt;=70,4,IF(P979+Q979&gt;=60,3.5,IF(P979+Q979&gt;=50,3,IF(P979+Q979&gt;=40,2,IF(P979+Q979&gt;=33,1,0)))))))</f>
        <v/>
      </c>
      <c r="AJ979">
        <f>IF(R979&lt;8.25,0,IF(R979*2&gt;=80,5,IF(R979*2&gt;=70,4,IF(R979*2&gt;=60,3.5,IF(R979*2&gt;=50,3,IF(R979*2&gt;=40,2,IF(R979*2&gt;=33,1,0)))))))</f>
        <v/>
      </c>
      <c r="AK979">
        <f>IF(S979&lt;33,0,IF(S979&gt;=80,5,IF(S979&gt;=70,4,IF(S979&gt;=60,3.5,IF(S979&gt;=50,3,IF(S979&gt;=40,2,IF(S979&gt;=33,1,0)))))))</f>
        <v/>
      </c>
      <c r="AL979">
        <f>(AC979+AD979+AE979+AF979+AG979+AH979+AI979+AJ979)/8</f>
        <v/>
      </c>
      <c r="AM979">
        <f>IF(AK979&gt;=2,(AK979-2)/8,0)</f>
        <v/>
      </c>
    </row>
    <row r="980">
      <c r="T980">
        <f>SUM(C980:R980)</f>
        <v/>
      </c>
      <c r="U980" s="6">
        <f>ROUND(T980/11.5,2)</f>
        <v/>
      </c>
      <c r="V980" s="7">
        <f>IF(B980="","",IF(AB980,0,ROUND(AL980,2)))</f>
        <v/>
      </c>
      <c r="W980" s="7">
        <f>IF(B980="","",IF(AB980,0,MIN(5,ROUND(AL980+AM980,2))))</f>
        <v/>
      </c>
      <c r="X980" s="8">
        <f>IF(B980="","",IF(W980&gt;=5,"A+",IF(W980&gt;=4,"A",IF(W980&gt;=3.5,"A-",IF(W980&gt;=3,"B",IF(W980&gt;=2,"C",IF(W980&gt;=1,"D","F")))))))</f>
        <v/>
      </c>
      <c r="Y980">
        <f>NOT(OR(AND(J980&gt;=10,K980&gt;=23,L980&gt;=10,M980&gt;=23),AND(J980+L980&gt;=20,K980+M980&gt;=46)))</f>
        <v/>
      </c>
      <c r="Z980">
        <f>OR(N980&lt;10,O980&lt;23)</f>
        <v/>
      </c>
      <c r="AA980">
        <f>OR(P980&lt;10,Q980&lt;23)</f>
        <v/>
      </c>
      <c r="AB980">
        <f>OR((C980+D980)&lt;66,(E980+F980)&lt;66,G980&lt;33,(H980+I980)&lt;66,Y980,Z980,AA980,R980&lt;8.25)</f>
        <v/>
      </c>
      <c r="AC980">
        <f>IF(C980+D980&lt;66,0,IF((C980+D980)/2&gt;=80,5,IF((C980+D980)/2&gt;=70,4,IF((C980+D980)/2&gt;=60,3.5,IF((C980+D980)/2&gt;=50,3,IF((C980+D980)/2&gt;=40,2,IF((C980+D980)/2&gt;=33,1,0)))))))</f>
        <v/>
      </c>
      <c r="AD980">
        <f>IF(E980+F980&lt;66,0,IF((E980+F980)/2&gt;=80,5,IF((E980+F980)/2&gt;=70,4,IF((E980+F980)/2&gt;=60,3.5,IF((E980+F980)/2&gt;=50,3,IF((E980+F980)/2&gt;=40,2,IF((E980+F980)/2&gt;=33,1,0)))))))</f>
        <v/>
      </c>
      <c r="AE980">
        <f>IF(G980&lt;33,0,IF(G980&gt;=80,5,IF(G980&gt;=70,4,IF(G980&gt;=60,3.5,IF(G980&gt;=50,3,IF(G980&gt;=40,2,IF(G980&gt;=33,1,0)))))))</f>
        <v/>
      </c>
      <c r="AF980">
        <f>IF(H980+I980&lt;66,0,IF((H980+I980)/2&gt;=80,5,IF((H980+I980)/2&gt;=70,4,IF((H980+I980)/2&gt;=60,3.5,IF((H980+I980)/2&gt;=50,3,IF((H980+I980)/2&gt;=40,2,IF((H980+I980)/2&gt;=33,1,0)))))))</f>
        <v/>
      </c>
      <c r="AG980">
        <f>IF(Y980,0,IF((J980+K980+L980+M980)/2&gt;=80,5,IF((J980+K980+L980+M980)/2&gt;=70,4,IF((J980+K980+L980+M980)/2&gt;=60,3.5,IF((J980+K980+L980+M980)/2&gt;=50,3,IF((J980+K980+L980+M980)/2&gt;=40,2,IF((J980+K980+L980+M980)/2&gt;=33,1,0)))))))</f>
        <v/>
      </c>
      <c r="AH980">
        <f>IF(Z980,0,IF(N980+O980&gt;=80,5,IF(N980+O980&gt;=70,4,IF(N980+O980&gt;=60,3.5,IF(N980+O980&gt;=50,3,IF(N980+O980&gt;=40,2,IF(N980+O980&gt;=33,1,0)))))))</f>
        <v/>
      </c>
      <c r="AI980">
        <f>IF(AA980,0,IF(P980+Q980&gt;=80,5,IF(P980+Q980&gt;=70,4,IF(P980+Q980&gt;=60,3.5,IF(P980+Q980&gt;=50,3,IF(P980+Q980&gt;=40,2,IF(P980+Q980&gt;=33,1,0)))))))</f>
        <v/>
      </c>
      <c r="AJ980">
        <f>IF(R980&lt;8.25,0,IF(R980*2&gt;=80,5,IF(R980*2&gt;=70,4,IF(R980*2&gt;=60,3.5,IF(R980*2&gt;=50,3,IF(R980*2&gt;=40,2,IF(R980*2&gt;=33,1,0)))))))</f>
        <v/>
      </c>
      <c r="AK980">
        <f>IF(S980&lt;33,0,IF(S980&gt;=80,5,IF(S980&gt;=70,4,IF(S980&gt;=60,3.5,IF(S980&gt;=50,3,IF(S980&gt;=40,2,IF(S980&gt;=33,1,0)))))))</f>
        <v/>
      </c>
      <c r="AL980">
        <f>(AC980+AD980+AE980+AF980+AG980+AH980+AI980+AJ980)/8</f>
        <v/>
      </c>
      <c r="AM980">
        <f>IF(AK980&gt;=2,(AK980-2)/8,0)</f>
        <v/>
      </c>
    </row>
    <row r="981">
      <c r="T981">
        <f>SUM(C981:R981)</f>
        <v/>
      </c>
      <c r="U981" s="6">
        <f>ROUND(T981/11.5,2)</f>
        <v/>
      </c>
      <c r="V981" s="7">
        <f>IF(B981="","",IF(AB981,0,ROUND(AL981,2)))</f>
        <v/>
      </c>
      <c r="W981" s="7">
        <f>IF(B981="","",IF(AB981,0,MIN(5,ROUND(AL981+AM981,2))))</f>
        <v/>
      </c>
      <c r="X981" s="8">
        <f>IF(B981="","",IF(W981&gt;=5,"A+",IF(W981&gt;=4,"A",IF(W981&gt;=3.5,"A-",IF(W981&gt;=3,"B",IF(W981&gt;=2,"C",IF(W981&gt;=1,"D","F")))))))</f>
        <v/>
      </c>
      <c r="Y981">
        <f>NOT(OR(AND(J981&gt;=10,K981&gt;=23,L981&gt;=10,M981&gt;=23),AND(J981+L981&gt;=20,K981+M981&gt;=46)))</f>
        <v/>
      </c>
      <c r="Z981">
        <f>OR(N981&lt;10,O981&lt;23)</f>
        <v/>
      </c>
      <c r="AA981">
        <f>OR(P981&lt;10,Q981&lt;23)</f>
        <v/>
      </c>
      <c r="AB981">
        <f>OR((C981+D981)&lt;66,(E981+F981)&lt;66,G981&lt;33,(H981+I981)&lt;66,Y981,Z981,AA981,R981&lt;8.25)</f>
        <v/>
      </c>
      <c r="AC981">
        <f>IF(C981+D981&lt;66,0,IF((C981+D981)/2&gt;=80,5,IF((C981+D981)/2&gt;=70,4,IF((C981+D981)/2&gt;=60,3.5,IF((C981+D981)/2&gt;=50,3,IF((C981+D981)/2&gt;=40,2,IF((C981+D981)/2&gt;=33,1,0)))))))</f>
        <v/>
      </c>
      <c r="AD981">
        <f>IF(E981+F981&lt;66,0,IF((E981+F981)/2&gt;=80,5,IF((E981+F981)/2&gt;=70,4,IF((E981+F981)/2&gt;=60,3.5,IF((E981+F981)/2&gt;=50,3,IF((E981+F981)/2&gt;=40,2,IF((E981+F981)/2&gt;=33,1,0)))))))</f>
        <v/>
      </c>
      <c r="AE981">
        <f>IF(G981&lt;33,0,IF(G981&gt;=80,5,IF(G981&gt;=70,4,IF(G981&gt;=60,3.5,IF(G981&gt;=50,3,IF(G981&gt;=40,2,IF(G981&gt;=33,1,0)))))))</f>
        <v/>
      </c>
      <c r="AF981">
        <f>IF(H981+I981&lt;66,0,IF((H981+I981)/2&gt;=80,5,IF((H981+I981)/2&gt;=70,4,IF((H981+I981)/2&gt;=60,3.5,IF((H981+I981)/2&gt;=50,3,IF((H981+I981)/2&gt;=40,2,IF((H981+I981)/2&gt;=33,1,0)))))))</f>
        <v/>
      </c>
      <c r="AG981">
        <f>IF(Y981,0,IF((J981+K981+L981+M981)/2&gt;=80,5,IF((J981+K981+L981+M981)/2&gt;=70,4,IF((J981+K981+L981+M981)/2&gt;=60,3.5,IF((J981+K981+L981+M981)/2&gt;=50,3,IF((J981+K981+L981+M981)/2&gt;=40,2,IF((J981+K981+L981+M981)/2&gt;=33,1,0)))))))</f>
        <v/>
      </c>
      <c r="AH981">
        <f>IF(Z981,0,IF(N981+O981&gt;=80,5,IF(N981+O981&gt;=70,4,IF(N981+O981&gt;=60,3.5,IF(N981+O981&gt;=50,3,IF(N981+O981&gt;=40,2,IF(N981+O981&gt;=33,1,0)))))))</f>
        <v/>
      </c>
      <c r="AI981">
        <f>IF(AA981,0,IF(P981+Q981&gt;=80,5,IF(P981+Q981&gt;=70,4,IF(P981+Q981&gt;=60,3.5,IF(P981+Q981&gt;=50,3,IF(P981+Q981&gt;=40,2,IF(P981+Q981&gt;=33,1,0)))))))</f>
        <v/>
      </c>
      <c r="AJ981">
        <f>IF(R981&lt;8.25,0,IF(R981*2&gt;=80,5,IF(R981*2&gt;=70,4,IF(R981*2&gt;=60,3.5,IF(R981*2&gt;=50,3,IF(R981*2&gt;=40,2,IF(R981*2&gt;=33,1,0)))))))</f>
        <v/>
      </c>
      <c r="AK981">
        <f>IF(S981&lt;33,0,IF(S981&gt;=80,5,IF(S981&gt;=70,4,IF(S981&gt;=60,3.5,IF(S981&gt;=50,3,IF(S981&gt;=40,2,IF(S981&gt;=33,1,0)))))))</f>
        <v/>
      </c>
      <c r="AL981">
        <f>(AC981+AD981+AE981+AF981+AG981+AH981+AI981+AJ981)/8</f>
        <v/>
      </c>
      <c r="AM981">
        <f>IF(AK981&gt;=2,(AK981-2)/8,0)</f>
        <v/>
      </c>
    </row>
    <row r="982">
      <c r="T982">
        <f>SUM(C982:R982)</f>
        <v/>
      </c>
      <c r="U982" s="6">
        <f>ROUND(T982/11.5,2)</f>
        <v/>
      </c>
      <c r="V982" s="7">
        <f>IF(B982="","",IF(AB982,0,ROUND(AL982,2)))</f>
        <v/>
      </c>
      <c r="W982" s="7">
        <f>IF(B982="","",IF(AB982,0,MIN(5,ROUND(AL982+AM982,2))))</f>
        <v/>
      </c>
      <c r="X982" s="8">
        <f>IF(B982="","",IF(W982&gt;=5,"A+",IF(W982&gt;=4,"A",IF(W982&gt;=3.5,"A-",IF(W982&gt;=3,"B",IF(W982&gt;=2,"C",IF(W982&gt;=1,"D","F")))))))</f>
        <v/>
      </c>
      <c r="Y982">
        <f>NOT(OR(AND(J982&gt;=10,K982&gt;=23,L982&gt;=10,M982&gt;=23),AND(J982+L982&gt;=20,K982+M982&gt;=46)))</f>
        <v/>
      </c>
      <c r="Z982">
        <f>OR(N982&lt;10,O982&lt;23)</f>
        <v/>
      </c>
      <c r="AA982">
        <f>OR(P982&lt;10,Q982&lt;23)</f>
        <v/>
      </c>
      <c r="AB982">
        <f>OR((C982+D982)&lt;66,(E982+F982)&lt;66,G982&lt;33,(H982+I982)&lt;66,Y982,Z982,AA982,R982&lt;8.25)</f>
        <v/>
      </c>
      <c r="AC982">
        <f>IF(C982+D982&lt;66,0,IF((C982+D982)/2&gt;=80,5,IF((C982+D982)/2&gt;=70,4,IF((C982+D982)/2&gt;=60,3.5,IF((C982+D982)/2&gt;=50,3,IF((C982+D982)/2&gt;=40,2,IF((C982+D982)/2&gt;=33,1,0)))))))</f>
        <v/>
      </c>
      <c r="AD982">
        <f>IF(E982+F982&lt;66,0,IF((E982+F982)/2&gt;=80,5,IF((E982+F982)/2&gt;=70,4,IF((E982+F982)/2&gt;=60,3.5,IF((E982+F982)/2&gt;=50,3,IF((E982+F982)/2&gt;=40,2,IF((E982+F982)/2&gt;=33,1,0)))))))</f>
        <v/>
      </c>
      <c r="AE982">
        <f>IF(G982&lt;33,0,IF(G982&gt;=80,5,IF(G982&gt;=70,4,IF(G982&gt;=60,3.5,IF(G982&gt;=50,3,IF(G982&gt;=40,2,IF(G982&gt;=33,1,0)))))))</f>
        <v/>
      </c>
      <c r="AF982">
        <f>IF(H982+I982&lt;66,0,IF((H982+I982)/2&gt;=80,5,IF((H982+I982)/2&gt;=70,4,IF((H982+I982)/2&gt;=60,3.5,IF((H982+I982)/2&gt;=50,3,IF((H982+I982)/2&gt;=40,2,IF((H982+I982)/2&gt;=33,1,0)))))))</f>
        <v/>
      </c>
      <c r="AG982">
        <f>IF(Y982,0,IF((J982+K982+L982+M982)/2&gt;=80,5,IF((J982+K982+L982+M982)/2&gt;=70,4,IF((J982+K982+L982+M982)/2&gt;=60,3.5,IF((J982+K982+L982+M982)/2&gt;=50,3,IF((J982+K982+L982+M982)/2&gt;=40,2,IF((J982+K982+L982+M982)/2&gt;=33,1,0)))))))</f>
        <v/>
      </c>
      <c r="AH982">
        <f>IF(Z982,0,IF(N982+O982&gt;=80,5,IF(N982+O982&gt;=70,4,IF(N982+O982&gt;=60,3.5,IF(N982+O982&gt;=50,3,IF(N982+O982&gt;=40,2,IF(N982+O982&gt;=33,1,0)))))))</f>
        <v/>
      </c>
      <c r="AI982">
        <f>IF(AA982,0,IF(P982+Q982&gt;=80,5,IF(P982+Q982&gt;=70,4,IF(P982+Q982&gt;=60,3.5,IF(P982+Q982&gt;=50,3,IF(P982+Q982&gt;=40,2,IF(P982+Q982&gt;=33,1,0)))))))</f>
        <v/>
      </c>
      <c r="AJ982">
        <f>IF(R982&lt;8.25,0,IF(R982*2&gt;=80,5,IF(R982*2&gt;=70,4,IF(R982*2&gt;=60,3.5,IF(R982*2&gt;=50,3,IF(R982*2&gt;=40,2,IF(R982*2&gt;=33,1,0)))))))</f>
        <v/>
      </c>
      <c r="AK982">
        <f>IF(S982&lt;33,0,IF(S982&gt;=80,5,IF(S982&gt;=70,4,IF(S982&gt;=60,3.5,IF(S982&gt;=50,3,IF(S982&gt;=40,2,IF(S982&gt;=33,1,0)))))))</f>
        <v/>
      </c>
      <c r="AL982">
        <f>(AC982+AD982+AE982+AF982+AG982+AH982+AI982+AJ982)/8</f>
        <v/>
      </c>
      <c r="AM982">
        <f>IF(AK982&gt;=2,(AK982-2)/8,0)</f>
        <v/>
      </c>
    </row>
    <row r="983">
      <c r="T983">
        <f>SUM(C983:R983)</f>
        <v/>
      </c>
      <c r="U983" s="6">
        <f>ROUND(T983/11.5,2)</f>
        <v/>
      </c>
      <c r="V983" s="7">
        <f>IF(B983="","",IF(AB983,0,ROUND(AL983,2)))</f>
        <v/>
      </c>
      <c r="W983" s="7">
        <f>IF(B983="","",IF(AB983,0,MIN(5,ROUND(AL983+AM983,2))))</f>
        <v/>
      </c>
      <c r="X983" s="8">
        <f>IF(B983="","",IF(W983&gt;=5,"A+",IF(W983&gt;=4,"A",IF(W983&gt;=3.5,"A-",IF(W983&gt;=3,"B",IF(W983&gt;=2,"C",IF(W983&gt;=1,"D","F")))))))</f>
        <v/>
      </c>
      <c r="Y983">
        <f>NOT(OR(AND(J983&gt;=10,K983&gt;=23,L983&gt;=10,M983&gt;=23),AND(J983+L983&gt;=20,K983+M983&gt;=46)))</f>
        <v/>
      </c>
      <c r="Z983">
        <f>OR(N983&lt;10,O983&lt;23)</f>
        <v/>
      </c>
      <c r="AA983">
        <f>OR(P983&lt;10,Q983&lt;23)</f>
        <v/>
      </c>
      <c r="AB983">
        <f>OR((C983+D983)&lt;66,(E983+F983)&lt;66,G983&lt;33,(H983+I983)&lt;66,Y983,Z983,AA983,R983&lt;8.25)</f>
        <v/>
      </c>
      <c r="AC983">
        <f>IF(C983+D983&lt;66,0,IF((C983+D983)/2&gt;=80,5,IF((C983+D983)/2&gt;=70,4,IF((C983+D983)/2&gt;=60,3.5,IF((C983+D983)/2&gt;=50,3,IF((C983+D983)/2&gt;=40,2,IF((C983+D983)/2&gt;=33,1,0)))))))</f>
        <v/>
      </c>
      <c r="AD983">
        <f>IF(E983+F983&lt;66,0,IF((E983+F983)/2&gt;=80,5,IF((E983+F983)/2&gt;=70,4,IF((E983+F983)/2&gt;=60,3.5,IF((E983+F983)/2&gt;=50,3,IF((E983+F983)/2&gt;=40,2,IF((E983+F983)/2&gt;=33,1,0)))))))</f>
        <v/>
      </c>
      <c r="AE983">
        <f>IF(G983&lt;33,0,IF(G983&gt;=80,5,IF(G983&gt;=70,4,IF(G983&gt;=60,3.5,IF(G983&gt;=50,3,IF(G983&gt;=40,2,IF(G983&gt;=33,1,0)))))))</f>
        <v/>
      </c>
      <c r="AF983">
        <f>IF(H983+I983&lt;66,0,IF((H983+I983)/2&gt;=80,5,IF((H983+I983)/2&gt;=70,4,IF((H983+I983)/2&gt;=60,3.5,IF((H983+I983)/2&gt;=50,3,IF((H983+I983)/2&gt;=40,2,IF((H983+I983)/2&gt;=33,1,0)))))))</f>
        <v/>
      </c>
      <c r="AG983">
        <f>IF(Y983,0,IF((J983+K983+L983+M983)/2&gt;=80,5,IF((J983+K983+L983+M983)/2&gt;=70,4,IF((J983+K983+L983+M983)/2&gt;=60,3.5,IF((J983+K983+L983+M983)/2&gt;=50,3,IF((J983+K983+L983+M983)/2&gt;=40,2,IF((J983+K983+L983+M983)/2&gt;=33,1,0)))))))</f>
        <v/>
      </c>
      <c r="AH983">
        <f>IF(Z983,0,IF(N983+O983&gt;=80,5,IF(N983+O983&gt;=70,4,IF(N983+O983&gt;=60,3.5,IF(N983+O983&gt;=50,3,IF(N983+O983&gt;=40,2,IF(N983+O983&gt;=33,1,0)))))))</f>
        <v/>
      </c>
      <c r="AI983">
        <f>IF(AA983,0,IF(P983+Q983&gt;=80,5,IF(P983+Q983&gt;=70,4,IF(P983+Q983&gt;=60,3.5,IF(P983+Q983&gt;=50,3,IF(P983+Q983&gt;=40,2,IF(P983+Q983&gt;=33,1,0)))))))</f>
        <v/>
      </c>
      <c r="AJ983">
        <f>IF(R983&lt;8.25,0,IF(R983*2&gt;=80,5,IF(R983*2&gt;=70,4,IF(R983*2&gt;=60,3.5,IF(R983*2&gt;=50,3,IF(R983*2&gt;=40,2,IF(R983*2&gt;=33,1,0)))))))</f>
        <v/>
      </c>
      <c r="AK983">
        <f>IF(S983&lt;33,0,IF(S983&gt;=80,5,IF(S983&gt;=70,4,IF(S983&gt;=60,3.5,IF(S983&gt;=50,3,IF(S983&gt;=40,2,IF(S983&gt;=33,1,0)))))))</f>
        <v/>
      </c>
      <c r="AL983">
        <f>(AC983+AD983+AE983+AF983+AG983+AH983+AI983+AJ983)/8</f>
        <v/>
      </c>
      <c r="AM983">
        <f>IF(AK983&gt;=2,(AK983-2)/8,0)</f>
        <v/>
      </c>
    </row>
    <row r="984">
      <c r="T984">
        <f>SUM(C984:R984)</f>
        <v/>
      </c>
      <c r="U984" s="6">
        <f>ROUND(T984/11.5,2)</f>
        <v/>
      </c>
      <c r="V984" s="7">
        <f>IF(B984="","",IF(AB984,0,ROUND(AL984,2)))</f>
        <v/>
      </c>
      <c r="W984" s="7">
        <f>IF(B984="","",IF(AB984,0,MIN(5,ROUND(AL984+AM984,2))))</f>
        <v/>
      </c>
      <c r="X984" s="8">
        <f>IF(B984="","",IF(W984&gt;=5,"A+",IF(W984&gt;=4,"A",IF(W984&gt;=3.5,"A-",IF(W984&gt;=3,"B",IF(W984&gt;=2,"C",IF(W984&gt;=1,"D","F")))))))</f>
        <v/>
      </c>
      <c r="Y984">
        <f>NOT(OR(AND(J984&gt;=10,K984&gt;=23,L984&gt;=10,M984&gt;=23),AND(J984+L984&gt;=20,K984+M984&gt;=46)))</f>
        <v/>
      </c>
      <c r="Z984">
        <f>OR(N984&lt;10,O984&lt;23)</f>
        <v/>
      </c>
      <c r="AA984">
        <f>OR(P984&lt;10,Q984&lt;23)</f>
        <v/>
      </c>
      <c r="AB984">
        <f>OR((C984+D984)&lt;66,(E984+F984)&lt;66,G984&lt;33,(H984+I984)&lt;66,Y984,Z984,AA984,R984&lt;8.25)</f>
        <v/>
      </c>
      <c r="AC984">
        <f>IF(C984+D984&lt;66,0,IF((C984+D984)/2&gt;=80,5,IF((C984+D984)/2&gt;=70,4,IF((C984+D984)/2&gt;=60,3.5,IF((C984+D984)/2&gt;=50,3,IF((C984+D984)/2&gt;=40,2,IF((C984+D984)/2&gt;=33,1,0)))))))</f>
        <v/>
      </c>
      <c r="AD984">
        <f>IF(E984+F984&lt;66,0,IF((E984+F984)/2&gt;=80,5,IF((E984+F984)/2&gt;=70,4,IF((E984+F984)/2&gt;=60,3.5,IF((E984+F984)/2&gt;=50,3,IF((E984+F984)/2&gt;=40,2,IF((E984+F984)/2&gt;=33,1,0)))))))</f>
        <v/>
      </c>
      <c r="AE984">
        <f>IF(G984&lt;33,0,IF(G984&gt;=80,5,IF(G984&gt;=70,4,IF(G984&gt;=60,3.5,IF(G984&gt;=50,3,IF(G984&gt;=40,2,IF(G984&gt;=33,1,0)))))))</f>
        <v/>
      </c>
      <c r="AF984">
        <f>IF(H984+I984&lt;66,0,IF((H984+I984)/2&gt;=80,5,IF((H984+I984)/2&gt;=70,4,IF((H984+I984)/2&gt;=60,3.5,IF((H984+I984)/2&gt;=50,3,IF((H984+I984)/2&gt;=40,2,IF((H984+I984)/2&gt;=33,1,0)))))))</f>
        <v/>
      </c>
      <c r="AG984">
        <f>IF(Y984,0,IF((J984+K984+L984+M984)/2&gt;=80,5,IF((J984+K984+L984+M984)/2&gt;=70,4,IF((J984+K984+L984+M984)/2&gt;=60,3.5,IF((J984+K984+L984+M984)/2&gt;=50,3,IF((J984+K984+L984+M984)/2&gt;=40,2,IF((J984+K984+L984+M984)/2&gt;=33,1,0)))))))</f>
        <v/>
      </c>
      <c r="AH984">
        <f>IF(Z984,0,IF(N984+O984&gt;=80,5,IF(N984+O984&gt;=70,4,IF(N984+O984&gt;=60,3.5,IF(N984+O984&gt;=50,3,IF(N984+O984&gt;=40,2,IF(N984+O984&gt;=33,1,0)))))))</f>
        <v/>
      </c>
      <c r="AI984">
        <f>IF(AA984,0,IF(P984+Q984&gt;=80,5,IF(P984+Q984&gt;=70,4,IF(P984+Q984&gt;=60,3.5,IF(P984+Q984&gt;=50,3,IF(P984+Q984&gt;=40,2,IF(P984+Q984&gt;=33,1,0)))))))</f>
        <v/>
      </c>
      <c r="AJ984">
        <f>IF(R984&lt;8.25,0,IF(R984*2&gt;=80,5,IF(R984*2&gt;=70,4,IF(R984*2&gt;=60,3.5,IF(R984*2&gt;=50,3,IF(R984*2&gt;=40,2,IF(R984*2&gt;=33,1,0)))))))</f>
        <v/>
      </c>
      <c r="AK984">
        <f>IF(S984&lt;33,0,IF(S984&gt;=80,5,IF(S984&gt;=70,4,IF(S984&gt;=60,3.5,IF(S984&gt;=50,3,IF(S984&gt;=40,2,IF(S984&gt;=33,1,0)))))))</f>
        <v/>
      </c>
      <c r="AL984">
        <f>(AC984+AD984+AE984+AF984+AG984+AH984+AI984+AJ984)/8</f>
        <v/>
      </c>
      <c r="AM984">
        <f>IF(AK984&gt;=2,(AK984-2)/8,0)</f>
        <v/>
      </c>
    </row>
    <row r="985">
      <c r="T985">
        <f>SUM(C985:R985)</f>
        <v/>
      </c>
      <c r="U985" s="6">
        <f>ROUND(T985/11.5,2)</f>
        <v/>
      </c>
      <c r="V985" s="7">
        <f>IF(B985="","",IF(AB985,0,ROUND(AL985,2)))</f>
        <v/>
      </c>
      <c r="W985" s="7">
        <f>IF(B985="","",IF(AB985,0,MIN(5,ROUND(AL985+AM985,2))))</f>
        <v/>
      </c>
      <c r="X985" s="8">
        <f>IF(B985="","",IF(W985&gt;=5,"A+",IF(W985&gt;=4,"A",IF(W985&gt;=3.5,"A-",IF(W985&gt;=3,"B",IF(W985&gt;=2,"C",IF(W985&gt;=1,"D","F")))))))</f>
        <v/>
      </c>
      <c r="Y985">
        <f>NOT(OR(AND(J985&gt;=10,K985&gt;=23,L985&gt;=10,M985&gt;=23),AND(J985+L985&gt;=20,K985+M985&gt;=46)))</f>
        <v/>
      </c>
      <c r="Z985">
        <f>OR(N985&lt;10,O985&lt;23)</f>
        <v/>
      </c>
      <c r="AA985">
        <f>OR(P985&lt;10,Q985&lt;23)</f>
        <v/>
      </c>
      <c r="AB985">
        <f>OR((C985+D985)&lt;66,(E985+F985)&lt;66,G985&lt;33,(H985+I985)&lt;66,Y985,Z985,AA985,R985&lt;8.25)</f>
        <v/>
      </c>
      <c r="AC985">
        <f>IF(C985+D985&lt;66,0,IF((C985+D985)/2&gt;=80,5,IF((C985+D985)/2&gt;=70,4,IF((C985+D985)/2&gt;=60,3.5,IF((C985+D985)/2&gt;=50,3,IF((C985+D985)/2&gt;=40,2,IF((C985+D985)/2&gt;=33,1,0)))))))</f>
        <v/>
      </c>
      <c r="AD985">
        <f>IF(E985+F985&lt;66,0,IF((E985+F985)/2&gt;=80,5,IF((E985+F985)/2&gt;=70,4,IF((E985+F985)/2&gt;=60,3.5,IF((E985+F985)/2&gt;=50,3,IF((E985+F985)/2&gt;=40,2,IF((E985+F985)/2&gt;=33,1,0)))))))</f>
        <v/>
      </c>
      <c r="AE985">
        <f>IF(G985&lt;33,0,IF(G985&gt;=80,5,IF(G985&gt;=70,4,IF(G985&gt;=60,3.5,IF(G985&gt;=50,3,IF(G985&gt;=40,2,IF(G985&gt;=33,1,0)))))))</f>
        <v/>
      </c>
      <c r="AF985">
        <f>IF(H985+I985&lt;66,0,IF((H985+I985)/2&gt;=80,5,IF((H985+I985)/2&gt;=70,4,IF((H985+I985)/2&gt;=60,3.5,IF((H985+I985)/2&gt;=50,3,IF((H985+I985)/2&gt;=40,2,IF((H985+I985)/2&gt;=33,1,0)))))))</f>
        <v/>
      </c>
      <c r="AG985">
        <f>IF(Y985,0,IF((J985+K985+L985+M985)/2&gt;=80,5,IF((J985+K985+L985+M985)/2&gt;=70,4,IF((J985+K985+L985+M985)/2&gt;=60,3.5,IF((J985+K985+L985+M985)/2&gt;=50,3,IF((J985+K985+L985+M985)/2&gt;=40,2,IF((J985+K985+L985+M985)/2&gt;=33,1,0)))))))</f>
        <v/>
      </c>
      <c r="AH985">
        <f>IF(Z985,0,IF(N985+O985&gt;=80,5,IF(N985+O985&gt;=70,4,IF(N985+O985&gt;=60,3.5,IF(N985+O985&gt;=50,3,IF(N985+O985&gt;=40,2,IF(N985+O985&gt;=33,1,0)))))))</f>
        <v/>
      </c>
      <c r="AI985">
        <f>IF(AA985,0,IF(P985+Q985&gt;=80,5,IF(P985+Q985&gt;=70,4,IF(P985+Q985&gt;=60,3.5,IF(P985+Q985&gt;=50,3,IF(P985+Q985&gt;=40,2,IF(P985+Q985&gt;=33,1,0)))))))</f>
        <v/>
      </c>
      <c r="AJ985">
        <f>IF(R985&lt;8.25,0,IF(R985*2&gt;=80,5,IF(R985*2&gt;=70,4,IF(R985*2&gt;=60,3.5,IF(R985*2&gt;=50,3,IF(R985*2&gt;=40,2,IF(R985*2&gt;=33,1,0)))))))</f>
        <v/>
      </c>
      <c r="AK985">
        <f>IF(S985&lt;33,0,IF(S985&gt;=80,5,IF(S985&gt;=70,4,IF(S985&gt;=60,3.5,IF(S985&gt;=50,3,IF(S985&gt;=40,2,IF(S985&gt;=33,1,0)))))))</f>
        <v/>
      </c>
      <c r="AL985">
        <f>(AC985+AD985+AE985+AF985+AG985+AH985+AI985+AJ985)/8</f>
        <v/>
      </c>
      <c r="AM985">
        <f>IF(AK985&gt;=2,(AK985-2)/8,0)</f>
        <v/>
      </c>
    </row>
    <row r="986">
      <c r="T986">
        <f>SUM(C986:R986)</f>
        <v/>
      </c>
      <c r="U986" s="6">
        <f>ROUND(T986/11.5,2)</f>
        <v/>
      </c>
      <c r="V986" s="7">
        <f>IF(B986="","",IF(AB986,0,ROUND(AL986,2)))</f>
        <v/>
      </c>
      <c r="W986" s="7">
        <f>IF(B986="","",IF(AB986,0,MIN(5,ROUND(AL986+AM986,2))))</f>
        <v/>
      </c>
      <c r="X986" s="8">
        <f>IF(B986="","",IF(W986&gt;=5,"A+",IF(W986&gt;=4,"A",IF(W986&gt;=3.5,"A-",IF(W986&gt;=3,"B",IF(W986&gt;=2,"C",IF(W986&gt;=1,"D","F")))))))</f>
        <v/>
      </c>
      <c r="Y986">
        <f>NOT(OR(AND(J986&gt;=10,K986&gt;=23,L986&gt;=10,M986&gt;=23),AND(J986+L986&gt;=20,K986+M986&gt;=46)))</f>
        <v/>
      </c>
      <c r="Z986">
        <f>OR(N986&lt;10,O986&lt;23)</f>
        <v/>
      </c>
      <c r="AA986">
        <f>OR(P986&lt;10,Q986&lt;23)</f>
        <v/>
      </c>
      <c r="AB986">
        <f>OR((C986+D986)&lt;66,(E986+F986)&lt;66,G986&lt;33,(H986+I986)&lt;66,Y986,Z986,AA986,R986&lt;8.25)</f>
        <v/>
      </c>
      <c r="AC986">
        <f>IF(C986+D986&lt;66,0,IF((C986+D986)/2&gt;=80,5,IF((C986+D986)/2&gt;=70,4,IF((C986+D986)/2&gt;=60,3.5,IF((C986+D986)/2&gt;=50,3,IF((C986+D986)/2&gt;=40,2,IF((C986+D986)/2&gt;=33,1,0)))))))</f>
        <v/>
      </c>
      <c r="AD986">
        <f>IF(E986+F986&lt;66,0,IF((E986+F986)/2&gt;=80,5,IF((E986+F986)/2&gt;=70,4,IF((E986+F986)/2&gt;=60,3.5,IF((E986+F986)/2&gt;=50,3,IF((E986+F986)/2&gt;=40,2,IF((E986+F986)/2&gt;=33,1,0)))))))</f>
        <v/>
      </c>
      <c r="AE986">
        <f>IF(G986&lt;33,0,IF(G986&gt;=80,5,IF(G986&gt;=70,4,IF(G986&gt;=60,3.5,IF(G986&gt;=50,3,IF(G986&gt;=40,2,IF(G986&gt;=33,1,0)))))))</f>
        <v/>
      </c>
      <c r="AF986">
        <f>IF(H986+I986&lt;66,0,IF((H986+I986)/2&gt;=80,5,IF((H986+I986)/2&gt;=70,4,IF((H986+I986)/2&gt;=60,3.5,IF((H986+I986)/2&gt;=50,3,IF((H986+I986)/2&gt;=40,2,IF((H986+I986)/2&gt;=33,1,0)))))))</f>
        <v/>
      </c>
      <c r="AG986">
        <f>IF(Y986,0,IF((J986+K986+L986+M986)/2&gt;=80,5,IF((J986+K986+L986+M986)/2&gt;=70,4,IF((J986+K986+L986+M986)/2&gt;=60,3.5,IF((J986+K986+L986+M986)/2&gt;=50,3,IF((J986+K986+L986+M986)/2&gt;=40,2,IF((J986+K986+L986+M986)/2&gt;=33,1,0)))))))</f>
        <v/>
      </c>
      <c r="AH986">
        <f>IF(Z986,0,IF(N986+O986&gt;=80,5,IF(N986+O986&gt;=70,4,IF(N986+O986&gt;=60,3.5,IF(N986+O986&gt;=50,3,IF(N986+O986&gt;=40,2,IF(N986+O986&gt;=33,1,0)))))))</f>
        <v/>
      </c>
      <c r="AI986">
        <f>IF(AA986,0,IF(P986+Q986&gt;=80,5,IF(P986+Q986&gt;=70,4,IF(P986+Q986&gt;=60,3.5,IF(P986+Q986&gt;=50,3,IF(P986+Q986&gt;=40,2,IF(P986+Q986&gt;=33,1,0)))))))</f>
        <v/>
      </c>
      <c r="AJ986">
        <f>IF(R986&lt;8.25,0,IF(R986*2&gt;=80,5,IF(R986*2&gt;=70,4,IF(R986*2&gt;=60,3.5,IF(R986*2&gt;=50,3,IF(R986*2&gt;=40,2,IF(R986*2&gt;=33,1,0)))))))</f>
        <v/>
      </c>
      <c r="AK986">
        <f>IF(S986&lt;33,0,IF(S986&gt;=80,5,IF(S986&gt;=70,4,IF(S986&gt;=60,3.5,IF(S986&gt;=50,3,IF(S986&gt;=40,2,IF(S986&gt;=33,1,0)))))))</f>
        <v/>
      </c>
      <c r="AL986">
        <f>(AC986+AD986+AE986+AF986+AG986+AH986+AI986+AJ986)/8</f>
        <v/>
      </c>
      <c r="AM986">
        <f>IF(AK986&gt;=2,(AK986-2)/8,0)</f>
        <v/>
      </c>
    </row>
    <row r="987">
      <c r="T987">
        <f>SUM(C987:R987)</f>
        <v/>
      </c>
      <c r="U987" s="6">
        <f>ROUND(T987/11.5,2)</f>
        <v/>
      </c>
      <c r="V987" s="7">
        <f>IF(B987="","",IF(AB987,0,ROUND(AL987,2)))</f>
        <v/>
      </c>
      <c r="W987" s="7">
        <f>IF(B987="","",IF(AB987,0,MIN(5,ROUND(AL987+AM987,2))))</f>
        <v/>
      </c>
      <c r="X987" s="8">
        <f>IF(B987="","",IF(W987&gt;=5,"A+",IF(W987&gt;=4,"A",IF(W987&gt;=3.5,"A-",IF(W987&gt;=3,"B",IF(W987&gt;=2,"C",IF(W987&gt;=1,"D","F")))))))</f>
        <v/>
      </c>
      <c r="Y987">
        <f>NOT(OR(AND(J987&gt;=10,K987&gt;=23,L987&gt;=10,M987&gt;=23),AND(J987+L987&gt;=20,K987+M987&gt;=46)))</f>
        <v/>
      </c>
      <c r="Z987">
        <f>OR(N987&lt;10,O987&lt;23)</f>
        <v/>
      </c>
      <c r="AA987">
        <f>OR(P987&lt;10,Q987&lt;23)</f>
        <v/>
      </c>
      <c r="AB987">
        <f>OR((C987+D987)&lt;66,(E987+F987)&lt;66,G987&lt;33,(H987+I987)&lt;66,Y987,Z987,AA987,R987&lt;8.25)</f>
        <v/>
      </c>
      <c r="AC987">
        <f>IF(C987+D987&lt;66,0,IF((C987+D987)/2&gt;=80,5,IF((C987+D987)/2&gt;=70,4,IF((C987+D987)/2&gt;=60,3.5,IF((C987+D987)/2&gt;=50,3,IF((C987+D987)/2&gt;=40,2,IF((C987+D987)/2&gt;=33,1,0)))))))</f>
        <v/>
      </c>
      <c r="AD987">
        <f>IF(E987+F987&lt;66,0,IF((E987+F987)/2&gt;=80,5,IF((E987+F987)/2&gt;=70,4,IF((E987+F987)/2&gt;=60,3.5,IF((E987+F987)/2&gt;=50,3,IF((E987+F987)/2&gt;=40,2,IF((E987+F987)/2&gt;=33,1,0)))))))</f>
        <v/>
      </c>
      <c r="AE987">
        <f>IF(G987&lt;33,0,IF(G987&gt;=80,5,IF(G987&gt;=70,4,IF(G987&gt;=60,3.5,IF(G987&gt;=50,3,IF(G987&gt;=40,2,IF(G987&gt;=33,1,0)))))))</f>
        <v/>
      </c>
      <c r="AF987">
        <f>IF(H987+I987&lt;66,0,IF((H987+I987)/2&gt;=80,5,IF((H987+I987)/2&gt;=70,4,IF((H987+I987)/2&gt;=60,3.5,IF((H987+I987)/2&gt;=50,3,IF((H987+I987)/2&gt;=40,2,IF((H987+I987)/2&gt;=33,1,0)))))))</f>
        <v/>
      </c>
      <c r="AG987">
        <f>IF(Y987,0,IF((J987+K987+L987+M987)/2&gt;=80,5,IF((J987+K987+L987+M987)/2&gt;=70,4,IF((J987+K987+L987+M987)/2&gt;=60,3.5,IF((J987+K987+L987+M987)/2&gt;=50,3,IF((J987+K987+L987+M987)/2&gt;=40,2,IF((J987+K987+L987+M987)/2&gt;=33,1,0)))))))</f>
        <v/>
      </c>
      <c r="AH987">
        <f>IF(Z987,0,IF(N987+O987&gt;=80,5,IF(N987+O987&gt;=70,4,IF(N987+O987&gt;=60,3.5,IF(N987+O987&gt;=50,3,IF(N987+O987&gt;=40,2,IF(N987+O987&gt;=33,1,0)))))))</f>
        <v/>
      </c>
      <c r="AI987">
        <f>IF(AA987,0,IF(P987+Q987&gt;=80,5,IF(P987+Q987&gt;=70,4,IF(P987+Q987&gt;=60,3.5,IF(P987+Q987&gt;=50,3,IF(P987+Q987&gt;=40,2,IF(P987+Q987&gt;=33,1,0)))))))</f>
        <v/>
      </c>
      <c r="AJ987">
        <f>IF(R987&lt;8.25,0,IF(R987*2&gt;=80,5,IF(R987*2&gt;=70,4,IF(R987*2&gt;=60,3.5,IF(R987*2&gt;=50,3,IF(R987*2&gt;=40,2,IF(R987*2&gt;=33,1,0)))))))</f>
        <v/>
      </c>
      <c r="AK987">
        <f>IF(S987&lt;33,0,IF(S987&gt;=80,5,IF(S987&gt;=70,4,IF(S987&gt;=60,3.5,IF(S987&gt;=50,3,IF(S987&gt;=40,2,IF(S987&gt;=33,1,0)))))))</f>
        <v/>
      </c>
      <c r="AL987">
        <f>(AC987+AD987+AE987+AF987+AG987+AH987+AI987+AJ987)/8</f>
        <v/>
      </c>
      <c r="AM987">
        <f>IF(AK987&gt;=2,(AK987-2)/8,0)</f>
        <v/>
      </c>
    </row>
    <row r="988">
      <c r="T988">
        <f>SUM(C988:R988)</f>
        <v/>
      </c>
      <c r="U988" s="6">
        <f>ROUND(T988/11.5,2)</f>
        <v/>
      </c>
      <c r="V988" s="7">
        <f>IF(B988="","",IF(AB988,0,ROUND(AL988,2)))</f>
        <v/>
      </c>
      <c r="W988" s="7">
        <f>IF(B988="","",IF(AB988,0,MIN(5,ROUND(AL988+AM988,2))))</f>
        <v/>
      </c>
      <c r="X988" s="8">
        <f>IF(B988="","",IF(W988&gt;=5,"A+",IF(W988&gt;=4,"A",IF(W988&gt;=3.5,"A-",IF(W988&gt;=3,"B",IF(W988&gt;=2,"C",IF(W988&gt;=1,"D","F")))))))</f>
        <v/>
      </c>
      <c r="Y988">
        <f>NOT(OR(AND(J988&gt;=10,K988&gt;=23,L988&gt;=10,M988&gt;=23),AND(J988+L988&gt;=20,K988+M988&gt;=46)))</f>
        <v/>
      </c>
      <c r="Z988">
        <f>OR(N988&lt;10,O988&lt;23)</f>
        <v/>
      </c>
      <c r="AA988">
        <f>OR(P988&lt;10,Q988&lt;23)</f>
        <v/>
      </c>
      <c r="AB988">
        <f>OR((C988+D988)&lt;66,(E988+F988)&lt;66,G988&lt;33,(H988+I988)&lt;66,Y988,Z988,AA988,R988&lt;8.25)</f>
        <v/>
      </c>
      <c r="AC988">
        <f>IF(C988+D988&lt;66,0,IF((C988+D988)/2&gt;=80,5,IF((C988+D988)/2&gt;=70,4,IF((C988+D988)/2&gt;=60,3.5,IF((C988+D988)/2&gt;=50,3,IF((C988+D988)/2&gt;=40,2,IF((C988+D988)/2&gt;=33,1,0)))))))</f>
        <v/>
      </c>
      <c r="AD988">
        <f>IF(E988+F988&lt;66,0,IF((E988+F988)/2&gt;=80,5,IF((E988+F988)/2&gt;=70,4,IF((E988+F988)/2&gt;=60,3.5,IF((E988+F988)/2&gt;=50,3,IF((E988+F988)/2&gt;=40,2,IF((E988+F988)/2&gt;=33,1,0)))))))</f>
        <v/>
      </c>
      <c r="AE988">
        <f>IF(G988&lt;33,0,IF(G988&gt;=80,5,IF(G988&gt;=70,4,IF(G988&gt;=60,3.5,IF(G988&gt;=50,3,IF(G988&gt;=40,2,IF(G988&gt;=33,1,0)))))))</f>
        <v/>
      </c>
      <c r="AF988">
        <f>IF(H988+I988&lt;66,0,IF((H988+I988)/2&gt;=80,5,IF((H988+I988)/2&gt;=70,4,IF((H988+I988)/2&gt;=60,3.5,IF((H988+I988)/2&gt;=50,3,IF((H988+I988)/2&gt;=40,2,IF((H988+I988)/2&gt;=33,1,0)))))))</f>
        <v/>
      </c>
      <c r="AG988">
        <f>IF(Y988,0,IF((J988+K988+L988+M988)/2&gt;=80,5,IF((J988+K988+L988+M988)/2&gt;=70,4,IF((J988+K988+L988+M988)/2&gt;=60,3.5,IF((J988+K988+L988+M988)/2&gt;=50,3,IF((J988+K988+L988+M988)/2&gt;=40,2,IF((J988+K988+L988+M988)/2&gt;=33,1,0)))))))</f>
        <v/>
      </c>
      <c r="AH988">
        <f>IF(Z988,0,IF(N988+O988&gt;=80,5,IF(N988+O988&gt;=70,4,IF(N988+O988&gt;=60,3.5,IF(N988+O988&gt;=50,3,IF(N988+O988&gt;=40,2,IF(N988+O988&gt;=33,1,0)))))))</f>
        <v/>
      </c>
      <c r="AI988">
        <f>IF(AA988,0,IF(P988+Q988&gt;=80,5,IF(P988+Q988&gt;=70,4,IF(P988+Q988&gt;=60,3.5,IF(P988+Q988&gt;=50,3,IF(P988+Q988&gt;=40,2,IF(P988+Q988&gt;=33,1,0)))))))</f>
        <v/>
      </c>
      <c r="AJ988">
        <f>IF(R988&lt;8.25,0,IF(R988*2&gt;=80,5,IF(R988*2&gt;=70,4,IF(R988*2&gt;=60,3.5,IF(R988*2&gt;=50,3,IF(R988*2&gt;=40,2,IF(R988*2&gt;=33,1,0)))))))</f>
        <v/>
      </c>
      <c r="AK988">
        <f>IF(S988&lt;33,0,IF(S988&gt;=80,5,IF(S988&gt;=70,4,IF(S988&gt;=60,3.5,IF(S988&gt;=50,3,IF(S988&gt;=40,2,IF(S988&gt;=33,1,0)))))))</f>
        <v/>
      </c>
      <c r="AL988">
        <f>(AC988+AD988+AE988+AF988+AG988+AH988+AI988+AJ988)/8</f>
        <v/>
      </c>
      <c r="AM988">
        <f>IF(AK988&gt;=2,(AK988-2)/8,0)</f>
        <v/>
      </c>
    </row>
    <row r="989">
      <c r="T989">
        <f>SUM(C989:R989)</f>
        <v/>
      </c>
      <c r="U989" s="6">
        <f>ROUND(T989/11.5,2)</f>
        <v/>
      </c>
      <c r="V989" s="7">
        <f>IF(B989="","",IF(AB989,0,ROUND(AL989,2)))</f>
        <v/>
      </c>
      <c r="W989" s="7">
        <f>IF(B989="","",IF(AB989,0,MIN(5,ROUND(AL989+AM989,2))))</f>
        <v/>
      </c>
      <c r="X989" s="8">
        <f>IF(B989="","",IF(W989&gt;=5,"A+",IF(W989&gt;=4,"A",IF(W989&gt;=3.5,"A-",IF(W989&gt;=3,"B",IF(W989&gt;=2,"C",IF(W989&gt;=1,"D","F")))))))</f>
        <v/>
      </c>
      <c r="Y989">
        <f>NOT(OR(AND(J989&gt;=10,K989&gt;=23,L989&gt;=10,M989&gt;=23),AND(J989+L989&gt;=20,K989+M989&gt;=46)))</f>
        <v/>
      </c>
      <c r="Z989">
        <f>OR(N989&lt;10,O989&lt;23)</f>
        <v/>
      </c>
      <c r="AA989">
        <f>OR(P989&lt;10,Q989&lt;23)</f>
        <v/>
      </c>
      <c r="AB989">
        <f>OR((C989+D989)&lt;66,(E989+F989)&lt;66,G989&lt;33,(H989+I989)&lt;66,Y989,Z989,AA989,R989&lt;8.25)</f>
        <v/>
      </c>
      <c r="AC989">
        <f>IF(C989+D989&lt;66,0,IF((C989+D989)/2&gt;=80,5,IF((C989+D989)/2&gt;=70,4,IF((C989+D989)/2&gt;=60,3.5,IF((C989+D989)/2&gt;=50,3,IF((C989+D989)/2&gt;=40,2,IF((C989+D989)/2&gt;=33,1,0)))))))</f>
        <v/>
      </c>
      <c r="AD989">
        <f>IF(E989+F989&lt;66,0,IF((E989+F989)/2&gt;=80,5,IF((E989+F989)/2&gt;=70,4,IF((E989+F989)/2&gt;=60,3.5,IF((E989+F989)/2&gt;=50,3,IF((E989+F989)/2&gt;=40,2,IF((E989+F989)/2&gt;=33,1,0)))))))</f>
        <v/>
      </c>
      <c r="AE989">
        <f>IF(G989&lt;33,0,IF(G989&gt;=80,5,IF(G989&gt;=70,4,IF(G989&gt;=60,3.5,IF(G989&gt;=50,3,IF(G989&gt;=40,2,IF(G989&gt;=33,1,0)))))))</f>
        <v/>
      </c>
      <c r="AF989">
        <f>IF(H989+I989&lt;66,0,IF((H989+I989)/2&gt;=80,5,IF((H989+I989)/2&gt;=70,4,IF((H989+I989)/2&gt;=60,3.5,IF((H989+I989)/2&gt;=50,3,IF((H989+I989)/2&gt;=40,2,IF((H989+I989)/2&gt;=33,1,0)))))))</f>
        <v/>
      </c>
      <c r="AG989">
        <f>IF(Y989,0,IF((J989+K989+L989+M989)/2&gt;=80,5,IF((J989+K989+L989+M989)/2&gt;=70,4,IF((J989+K989+L989+M989)/2&gt;=60,3.5,IF((J989+K989+L989+M989)/2&gt;=50,3,IF((J989+K989+L989+M989)/2&gt;=40,2,IF((J989+K989+L989+M989)/2&gt;=33,1,0)))))))</f>
        <v/>
      </c>
      <c r="AH989">
        <f>IF(Z989,0,IF(N989+O989&gt;=80,5,IF(N989+O989&gt;=70,4,IF(N989+O989&gt;=60,3.5,IF(N989+O989&gt;=50,3,IF(N989+O989&gt;=40,2,IF(N989+O989&gt;=33,1,0)))))))</f>
        <v/>
      </c>
      <c r="AI989">
        <f>IF(AA989,0,IF(P989+Q989&gt;=80,5,IF(P989+Q989&gt;=70,4,IF(P989+Q989&gt;=60,3.5,IF(P989+Q989&gt;=50,3,IF(P989+Q989&gt;=40,2,IF(P989+Q989&gt;=33,1,0)))))))</f>
        <v/>
      </c>
      <c r="AJ989">
        <f>IF(R989&lt;8.25,0,IF(R989*2&gt;=80,5,IF(R989*2&gt;=70,4,IF(R989*2&gt;=60,3.5,IF(R989*2&gt;=50,3,IF(R989*2&gt;=40,2,IF(R989*2&gt;=33,1,0)))))))</f>
        <v/>
      </c>
      <c r="AK989">
        <f>IF(S989&lt;33,0,IF(S989&gt;=80,5,IF(S989&gt;=70,4,IF(S989&gt;=60,3.5,IF(S989&gt;=50,3,IF(S989&gt;=40,2,IF(S989&gt;=33,1,0)))))))</f>
        <v/>
      </c>
      <c r="AL989">
        <f>(AC989+AD989+AE989+AF989+AG989+AH989+AI989+AJ989)/8</f>
        <v/>
      </c>
      <c r="AM989">
        <f>IF(AK989&gt;=2,(AK989-2)/8,0)</f>
        <v/>
      </c>
    </row>
    <row r="990">
      <c r="T990">
        <f>SUM(C990:R990)</f>
        <v/>
      </c>
      <c r="U990" s="6">
        <f>ROUND(T990/11.5,2)</f>
        <v/>
      </c>
      <c r="V990" s="7">
        <f>IF(B990="","",IF(AB990,0,ROUND(AL990,2)))</f>
        <v/>
      </c>
      <c r="W990" s="7">
        <f>IF(B990="","",IF(AB990,0,MIN(5,ROUND(AL990+AM990,2))))</f>
        <v/>
      </c>
      <c r="X990" s="8">
        <f>IF(B990="","",IF(W990&gt;=5,"A+",IF(W990&gt;=4,"A",IF(W990&gt;=3.5,"A-",IF(W990&gt;=3,"B",IF(W990&gt;=2,"C",IF(W990&gt;=1,"D","F")))))))</f>
        <v/>
      </c>
      <c r="Y990">
        <f>NOT(OR(AND(J990&gt;=10,K990&gt;=23,L990&gt;=10,M990&gt;=23),AND(J990+L990&gt;=20,K990+M990&gt;=46)))</f>
        <v/>
      </c>
      <c r="Z990">
        <f>OR(N990&lt;10,O990&lt;23)</f>
        <v/>
      </c>
      <c r="AA990">
        <f>OR(P990&lt;10,Q990&lt;23)</f>
        <v/>
      </c>
      <c r="AB990">
        <f>OR((C990+D990)&lt;66,(E990+F990)&lt;66,G990&lt;33,(H990+I990)&lt;66,Y990,Z990,AA990,R990&lt;8.25)</f>
        <v/>
      </c>
      <c r="AC990">
        <f>IF(C990+D990&lt;66,0,IF((C990+D990)/2&gt;=80,5,IF((C990+D990)/2&gt;=70,4,IF((C990+D990)/2&gt;=60,3.5,IF((C990+D990)/2&gt;=50,3,IF((C990+D990)/2&gt;=40,2,IF((C990+D990)/2&gt;=33,1,0)))))))</f>
        <v/>
      </c>
      <c r="AD990">
        <f>IF(E990+F990&lt;66,0,IF((E990+F990)/2&gt;=80,5,IF((E990+F990)/2&gt;=70,4,IF((E990+F990)/2&gt;=60,3.5,IF((E990+F990)/2&gt;=50,3,IF((E990+F990)/2&gt;=40,2,IF((E990+F990)/2&gt;=33,1,0)))))))</f>
        <v/>
      </c>
      <c r="AE990">
        <f>IF(G990&lt;33,0,IF(G990&gt;=80,5,IF(G990&gt;=70,4,IF(G990&gt;=60,3.5,IF(G990&gt;=50,3,IF(G990&gt;=40,2,IF(G990&gt;=33,1,0)))))))</f>
        <v/>
      </c>
      <c r="AF990">
        <f>IF(H990+I990&lt;66,0,IF((H990+I990)/2&gt;=80,5,IF((H990+I990)/2&gt;=70,4,IF((H990+I990)/2&gt;=60,3.5,IF((H990+I990)/2&gt;=50,3,IF((H990+I990)/2&gt;=40,2,IF((H990+I990)/2&gt;=33,1,0)))))))</f>
        <v/>
      </c>
      <c r="AG990">
        <f>IF(Y990,0,IF((J990+K990+L990+M990)/2&gt;=80,5,IF((J990+K990+L990+M990)/2&gt;=70,4,IF((J990+K990+L990+M990)/2&gt;=60,3.5,IF((J990+K990+L990+M990)/2&gt;=50,3,IF((J990+K990+L990+M990)/2&gt;=40,2,IF((J990+K990+L990+M990)/2&gt;=33,1,0)))))))</f>
        <v/>
      </c>
      <c r="AH990">
        <f>IF(Z990,0,IF(N990+O990&gt;=80,5,IF(N990+O990&gt;=70,4,IF(N990+O990&gt;=60,3.5,IF(N990+O990&gt;=50,3,IF(N990+O990&gt;=40,2,IF(N990+O990&gt;=33,1,0)))))))</f>
        <v/>
      </c>
      <c r="AI990">
        <f>IF(AA990,0,IF(P990+Q990&gt;=80,5,IF(P990+Q990&gt;=70,4,IF(P990+Q990&gt;=60,3.5,IF(P990+Q990&gt;=50,3,IF(P990+Q990&gt;=40,2,IF(P990+Q990&gt;=33,1,0)))))))</f>
        <v/>
      </c>
      <c r="AJ990">
        <f>IF(R990&lt;8.25,0,IF(R990*2&gt;=80,5,IF(R990*2&gt;=70,4,IF(R990*2&gt;=60,3.5,IF(R990*2&gt;=50,3,IF(R990*2&gt;=40,2,IF(R990*2&gt;=33,1,0)))))))</f>
        <v/>
      </c>
      <c r="AK990">
        <f>IF(S990&lt;33,0,IF(S990&gt;=80,5,IF(S990&gt;=70,4,IF(S990&gt;=60,3.5,IF(S990&gt;=50,3,IF(S990&gt;=40,2,IF(S990&gt;=33,1,0)))))))</f>
        <v/>
      </c>
      <c r="AL990">
        <f>(AC990+AD990+AE990+AF990+AG990+AH990+AI990+AJ990)/8</f>
        <v/>
      </c>
      <c r="AM990">
        <f>IF(AK990&gt;=2,(AK990-2)/8,0)</f>
        <v/>
      </c>
    </row>
    <row r="991">
      <c r="T991">
        <f>SUM(C991:R991)</f>
        <v/>
      </c>
      <c r="U991" s="6">
        <f>ROUND(T991/11.5,2)</f>
        <v/>
      </c>
      <c r="V991" s="7">
        <f>IF(B991="","",IF(AB991,0,ROUND(AL991,2)))</f>
        <v/>
      </c>
      <c r="W991" s="7">
        <f>IF(B991="","",IF(AB991,0,MIN(5,ROUND(AL991+AM991,2))))</f>
        <v/>
      </c>
      <c r="X991" s="8">
        <f>IF(B991="","",IF(W991&gt;=5,"A+",IF(W991&gt;=4,"A",IF(W991&gt;=3.5,"A-",IF(W991&gt;=3,"B",IF(W991&gt;=2,"C",IF(W991&gt;=1,"D","F")))))))</f>
        <v/>
      </c>
      <c r="Y991">
        <f>NOT(OR(AND(J991&gt;=10,K991&gt;=23,L991&gt;=10,M991&gt;=23),AND(J991+L991&gt;=20,K991+M991&gt;=46)))</f>
        <v/>
      </c>
      <c r="Z991">
        <f>OR(N991&lt;10,O991&lt;23)</f>
        <v/>
      </c>
      <c r="AA991">
        <f>OR(P991&lt;10,Q991&lt;23)</f>
        <v/>
      </c>
      <c r="AB991">
        <f>OR((C991+D991)&lt;66,(E991+F991)&lt;66,G991&lt;33,(H991+I991)&lt;66,Y991,Z991,AA991,R991&lt;8.25)</f>
        <v/>
      </c>
      <c r="AC991">
        <f>IF(C991+D991&lt;66,0,IF((C991+D991)/2&gt;=80,5,IF((C991+D991)/2&gt;=70,4,IF((C991+D991)/2&gt;=60,3.5,IF((C991+D991)/2&gt;=50,3,IF((C991+D991)/2&gt;=40,2,IF((C991+D991)/2&gt;=33,1,0)))))))</f>
        <v/>
      </c>
      <c r="AD991">
        <f>IF(E991+F991&lt;66,0,IF((E991+F991)/2&gt;=80,5,IF((E991+F991)/2&gt;=70,4,IF((E991+F991)/2&gt;=60,3.5,IF((E991+F991)/2&gt;=50,3,IF((E991+F991)/2&gt;=40,2,IF((E991+F991)/2&gt;=33,1,0)))))))</f>
        <v/>
      </c>
      <c r="AE991">
        <f>IF(G991&lt;33,0,IF(G991&gt;=80,5,IF(G991&gt;=70,4,IF(G991&gt;=60,3.5,IF(G991&gt;=50,3,IF(G991&gt;=40,2,IF(G991&gt;=33,1,0)))))))</f>
        <v/>
      </c>
      <c r="AF991">
        <f>IF(H991+I991&lt;66,0,IF((H991+I991)/2&gt;=80,5,IF((H991+I991)/2&gt;=70,4,IF((H991+I991)/2&gt;=60,3.5,IF((H991+I991)/2&gt;=50,3,IF((H991+I991)/2&gt;=40,2,IF((H991+I991)/2&gt;=33,1,0)))))))</f>
        <v/>
      </c>
      <c r="AG991">
        <f>IF(Y991,0,IF((J991+K991+L991+M991)/2&gt;=80,5,IF((J991+K991+L991+M991)/2&gt;=70,4,IF((J991+K991+L991+M991)/2&gt;=60,3.5,IF((J991+K991+L991+M991)/2&gt;=50,3,IF((J991+K991+L991+M991)/2&gt;=40,2,IF((J991+K991+L991+M991)/2&gt;=33,1,0)))))))</f>
        <v/>
      </c>
      <c r="AH991">
        <f>IF(Z991,0,IF(N991+O991&gt;=80,5,IF(N991+O991&gt;=70,4,IF(N991+O991&gt;=60,3.5,IF(N991+O991&gt;=50,3,IF(N991+O991&gt;=40,2,IF(N991+O991&gt;=33,1,0)))))))</f>
        <v/>
      </c>
      <c r="AI991">
        <f>IF(AA991,0,IF(P991+Q991&gt;=80,5,IF(P991+Q991&gt;=70,4,IF(P991+Q991&gt;=60,3.5,IF(P991+Q991&gt;=50,3,IF(P991+Q991&gt;=40,2,IF(P991+Q991&gt;=33,1,0)))))))</f>
        <v/>
      </c>
      <c r="AJ991">
        <f>IF(R991&lt;8.25,0,IF(R991*2&gt;=80,5,IF(R991*2&gt;=70,4,IF(R991*2&gt;=60,3.5,IF(R991*2&gt;=50,3,IF(R991*2&gt;=40,2,IF(R991*2&gt;=33,1,0)))))))</f>
        <v/>
      </c>
      <c r="AK991">
        <f>IF(S991&lt;33,0,IF(S991&gt;=80,5,IF(S991&gt;=70,4,IF(S991&gt;=60,3.5,IF(S991&gt;=50,3,IF(S991&gt;=40,2,IF(S991&gt;=33,1,0)))))))</f>
        <v/>
      </c>
      <c r="AL991">
        <f>(AC991+AD991+AE991+AF991+AG991+AH991+AI991+AJ991)/8</f>
        <v/>
      </c>
      <c r="AM991">
        <f>IF(AK991&gt;=2,(AK991-2)/8,0)</f>
        <v/>
      </c>
    </row>
    <row r="992">
      <c r="T992">
        <f>SUM(C992:R992)</f>
        <v/>
      </c>
      <c r="U992" s="6">
        <f>ROUND(T992/11.5,2)</f>
        <v/>
      </c>
      <c r="V992" s="7">
        <f>IF(B992="","",IF(AB992,0,ROUND(AL992,2)))</f>
        <v/>
      </c>
      <c r="W992" s="7">
        <f>IF(B992="","",IF(AB992,0,MIN(5,ROUND(AL992+AM992,2))))</f>
        <v/>
      </c>
      <c r="X992" s="8">
        <f>IF(B992="","",IF(W992&gt;=5,"A+",IF(W992&gt;=4,"A",IF(W992&gt;=3.5,"A-",IF(W992&gt;=3,"B",IF(W992&gt;=2,"C",IF(W992&gt;=1,"D","F")))))))</f>
        <v/>
      </c>
      <c r="Y992">
        <f>NOT(OR(AND(J992&gt;=10,K992&gt;=23,L992&gt;=10,M992&gt;=23),AND(J992+L992&gt;=20,K992+M992&gt;=46)))</f>
        <v/>
      </c>
      <c r="Z992">
        <f>OR(N992&lt;10,O992&lt;23)</f>
        <v/>
      </c>
      <c r="AA992">
        <f>OR(P992&lt;10,Q992&lt;23)</f>
        <v/>
      </c>
      <c r="AB992">
        <f>OR((C992+D992)&lt;66,(E992+F992)&lt;66,G992&lt;33,(H992+I992)&lt;66,Y992,Z992,AA992,R992&lt;8.25)</f>
        <v/>
      </c>
      <c r="AC992">
        <f>IF(C992+D992&lt;66,0,IF((C992+D992)/2&gt;=80,5,IF((C992+D992)/2&gt;=70,4,IF((C992+D992)/2&gt;=60,3.5,IF((C992+D992)/2&gt;=50,3,IF((C992+D992)/2&gt;=40,2,IF((C992+D992)/2&gt;=33,1,0)))))))</f>
        <v/>
      </c>
      <c r="AD992">
        <f>IF(E992+F992&lt;66,0,IF((E992+F992)/2&gt;=80,5,IF((E992+F992)/2&gt;=70,4,IF((E992+F992)/2&gt;=60,3.5,IF((E992+F992)/2&gt;=50,3,IF((E992+F992)/2&gt;=40,2,IF((E992+F992)/2&gt;=33,1,0)))))))</f>
        <v/>
      </c>
      <c r="AE992">
        <f>IF(G992&lt;33,0,IF(G992&gt;=80,5,IF(G992&gt;=70,4,IF(G992&gt;=60,3.5,IF(G992&gt;=50,3,IF(G992&gt;=40,2,IF(G992&gt;=33,1,0)))))))</f>
        <v/>
      </c>
      <c r="AF992">
        <f>IF(H992+I992&lt;66,0,IF((H992+I992)/2&gt;=80,5,IF((H992+I992)/2&gt;=70,4,IF((H992+I992)/2&gt;=60,3.5,IF((H992+I992)/2&gt;=50,3,IF((H992+I992)/2&gt;=40,2,IF((H992+I992)/2&gt;=33,1,0)))))))</f>
        <v/>
      </c>
      <c r="AG992">
        <f>IF(Y992,0,IF((J992+K992+L992+M992)/2&gt;=80,5,IF((J992+K992+L992+M992)/2&gt;=70,4,IF((J992+K992+L992+M992)/2&gt;=60,3.5,IF((J992+K992+L992+M992)/2&gt;=50,3,IF((J992+K992+L992+M992)/2&gt;=40,2,IF((J992+K992+L992+M992)/2&gt;=33,1,0)))))))</f>
        <v/>
      </c>
      <c r="AH992">
        <f>IF(Z992,0,IF(N992+O992&gt;=80,5,IF(N992+O992&gt;=70,4,IF(N992+O992&gt;=60,3.5,IF(N992+O992&gt;=50,3,IF(N992+O992&gt;=40,2,IF(N992+O992&gt;=33,1,0)))))))</f>
        <v/>
      </c>
      <c r="AI992">
        <f>IF(AA992,0,IF(P992+Q992&gt;=80,5,IF(P992+Q992&gt;=70,4,IF(P992+Q992&gt;=60,3.5,IF(P992+Q992&gt;=50,3,IF(P992+Q992&gt;=40,2,IF(P992+Q992&gt;=33,1,0)))))))</f>
        <v/>
      </c>
      <c r="AJ992">
        <f>IF(R992&lt;8.25,0,IF(R992*2&gt;=80,5,IF(R992*2&gt;=70,4,IF(R992*2&gt;=60,3.5,IF(R992*2&gt;=50,3,IF(R992*2&gt;=40,2,IF(R992*2&gt;=33,1,0)))))))</f>
        <v/>
      </c>
      <c r="AK992">
        <f>IF(S992&lt;33,0,IF(S992&gt;=80,5,IF(S992&gt;=70,4,IF(S992&gt;=60,3.5,IF(S992&gt;=50,3,IF(S992&gt;=40,2,IF(S992&gt;=33,1,0)))))))</f>
        <v/>
      </c>
      <c r="AL992">
        <f>(AC992+AD992+AE992+AF992+AG992+AH992+AI992+AJ992)/8</f>
        <v/>
      </c>
      <c r="AM992">
        <f>IF(AK992&gt;=2,(AK992-2)/8,0)</f>
        <v/>
      </c>
    </row>
    <row r="993">
      <c r="T993">
        <f>SUM(C993:R993)</f>
        <v/>
      </c>
      <c r="U993" s="6">
        <f>ROUND(T993/11.5,2)</f>
        <v/>
      </c>
      <c r="V993" s="7">
        <f>IF(B993="","",IF(AB993,0,ROUND(AL993,2)))</f>
        <v/>
      </c>
      <c r="W993" s="7">
        <f>IF(B993="","",IF(AB993,0,MIN(5,ROUND(AL993+AM993,2))))</f>
        <v/>
      </c>
      <c r="X993" s="8">
        <f>IF(B993="","",IF(W993&gt;=5,"A+",IF(W993&gt;=4,"A",IF(W993&gt;=3.5,"A-",IF(W993&gt;=3,"B",IF(W993&gt;=2,"C",IF(W993&gt;=1,"D","F")))))))</f>
        <v/>
      </c>
      <c r="Y993">
        <f>NOT(OR(AND(J993&gt;=10,K993&gt;=23,L993&gt;=10,M993&gt;=23),AND(J993+L993&gt;=20,K993+M993&gt;=46)))</f>
        <v/>
      </c>
      <c r="Z993">
        <f>OR(N993&lt;10,O993&lt;23)</f>
        <v/>
      </c>
      <c r="AA993">
        <f>OR(P993&lt;10,Q993&lt;23)</f>
        <v/>
      </c>
      <c r="AB993">
        <f>OR((C993+D993)&lt;66,(E993+F993)&lt;66,G993&lt;33,(H993+I993)&lt;66,Y993,Z993,AA993,R993&lt;8.25)</f>
        <v/>
      </c>
      <c r="AC993">
        <f>IF(C993+D993&lt;66,0,IF((C993+D993)/2&gt;=80,5,IF((C993+D993)/2&gt;=70,4,IF((C993+D993)/2&gt;=60,3.5,IF((C993+D993)/2&gt;=50,3,IF((C993+D993)/2&gt;=40,2,IF((C993+D993)/2&gt;=33,1,0)))))))</f>
        <v/>
      </c>
      <c r="AD993">
        <f>IF(E993+F993&lt;66,0,IF((E993+F993)/2&gt;=80,5,IF((E993+F993)/2&gt;=70,4,IF((E993+F993)/2&gt;=60,3.5,IF((E993+F993)/2&gt;=50,3,IF((E993+F993)/2&gt;=40,2,IF((E993+F993)/2&gt;=33,1,0)))))))</f>
        <v/>
      </c>
      <c r="AE993">
        <f>IF(G993&lt;33,0,IF(G993&gt;=80,5,IF(G993&gt;=70,4,IF(G993&gt;=60,3.5,IF(G993&gt;=50,3,IF(G993&gt;=40,2,IF(G993&gt;=33,1,0)))))))</f>
        <v/>
      </c>
      <c r="AF993">
        <f>IF(H993+I993&lt;66,0,IF((H993+I993)/2&gt;=80,5,IF((H993+I993)/2&gt;=70,4,IF((H993+I993)/2&gt;=60,3.5,IF((H993+I993)/2&gt;=50,3,IF((H993+I993)/2&gt;=40,2,IF((H993+I993)/2&gt;=33,1,0)))))))</f>
        <v/>
      </c>
      <c r="AG993">
        <f>IF(Y993,0,IF((J993+K993+L993+M993)/2&gt;=80,5,IF((J993+K993+L993+M993)/2&gt;=70,4,IF((J993+K993+L993+M993)/2&gt;=60,3.5,IF((J993+K993+L993+M993)/2&gt;=50,3,IF((J993+K993+L993+M993)/2&gt;=40,2,IF((J993+K993+L993+M993)/2&gt;=33,1,0)))))))</f>
        <v/>
      </c>
      <c r="AH993">
        <f>IF(Z993,0,IF(N993+O993&gt;=80,5,IF(N993+O993&gt;=70,4,IF(N993+O993&gt;=60,3.5,IF(N993+O993&gt;=50,3,IF(N993+O993&gt;=40,2,IF(N993+O993&gt;=33,1,0)))))))</f>
        <v/>
      </c>
      <c r="AI993">
        <f>IF(AA993,0,IF(P993+Q993&gt;=80,5,IF(P993+Q993&gt;=70,4,IF(P993+Q993&gt;=60,3.5,IF(P993+Q993&gt;=50,3,IF(P993+Q993&gt;=40,2,IF(P993+Q993&gt;=33,1,0)))))))</f>
        <v/>
      </c>
      <c r="AJ993">
        <f>IF(R993&lt;8.25,0,IF(R993*2&gt;=80,5,IF(R993*2&gt;=70,4,IF(R993*2&gt;=60,3.5,IF(R993*2&gt;=50,3,IF(R993*2&gt;=40,2,IF(R993*2&gt;=33,1,0)))))))</f>
        <v/>
      </c>
      <c r="AK993">
        <f>IF(S993&lt;33,0,IF(S993&gt;=80,5,IF(S993&gt;=70,4,IF(S993&gt;=60,3.5,IF(S993&gt;=50,3,IF(S993&gt;=40,2,IF(S993&gt;=33,1,0)))))))</f>
        <v/>
      </c>
      <c r="AL993">
        <f>(AC993+AD993+AE993+AF993+AG993+AH993+AI993+AJ993)/8</f>
        <v/>
      </c>
      <c r="AM993">
        <f>IF(AK993&gt;=2,(AK993-2)/8,0)</f>
        <v/>
      </c>
    </row>
    <row r="994">
      <c r="T994">
        <f>SUM(C994:R994)</f>
        <v/>
      </c>
      <c r="U994" s="6">
        <f>ROUND(T994/11.5,2)</f>
        <v/>
      </c>
      <c r="V994" s="7">
        <f>IF(B994="","",IF(AB994,0,ROUND(AL994,2)))</f>
        <v/>
      </c>
      <c r="W994" s="7">
        <f>IF(B994="","",IF(AB994,0,MIN(5,ROUND(AL994+AM994,2))))</f>
        <v/>
      </c>
      <c r="X994" s="8">
        <f>IF(B994="","",IF(W994&gt;=5,"A+",IF(W994&gt;=4,"A",IF(W994&gt;=3.5,"A-",IF(W994&gt;=3,"B",IF(W994&gt;=2,"C",IF(W994&gt;=1,"D","F")))))))</f>
        <v/>
      </c>
      <c r="Y994">
        <f>NOT(OR(AND(J994&gt;=10,K994&gt;=23,L994&gt;=10,M994&gt;=23),AND(J994+L994&gt;=20,K994+M994&gt;=46)))</f>
        <v/>
      </c>
      <c r="Z994">
        <f>OR(N994&lt;10,O994&lt;23)</f>
        <v/>
      </c>
      <c r="AA994">
        <f>OR(P994&lt;10,Q994&lt;23)</f>
        <v/>
      </c>
      <c r="AB994">
        <f>OR((C994+D994)&lt;66,(E994+F994)&lt;66,G994&lt;33,(H994+I994)&lt;66,Y994,Z994,AA994,R994&lt;8.25)</f>
        <v/>
      </c>
      <c r="AC994">
        <f>IF(C994+D994&lt;66,0,IF((C994+D994)/2&gt;=80,5,IF((C994+D994)/2&gt;=70,4,IF((C994+D994)/2&gt;=60,3.5,IF((C994+D994)/2&gt;=50,3,IF((C994+D994)/2&gt;=40,2,IF((C994+D994)/2&gt;=33,1,0)))))))</f>
        <v/>
      </c>
      <c r="AD994">
        <f>IF(E994+F994&lt;66,0,IF((E994+F994)/2&gt;=80,5,IF((E994+F994)/2&gt;=70,4,IF((E994+F994)/2&gt;=60,3.5,IF((E994+F994)/2&gt;=50,3,IF((E994+F994)/2&gt;=40,2,IF((E994+F994)/2&gt;=33,1,0)))))))</f>
        <v/>
      </c>
      <c r="AE994">
        <f>IF(G994&lt;33,0,IF(G994&gt;=80,5,IF(G994&gt;=70,4,IF(G994&gt;=60,3.5,IF(G994&gt;=50,3,IF(G994&gt;=40,2,IF(G994&gt;=33,1,0)))))))</f>
        <v/>
      </c>
      <c r="AF994">
        <f>IF(H994+I994&lt;66,0,IF((H994+I994)/2&gt;=80,5,IF((H994+I994)/2&gt;=70,4,IF((H994+I994)/2&gt;=60,3.5,IF((H994+I994)/2&gt;=50,3,IF((H994+I994)/2&gt;=40,2,IF((H994+I994)/2&gt;=33,1,0)))))))</f>
        <v/>
      </c>
      <c r="AG994">
        <f>IF(Y994,0,IF((J994+K994+L994+M994)/2&gt;=80,5,IF((J994+K994+L994+M994)/2&gt;=70,4,IF((J994+K994+L994+M994)/2&gt;=60,3.5,IF((J994+K994+L994+M994)/2&gt;=50,3,IF((J994+K994+L994+M994)/2&gt;=40,2,IF((J994+K994+L994+M994)/2&gt;=33,1,0)))))))</f>
        <v/>
      </c>
      <c r="AH994">
        <f>IF(Z994,0,IF(N994+O994&gt;=80,5,IF(N994+O994&gt;=70,4,IF(N994+O994&gt;=60,3.5,IF(N994+O994&gt;=50,3,IF(N994+O994&gt;=40,2,IF(N994+O994&gt;=33,1,0)))))))</f>
        <v/>
      </c>
      <c r="AI994">
        <f>IF(AA994,0,IF(P994+Q994&gt;=80,5,IF(P994+Q994&gt;=70,4,IF(P994+Q994&gt;=60,3.5,IF(P994+Q994&gt;=50,3,IF(P994+Q994&gt;=40,2,IF(P994+Q994&gt;=33,1,0)))))))</f>
        <v/>
      </c>
      <c r="AJ994">
        <f>IF(R994&lt;8.25,0,IF(R994*2&gt;=80,5,IF(R994*2&gt;=70,4,IF(R994*2&gt;=60,3.5,IF(R994*2&gt;=50,3,IF(R994*2&gt;=40,2,IF(R994*2&gt;=33,1,0)))))))</f>
        <v/>
      </c>
      <c r="AK994">
        <f>IF(S994&lt;33,0,IF(S994&gt;=80,5,IF(S994&gt;=70,4,IF(S994&gt;=60,3.5,IF(S994&gt;=50,3,IF(S994&gt;=40,2,IF(S994&gt;=33,1,0)))))))</f>
        <v/>
      </c>
      <c r="AL994">
        <f>(AC994+AD994+AE994+AF994+AG994+AH994+AI994+AJ994)/8</f>
        <v/>
      </c>
      <c r="AM994">
        <f>IF(AK994&gt;=2,(AK994-2)/8,0)</f>
        <v/>
      </c>
    </row>
    <row r="995">
      <c r="T995">
        <f>SUM(C995:R995)</f>
        <v/>
      </c>
      <c r="U995" s="6">
        <f>ROUND(T995/11.5,2)</f>
        <v/>
      </c>
      <c r="V995" s="7">
        <f>IF(B995="","",IF(AB995,0,ROUND(AL995,2)))</f>
        <v/>
      </c>
      <c r="W995" s="7">
        <f>IF(B995="","",IF(AB995,0,MIN(5,ROUND(AL995+AM995,2))))</f>
        <v/>
      </c>
      <c r="X995" s="8">
        <f>IF(B995="","",IF(W995&gt;=5,"A+",IF(W995&gt;=4,"A",IF(W995&gt;=3.5,"A-",IF(W995&gt;=3,"B",IF(W995&gt;=2,"C",IF(W995&gt;=1,"D","F")))))))</f>
        <v/>
      </c>
      <c r="Y995">
        <f>NOT(OR(AND(J995&gt;=10,K995&gt;=23,L995&gt;=10,M995&gt;=23),AND(J995+L995&gt;=20,K995+M995&gt;=46)))</f>
        <v/>
      </c>
      <c r="Z995">
        <f>OR(N995&lt;10,O995&lt;23)</f>
        <v/>
      </c>
      <c r="AA995">
        <f>OR(P995&lt;10,Q995&lt;23)</f>
        <v/>
      </c>
      <c r="AB995">
        <f>OR((C995+D995)&lt;66,(E995+F995)&lt;66,G995&lt;33,(H995+I995)&lt;66,Y995,Z995,AA995,R995&lt;8.25)</f>
        <v/>
      </c>
      <c r="AC995">
        <f>IF(C995+D995&lt;66,0,IF((C995+D995)/2&gt;=80,5,IF((C995+D995)/2&gt;=70,4,IF((C995+D995)/2&gt;=60,3.5,IF((C995+D995)/2&gt;=50,3,IF((C995+D995)/2&gt;=40,2,IF((C995+D995)/2&gt;=33,1,0)))))))</f>
        <v/>
      </c>
      <c r="AD995">
        <f>IF(E995+F995&lt;66,0,IF((E995+F995)/2&gt;=80,5,IF((E995+F995)/2&gt;=70,4,IF((E995+F995)/2&gt;=60,3.5,IF((E995+F995)/2&gt;=50,3,IF((E995+F995)/2&gt;=40,2,IF((E995+F995)/2&gt;=33,1,0)))))))</f>
        <v/>
      </c>
      <c r="AE995">
        <f>IF(G995&lt;33,0,IF(G995&gt;=80,5,IF(G995&gt;=70,4,IF(G995&gt;=60,3.5,IF(G995&gt;=50,3,IF(G995&gt;=40,2,IF(G995&gt;=33,1,0)))))))</f>
        <v/>
      </c>
      <c r="AF995">
        <f>IF(H995+I995&lt;66,0,IF((H995+I995)/2&gt;=80,5,IF((H995+I995)/2&gt;=70,4,IF((H995+I995)/2&gt;=60,3.5,IF((H995+I995)/2&gt;=50,3,IF((H995+I995)/2&gt;=40,2,IF((H995+I995)/2&gt;=33,1,0)))))))</f>
        <v/>
      </c>
      <c r="AG995">
        <f>IF(Y995,0,IF((J995+K995+L995+M995)/2&gt;=80,5,IF((J995+K995+L995+M995)/2&gt;=70,4,IF((J995+K995+L995+M995)/2&gt;=60,3.5,IF((J995+K995+L995+M995)/2&gt;=50,3,IF((J995+K995+L995+M995)/2&gt;=40,2,IF((J995+K995+L995+M995)/2&gt;=33,1,0)))))))</f>
        <v/>
      </c>
      <c r="AH995">
        <f>IF(Z995,0,IF(N995+O995&gt;=80,5,IF(N995+O995&gt;=70,4,IF(N995+O995&gt;=60,3.5,IF(N995+O995&gt;=50,3,IF(N995+O995&gt;=40,2,IF(N995+O995&gt;=33,1,0)))))))</f>
        <v/>
      </c>
      <c r="AI995">
        <f>IF(AA995,0,IF(P995+Q995&gt;=80,5,IF(P995+Q995&gt;=70,4,IF(P995+Q995&gt;=60,3.5,IF(P995+Q995&gt;=50,3,IF(P995+Q995&gt;=40,2,IF(P995+Q995&gt;=33,1,0)))))))</f>
        <v/>
      </c>
      <c r="AJ995">
        <f>IF(R995&lt;8.25,0,IF(R995*2&gt;=80,5,IF(R995*2&gt;=70,4,IF(R995*2&gt;=60,3.5,IF(R995*2&gt;=50,3,IF(R995*2&gt;=40,2,IF(R995*2&gt;=33,1,0)))))))</f>
        <v/>
      </c>
      <c r="AK995">
        <f>IF(S995&lt;33,0,IF(S995&gt;=80,5,IF(S995&gt;=70,4,IF(S995&gt;=60,3.5,IF(S995&gt;=50,3,IF(S995&gt;=40,2,IF(S995&gt;=33,1,0)))))))</f>
        <v/>
      </c>
      <c r="AL995">
        <f>(AC995+AD995+AE995+AF995+AG995+AH995+AI995+AJ995)/8</f>
        <v/>
      </c>
      <c r="AM995">
        <f>IF(AK995&gt;=2,(AK995-2)/8,0)</f>
        <v/>
      </c>
    </row>
    <row r="996">
      <c r="T996">
        <f>SUM(C996:R996)</f>
        <v/>
      </c>
      <c r="U996" s="6">
        <f>ROUND(T996/11.5,2)</f>
        <v/>
      </c>
      <c r="V996" s="7">
        <f>IF(B996="","",IF(AB996,0,ROUND(AL996,2)))</f>
        <v/>
      </c>
      <c r="W996" s="7">
        <f>IF(B996="","",IF(AB996,0,MIN(5,ROUND(AL996+AM996,2))))</f>
        <v/>
      </c>
      <c r="X996" s="8">
        <f>IF(B996="","",IF(W996&gt;=5,"A+",IF(W996&gt;=4,"A",IF(W996&gt;=3.5,"A-",IF(W996&gt;=3,"B",IF(W996&gt;=2,"C",IF(W996&gt;=1,"D","F")))))))</f>
        <v/>
      </c>
      <c r="Y996">
        <f>NOT(OR(AND(J996&gt;=10,K996&gt;=23,L996&gt;=10,M996&gt;=23),AND(J996+L996&gt;=20,K996+M996&gt;=46)))</f>
        <v/>
      </c>
      <c r="Z996">
        <f>OR(N996&lt;10,O996&lt;23)</f>
        <v/>
      </c>
      <c r="AA996">
        <f>OR(P996&lt;10,Q996&lt;23)</f>
        <v/>
      </c>
      <c r="AB996">
        <f>OR((C996+D996)&lt;66,(E996+F996)&lt;66,G996&lt;33,(H996+I996)&lt;66,Y996,Z996,AA996,R996&lt;8.25)</f>
        <v/>
      </c>
      <c r="AC996">
        <f>IF(C996+D996&lt;66,0,IF((C996+D996)/2&gt;=80,5,IF((C996+D996)/2&gt;=70,4,IF((C996+D996)/2&gt;=60,3.5,IF((C996+D996)/2&gt;=50,3,IF((C996+D996)/2&gt;=40,2,IF((C996+D996)/2&gt;=33,1,0)))))))</f>
        <v/>
      </c>
      <c r="AD996">
        <f>IF(E996+F996&lt;66,0,IF((E996+F996)/2&gt;=80,5,IF((E996+F996)/2&gt;=70,4,IF((E996+F996)/2&gt;=60,3.5,IF((E996+F996)/2&gt;=50,3,IF((E996+F996)/2&gt;=40,2,IF((E996+F996)/2&gt;=33,1,0)))))))</f>
        <v/>
      </c>
      <c r="AE996">
        <f>IF(G996&lt;33,0,IF(G996&gt;=80,5,IF(G996&gt;=70,4,IF(G996&gt;=60,3.5,IF(G996&gt;=50,3,IF(G996&gt;=40,2,IF(G996&gt;=33,1,0)))))))</f>
        <v/>
      </c>
      <c r="AF996">
        <f>IF(H996+I996&lt;66,0,IF((H996+I996)/2&gt;=80,5,IF((H996+I996)/2&gt;=70,4,IF((H996+I996)/2&gt;=60,3.5,IF((H996+I996)/2&gt;=50,3,IF((H996+I996)/2&gt;=40,2,IF((H996+I996)/2&gt;=33,1,0)))))))</f>
        <v/>
      </c>
      <c r="AG996">
        <f>IF(Y996,0,IF((J996+K996+L996+M996)/2&gt;=80,5,IF((J996+K996+L996+M996)/2&gt;=70,4,IF((J996+K996+L996+M996)/2&gt;=60,3.5,IF((J996+K996+L996+M996)/2&gt;=50,3,IF((J996+K996+L996+M996)/2&gt;=40,2,IF((J996+K996+L996+M996)/2&gt;=33,1,0)))))))</f>
        <v/>
      </c>
      <c r="AH996">
        <f>IF(Z996,0,IF(N996+O996&gt;=80,5,IF(N996+O996&gt;=70,4,IF(N996+O996&gt;=60,3.5,IF(N996+O996&gt;=50,3,IF(N996+O996&gt;=40,2,IF(N996+O996&gt;=33,1,0)))))))</f>
        <v/>
      </c>
      <c r="AI996">
        <f>IF(AA996,0,IF(P996+Q996&gt;=80,5,IF(P996+Q996&gt;=70,4,IF(P996+Q996&gt;=60,3.5,IF(P996+Q996&gt;=50,3,IF(P996+Q996&gt;=40,2,IF(P996+Q996&gt;=33,1,0)))))))</f>
        <v/>
      </c>
      <c r="AJ996">
        <f>IF(R996&lt;8.25,0,IF(R996*2&gt;=80,5,IF(R996*2&gt;=70,4,IF(R996*2&gt;=60,3.5,IF(R996*2&gt;=50,3,IF(R996*2&gt;=40,2,IF(R996*2&gt;=33,1,0)))))))</f>
        <v/>
      </c>
      <c r="AK996">
        <f>IF(S996&lt;33,0,IF(S996&gt;=80,5,IF(S996&gt;=70,4,IF(S996&gt;=60,3.5,IF(S996&gt;=50,3,IF(S996&gt;=40,2,IF(S996&gt;=33,1,0)))))))</f>
        <v/>
      </c>
      <c r="AL996">
        <f>(AC996+AD996+AE996+AF996+AG996+AH996+AI996+AJ996)/8</f>
        <v/>
      </c>
      <c r="AM996">
        <f>IF(AK996&gt;=2,(AK996-2)/8,0)</f>
        <v/>
      </c>
    </row>
    <row r="997">
      <c r="T997">
        <f>SUM(C997:R997)</f>
        <v/>
      </c>
      <c r="U997" s="6">
        <f>ROUND(T997/11.5,2)</f>
        <v/>
      </c>
      <c r="V997" s="7">
        <f>IF(B997="","",IF(AB997,0,ROUND(AL997,2)))</f>
        <v/>
      </c>
      <c r="W997" s="7">
        <f>IF(B997="","",IF(AB997,0,MIN(5,ROUND(AL997+AM997,2))))</f>
        <v/>
      </c>
      <c r="X997" s="8">
        <f>IF(B997="","",IF(W997&gt;=5,"A+",IF(W997&gt;=4,"A",IF(W997&gt;=3.5,"A-",IF(W997&gt;=3,"B",IF(W997&gt;=2,"C",IF(W997&gt;=1,"D","F")))))))</f>
        <v/>
      </c>
      <c r="Y997">
        <f>NOT(OR(AND(J997&gt;=10,K997&gt;=23,L997&gt;=10,M997&gt;=23),AND(J997+L997&gt;=20,K997+M997&gt;=46)))</f>
        <v/>
      </c>
      <c r="Z997">
        <f>OR(N997&lt;10,O997&lt;23)</f>
        <v/>
      </c>
      <c r="AA997">
        <f>OR(P997&lt;10,Q997&lt;23)</f>
        <v/>
      </c>
      <c r="AB997">
        <f>OR((C997+D997)&lt;66,(E997+F997)&lt;66,G997&lt;33,(H997+I997)&lt;66,Y997,Z997,AA997,R997&lt;8.25)</f>
        <v/>
      </c>
      <c r="AC997">
        <f>IF(C997+D997&lt;66,0,IF((C997+D997)/2&gt;=80,5,IF((C997+D997)/2&gt;=70,4,IF((C997+D997)/2&gt;=60,3.5,IF((C997+D997)/2&gt;=50,3,IF((C997+D997)/2&gt;=40,2,IF((C997+D997)/2&gt;=33,1,0)))))))</f>
        <v/>
      </c>
      <c r="AD997">
        <f>IF(E997+F997&lt;66,0,IF((E997+F997)/2&gt;=80,5,IF((E997+F997)/2&gt;=70,4,IF((E997+F997)/2&gt;=60,3.5,IF((E997+F997)/2&gt;=50,3,IF((E997+F997)/2&gt;=40,2,IF((E997+F997)/2&gt;=33,1,0)))))))</f>
        <v/>
      </c>
      <c r="AE997">
        <f>IF(G997&lt;33,0,IF(G997&gt;=80,5,IF(G997&gt;=70,4,IF(G997&gt;=60,3.5,IF(G997&gt;=50,3,IF(G997&gt;=40,2,IF(G997&gt;=33,1,0)))))))</f>
        <v/>
      </c>
      <c r="AF997">
        <f>IF(H997+I997&lt;66,0,IF((H997+I997)/2&gt;=80,5,IF((H997+I997)/2&gt;=70,4,IF((H997+I997)/2&gt;=60,3.5,IF((H997+I997)/2&gt;=50,3,IF((H997+I997)/2&gt;=40,2,IF((H997+I997)/2&gt;=33,1,0)))))))</f>
        <v/>
      </c>
      <c r="AG997">
        <f>IF(Y997,0,IF((J997+K997+L997+M997)/2&gt;=80,5,IF((J997+K997+L997+M997)/2&gt;=70,4,IF((J997+K997+L997+M997)/2&gt;=60,3.5,IF((J997+K997+L997+M997)/2&gt;=50,3,IF((J997+K997+L997+M997)/2&gt;=40,2,IF((J997+K997+L997+M997)/2&gt;=33,1,0)))))))</f>
        <v/>
      </c>
      <c r="AH997">
        <f>IF(Z997,0,IF(N997+O997&gt;=80,5,IF(N997+O997&gt;=70,4,IF(N997+O997&gt;=60,3.5,IF(N997+O997&gt;=50,3,IF(N997+O997&gt;=40,2,IF(N997+O997&gt;=33,1,0)))))))</f>
        <v/>
      </c>
      <c r="AI997">
        <f>IF(AA997,0,IF(P997+Q997&gt;=80,5,IF(P997+Q997&gt;=70,4,IF(P997+Q997&gt;=60,3.5,IF(P997+Q997&gt;=50,3,IF(P997+Q997&gt;=40,2,IF(P997+Q997&gt;=33,1,0)))))))</f>
        <v/>
      </c>
      <c r="AJ997">
        <f>IF(R997&lt;8.25,0,IF(R997*2&gt;=80,5,IF(R997*2&gt;=70,4,IF(R997*2&gt;=60,3.5,IF(R997*2&gt;=50,3,IF(R997*2&gt;=40,2,IF(R997*2&gt;=33,1,0)))))))</f>
        <v/>
      </c>
      <c r="AK997">
        <f>IF(S997&lt;33,0,IF(S997&gt;=80,5,IF(S997&gt;=70,4,IF(S997&gt;=60,3.5,IF(S997&gt;=50,3,IF(S997&gt;=40,2,IF(S997&gt;=33,1,0)))))))</f>
        <v/>
      </c>
      <c r="AL997">
        <f>(AC997+AD997+AE997+AF997+AG997+AH997+AI997+AJ997)/8</f>
        <v/>
      </c>
      <c r="AM997">
        <f>IF(AK997&gt;=2,(AK997-2)/8,0)</f>
        <v/>
      </c>
    </row>
    <row r="998">
      <c r="T998">
        <f>SUM(C998:R998)</f>
        <v/>
      </c>
      <c r="U998" s="6">
        <f>ROUND(T998/11.5,2)</f>
        <v/>
      </c>
      <c r="V998" s="7">
        <f>IF(B998="","",IF(AB998,0,ROUND(AL998,2)))</f>
        <v/>
      </c>
      <c r="W998" s="7">
        <f>IF(B998="","",IF(AB998,0,MIN(5,ROUND(AL998+AM998,2))))</f>
        <v/>
      </c>
      <c r="X998" s="8">
        <f>IF(B998="","",IF(W998&gt;=5,"A+",IF(W998&gt;=4,"A",IF(W998&gt;=3.5,"A-",IF(W998&gt;=3,"B",IF(W998&gt;=2,"C",IF(W998&gt;=1,"D","F")))))))</f>
        <v/>
      </c>
      <c r="Y998">
        <f>NOT(OR(AND(J998&gt;=10,K998&gt;=23,L998&gt;=10,M998&gt;=23),AND(J998+L998&gt;=20,K998+M998&gt;=46)))</f>
        <v/>
      </c>
      <c r="Z998">
        <f>OR(N998&lt;10,O998&lt;23)</f>
        <v/>
      </c>
      <c r="AA998">
        <f>OR(P998&lt;10,Q998&lt;23)</f>
        <v/>
      </c>
      <c r="AB998">
        <f>OR((C998+D998)&lt;66,(E998+F998)&lt;66,G998&lt;33,(H998+I998)&lt;66,Y998,Z998,AA998,R998&lt;8.25)</f>
        <v/>
      </c>
      <c r="AC998">
        <f>IF(C998+D998&lt;66,0,IF((C998+D998)/2&gt;=80,5,IF((C998+D998)/2&gt;=70,4,IF((C998+D998)/2&gt;=60,3.5,IF((C998+D998)/2&gt;=50,3,IF((C998+D998)/2&gt;=40,2,IF((C998+D998)/2&gt;=33,1,0)))))))</f>
        <v/>
      </c>
      <c r="AD998">
        <f>IF(E998+F998&lt;66,0,IF((E998+F998)/2&gt;=80,5,IF((E998+F998)/2&gt;=70,4,IF((E998+F998)/2&gt;=60,3.5,IF((E998+F998)/2&gt;=50,3,IF((E998+F998)/2&gt;=40,2,IF((E998+F998)/2&gt;=33,1,0)))))))</f>
        <v/>
      </c>
      <c r="AE998">
        <f>IF(G998&lt;33,0,IF(G998&gt;=80,5,IF(G998&gt;=70,4,IF(G998&gt;=60,3.5,IF(G998&gt;=50,3,IF(G998&gt;=40,2,IF(G998&gt;=33,1,0)))))))</f>
        <v/>
      </c>
      <c r="AF998">
        <f>IF(H998+I998&lt;66,0,IF((H998+I998)/2&gt;=80,5,IF((H998+I998)/2&gt;=70,4,IF((H998+I998)/2&gt;=60,3.5,IF((H998+I998)/2&gt;=50,3,IF((H998+I998)/2&gt;=40,2,IF((H998+I998)/2&gt;=33,1,0)))))))</f>
        <v/>
      </c>
      <c r="AG998">
        <f>IF(Y998,0,IF((J998+K998+L998+M998)/2&gt;=80,5,IF((J998+K998+L998+M998)/2&gt;=70,4,IF((J998+K998+L998+M998)/2&gt;=60,3.5,IF((J998+K998+L998+M998)/2&gt;=50,3,IF((J998+K998+L998+M998)/2&gt;=40,2,IF((J998+K998+L998+M998)/2&gt;=33,1,0)))))))</f>
        <v/>
      </c>
      <c r="AH998">
        <f>IF(Z998,0,IF(N998+O998&gt;=80,5,IF(N998+O998&gt;=70,4,IF(N998+O998&gt;=60,3.5,IF(N998+O998&gt;=50,3,IF(N998+O998&gt;=40,2,IF(N998+O998&gt;=33,1,0)))))))</f>
        <v/>
      </c>
      <c r="AI998">
        <f>IF(AA998,0,IF(P998+Q998&gt;=80,5,IF(P998+Q998&gt;=70,4,IF(P998+Q998&gt;=60,3.5,IF(P998+Q998&gt;=50,3,IF(P998+Q998&gt;=40,2,IF(P998+Q998&gt;=33,1,0)))))))</f>
        <v/>
      </c>
      <c r="AJ998">
        <f>IF(R998&lt;8.25,0,IF(R998*2&gt;=80,5,IF(R998*2&gt;=70,4,IF(R998*2&gt;=60,3.5,IF(R998*2&gt;=50,3,IF(R998*2&gt;=40,2,IF(R998*2&gt;=33,1,0)))))))</f>
        <v/>
      </c>
      <c r="AK998">
        <f>IF(S998&lt;33,0,IF(S998&gt;=80,5,IF(S998&gt;=70,4,IF(S998&gt;=60,3.5,IF(S998&gt;=50,3,IF(S998&gt;=40,2,IF(S998&gt;=33,1,0)))))))</f>
        <v/>
      </c>
      <c r="AL998">
        <f>(AC998+AD998+AE998+AF998+AG998+AH998+AI998+AJ998)/8</f>
        <v/>
      </c>
      <c r="AM998">
        <f>IF(AK998&gt;=2,(AK998-2)/8,0)</f>
        <v/>
      </c>
    </row>
    <row r="999">
      <c r="T999">
        <f>SUM(C999:R999)</f>
        <v/>
      </c>
      <c r="U999" s="6">
        <f>ROUND(T999/11.5,2)</f>
        <v/>
      </c>
      <c r="V999" s="7">
        <f>IF(B999="","",IF(AB999,0,ROUND(AL999,2)))</f>
        <v/>
      </c>
      <c r="W999" s="7">
        <f>IF(B999="","",IF(AB999,0,MIN(5,ROUND(AL999+AM999,2))))</f>
        <v/>
      </c>
      <c r="X999" s="8">
        <f>IF(B999="","",IF(W999&gt;=5,"A+",IF(W999&gt;=4,"A",IF(W999&gt;=3.5,"A-",IF(W999&gt;=3,"B",IF(W999&gt;=2,"C",IF(W999&gt;=1,"D","F")))))))</f>
        <v/>
      </c>
      <c r="Y999">
        <f>NOT(OR(AND(J999&gt;=10,K999&gt;=23,L999&gt;=10,M999&gt;=23),AND(J999+L999&gt;=20,K999+M999&gt;=46)))</f>
        <v/>
      </c>
      <c r="Z999">
        <f>OR(N999&lt;10,O999&lt;23)</f>
        <v/>
      </c>
      <c r="AA999">
        <f>OR(P999&lt;10,Q999&lt;23)</f>
        <v/>
      </c>
      <c r="AB999">
        <f>OR((C999+D999)&lt;66,(E999+F999)&lt;66,G999&lt;33,(H999+I999)&lt;66,Y999,Z999,AA999,R999&lt;8.25)</f>
        <v/>
      </c>
      <c r="AC999">
        <f>IF(C999+D999&lt;66,0,IF((C999+D999)/2&gt;=80,5,IF((C999+D999)/2&gt;=70,4,IF((C999+D999)/2&gt;=60,3.5,IF((C999+D999)/2&gt;=50,3,IF((C999+D999)/2&gt;=40,2,IF((C999+D999)/2&gt;=33,1,0)))))))</f>
        <v/>
      </c>
      <c r="AD999">
        <f>IF(E999+F999&lt;66,0,IF((E999+F999)/2&gt;=80,5,IF((E999+F999)/2&gt;=70,4,IF((E999+F999)/2&gt;=60,3.5,IF((E999+F999)/2&gt;=50,3,IF((E999+F999)/2&gt;=40,2,IF((E999+F999)/2&gt;=33,1,0)))))))</f>
        <v/>
      </c>
      <c r="AE999">
        <f>IF(G999&lt;33,0,IF(G999&gt;=80,5,IF(G999&gt;=70,4,IF(G999&gt;=60,3.5,IF(G999&gt;=50,3,IF(G999&gt;=40,2,IF(G999&gt;=33,1,0)))))))</f>
        <v/>
      </c>
      <c r="AF999">
        <f>IF(H999+I999&lt;66,0,IF((H999+I999)/2&gt;=80,5,IF((H999+I999)/2&gt;=70,4,IF((H999+I999)/2&gt;=60,3.5,IF((H999+I999)/2&gt;=50,3,IF((H999+I999)/2&gt;=40,2,IF((H999+I999)/2&gt;=33,1,0)))))))</f>
        <v/>
      </c>
      <c r="AG999">
        <f>IF(Y999,0,IF((J999+K999+L999+M999)/2&gt;=80,5,IF((J999+K999+L999+M999)/2&gt;=70,4,IF((J999+K999+L999+M999)/2&gt;=60,3.5,IF((J999+K999+L999+M999)/2&gt;=50,3,IF((J999+K999+L999+M999)/2&gt;=40,2,IF((J999+K999+L999+M999)/2&gt;=33,1,0)))))))</f>
        <v/>
      </c>
      <c r="AH999">
        <f>IF(Z999,0,IF(N999+O999&gt;=80,5,IF(N999+O999&gt;=70,4,IF(N999+O999&gt;=60,3.5,IF(N999+O999&gt;=50,3,IF(N999+O999&gt;=40,2,IF(N999+O999&gt;=33,1,0)))))))</f>
        <v/>
      </c>
      <c r="AI999">
        <f>IF(AA999,0,IF(P999+Q999&gt;=80,5,IF(P999+Q999&gt;=70,4,IF(P999+Q999&gt;=60,3.5,IF(P999+Q999&gt;=50,3,IF(P999+Q999&gt;=40,2,IF(P999+Q999&gt;=33,1,0)))))))</f>
        <v/>
      </c>
      <c r="AJ999">
        <f>IF(R999&lt;8.25,0,IF(R999*2&gt;=80,5,IF(R999*2&gt;=70,4,IF(R999*2&gt;=60,3.5,IF(R999*2&gt;=50,3,IF(R999*2&gt;=40,2,IF(R999*2&gt;=33,1,0)))))))</f>
        <v/>
      </c>
      <c r="AK999">
        <f>IF(S999&lt;33,0,IF(S999&gt;=80,5,IF(S999&gt;=70,4,IF(S999&gt;=60,3.5,IF(S999&gt;=50,3,IF(S999&gt;=40,2,IF(S999&gt;=33,1,0)))))))</f>
        <v/>
      </c>
      <c r="AL999">
        <f>(AC999+AD999+AE999+AF999+AG999+AH999+AI999+AJ999)/8</f>
        <v/>
      </c>
      <c r="AM999">
        <f>IF(AK999&gt;=2,(AK999-2)/8,0)</f>
        <v/>
      </c>
    </row>
    <row r="1000">
      <c r="T1000">
        <f>SUM(C1000:R1000)</f>
        <v/>
      </c>
      <c r="U1000" s="6">
        <f>ROUND(T1000/11.5,2)</f>
        <v/>
      </c>
      <c r="V1000" s="7">
        <f>IF(B1000="","",IF(AB1000,0,ROUND(AL1000,2)))</f>
        <v/>
      </c>
      <c r="W1000" s="7">
        <f>IF(B1000="","",IF(AB1000,0,MIN(5,ROUND(AL1000+AM1000,2))))</f>
        <v/>
      </c>
      <c r="X1000" s="8">
        <f>IF(B1000="","",IF(W1000&gt;=5,"A+",IF(W1000&gt;=4,"A",IF(W1000&gt;=3.5,"A-",IF(W1000&gt;=3,"B",IF(W1000&gt;=2,"C",IF(W1000&gt;=1,"D","F")))))))</f>
        <v/>
      </c>
      <c r="Y1000">
        <f>NOT(OR(AND(J1000&gt;=10,K1000&gt;=23,L1000&gt;=10,M1000&gt;=23),AND(J1000+L1000&gt;=20,K1000+M1000&gt;=46)))</f>
        <v/>
      </c>
      <c r="Z1000">
        <f>OR(N1000&lt;10,O1000&lt;23)</f>
        <v/>
      </c>
      <c r="AA1000">
        <f>OR(P1000&lt;10,Q1000&lt;23)</f>
        <v/>
      </c>
      <c r="AB1000">
        <f>OR((C1000+D1000)&lt;66,(E1000+F1000)&lt;66,G1000&lt;33,(H1000+I1000)&lt;66,Y1000,Z1000,AA1000,R1000&lt;8.25)</f>
        <v/>
      </c>
      <c r="AC1000">
        <f>IF(C1000+D1000&lt;66,0,IF((C1000+D1000)/2&gt;=80,5,IF((C1000+D1000)/2&gt;=70,4,IF((C1000+D1000)/2&gt;=60,3.5,IF((C1000+D1000)/2&gt;=50,3,IF((C1000+D1000)/2&gt;=40,2,IF((C1000+D1000)/2&gt;=33,1,0)))))))</f>
        <v/>
      </c>
      <c r="AD1000">
        <f>IF(E1000+F1000&lt;66,0,IF((E1000+F1000)/2&gt;=80,5,IF((E1000+F1000)/2&gt;=70,4,IF((E1000+F1000)/2&gt;=60,3.5,IF((E1000+F1000)/2&gt;=50,3,IF((E1000+F1000)/2&gt;=40,2,IF((E1000+F1000)/2&gt;=33,1,0)))))))</f>
        <v/>
      </c>
      <c r="AE1000">
        <f>IF(G1000&lt;33,0,IF(G1000&gt;=80,5,IF(G1000&gt;=70,4,IF(G1000&gt;=60,3.5,IF(G1000&gt;=50,3,IF(G1000&gt;=40,2,IF(G1000&gt;=33,1,0)))))))</f>
        <v/>
      </c>
      <c r="AF1000">
        <f>IF(H1000+I1000&lt;66,0,IF((H1000+I1000)/2&gt;=80,5,IF((H1000+I1000)/2&gt;=70,4,IF((H1000+I1000)/2&gt;=60,3.5,IF((H1000+I1000)/2&gt;=50,3,IF((H1000+I1000)/2&gt;=40,2,IF((H1000+I1000)/2&gt;=33,1,0)))))))</f>
        <v/>
      </c>
      <c r="AG1000">
        <f>IF(Y1000,0,IF((J1000+K1000+L1000+M1000)/2&gt;=80,5,IF((J1000+K1000+L1000+M1000)/2&gt;=70,4,IF((J1000+K1000+L1000+M1000)/2&gt;=60,3.5,IF((J1000+K1000+L1000+M1000)/2&gt;=50,3,IF((J1000+K1000+L1000+M1000)/2&gt;=40,2,IF((J1000+K1000+L1000+M1000)/2&gt;=33,1,0)))))))</f>
        <v/>
      </c>
      <c r="AH1000">
        <f>IF(Z1000,0,IF(N1000+O1000&gt;=80,5,IF(N1000+O1000&gt;=70,4,IF(N1000+O1000&gt;=60,3.5,IF(N1000+O1000&gt;=50,3,IF(N1000+O1000&gt;=40,2,IF(N1000+O1000&gt;=33,1,0)))))))</f>
        <v/>
      </c>
      <c r="AI1000">
        <f>IF(AA1000,0,IF(P1000+Q1000&gt;=80,5,IF(P1000+Q1000&gt;=70,4,IF(P1000+Q1000&gt;=60,3.5,IF(P1000+Q1000&gt;=50,3,IF(P1000+Q1000&gt;=40,2,IF(P1000+Q1000&gt;=33,1,0)))))))</f>
        <v/>
      </c>
      <c r="AJ1000">
        <f>IF(R1000&lt;8.25,0,IF(R1000*2&gt;=80,5,IF(R1000*2&gt;=70,4,IF(R1000*2&gt;=60,3.5,IF(R1000*2&gt;=50,3,IF(R1000*2&gt;=40,2,IF(R1000*2&gt;=33,1,0)))))))</f>
        <v/>
      </c>
      <c r="AK1000">
        <f>IF(S1000&lt;33,0,IF(S1000&gt;=80,5,IF(S1000&gt;=70,4,IF(S1000&gt;=60,3.5,IF(S1000&gt;=50,3,IF(S1000&gt;=40,2,IF(S1000&gt;=33,1,0)))))))</f>
        <v/>
      </c>
      <c r="AL1000">
        <f>(AC1000+AD1000+AE1000+AF1000+AG1000+AH1000+AI1000+AJ1000)/8</f>
        <v/>
      </c>
      <c r="AM1000">
        <f>IF(AK1000&gt;=2,(AK1000-2)/8,0)</f>
        <v/>
      </c>
    </row>
    <row r="1001">
      <c r="T1001">
        <f>SUM(C1001:R1001)</f>
        <v/>
      </c>
      <c r="U1001" s="6">
        <f>ROUND(T1001/11.5,2)</f>
        <v/>
      </c>
      <c r="V1001" s="7">
        <f>IF(B1001="","",IF(AB1001,0,ROUND(AL1001,2)))</f>
        <v/>
      </c>
      <c r="W1001" s="7">
        <f>IF(B1001="","",IF(AB1001,0,MIN(5,ROUND(AL1001+AM1001,2))))</f>
        <v/>
      </c>
      <c r="X1001" s="8">
        <f>IF(B1001="","",IF(W1001&gt;=5,"A+",IF(W1001&gt;=4,"A",IF(W1001&gt;=3.5,"A-",IF(W1001&gt;=3,"B",IF(W1001&gt;=2,"C",IF(W1001&gt;=1,"D","F")))))))</f>
        <v/>
      </c>
      <c r="Y1001">
        <f>NOT(OR(AND(J1001&gt;=10,K1001&gt;=23,L1001&gt;=10,M1001&gt;=23),AND(J1001+L1001&gt;=20,K1001+M1001&gt;=46)))</f>
        <v/>
      </c>
      <c r="Z1001">
        <f>OR(N1001&lt;10,O1001&lt;23)</f>
        <v/>
      </c>
      <c r="AA1001">
        <f>OR(P1001&lt;10,Q1001&lt;23)</f>
        <v/>
      </c>
      <c r="AB1001">
        <f>OR((C1001+D1001)&lt;66,(E1001+F1001)&lt;66,G1001&lt;33,(H1001+I1001)&lt;66,Y1001,Z1001,AA1001,R1001&lt;8.25)</f>
        <v/>
      </c>
      <c r="AC1001">
        <f>IF(C1001+D1001&lt;66,0,IF((C1001+D1001)/2&gt;=80,5,IF((C1001+D1001)/2&gt;=70,4,IF((C1001+D1001)/2&gt;=60,3.5,IF((C1001+D1001)/2&gt;=50,3,IF((C1001+D1001)/2&gt;=40,2,IF((C1001+D1001)/2&gt;=33,1,0)))))))</f>
        <v/>
      </c>
      <c r="AD1001">
        <f>IF(E1001+F1001&lt;66,0,IF((E1001+F1001)/2&gt;=80,5,IF((E1001+F1001)/2&gt;=70,4,IF((E1001+F1001)/2&gt;=60,3.5,IF((E1001+F1001)/2&gt;=50,3,IF((E1001+F1001)/2&gt;=40,2,IF((E1001+F1001)/2&gt;=33,1,0)))))))</f>
        <v/>
      </c>
      <c r="AE1001">
        <f>IF(G1001&lt;33,0,IF(G1001&gt;=80,5,IF(G1001&gt;=70,4,IF(G1001&gt;=60,3.5,IF(G1001&gt;=50,3,IF(G1001&gt;=40,2,IF(G1001&gt;=33,1,0)))))))</f>
        <v/>
      </c>
      <c r="AF1001">
        <f>IF(H1001+I1001&lt;66,0,IF((H1001+I1001)/2&gt;=80,5,IF((H1001+I1001)/2&gt;=70,4,IF((H1001+I1001)/2&gt;=60,3.5,IF((H1001+I1001)/2&gt;=50,3,IF((H1001+I1001)/2&gt;=40,2,IF((H1001+I1001)/2&gt;=33,1,0)))))))</f>
        <v/>
      </c>
      <c r="AG1001">
        <f>IF(Y1001,0,IF((J1001+K1001+L1001+M1001)/2&gt;=80,5,IF((J1001+K1001+L1001+M1001)/2&gt;=70,4,IF((J1001+K1001+L1001+M1001)/2&gt;=60,3.5,IF((J1001+K1001+L1001+M1001)/2&gt;=50,3,IF((J1001+K1001+L1001+M1001)/2&gt;=40,2,IF((J1001+K1001+L1001+M1001)/2&gt;=33,1,0)))))))</f>
        <v/>
      </c>
      <c r="AH1001">
        <f>IF(Z1001,0,IF(N1001+O1001&gt;=80,5,IF(N1001+O1001&gt;=70,4,IF(N1001+O1001&gt;=60,3.5,IF(N1001+O1001&gt;=50,3,IF(N1001+O1001&gt;=40,2,IF(N1001+O1001&gt;=33,1,0)))))))</f>
        <v/>
      </c>
      <c r="AI1001">
        <f>IF(AA1001,0,IF(P1001+Q1001&gt;=80,5,IF(P1001+Q1001&gt;=70,4,IF(P1001+Q1001&gt;=60,3.5,IF(P1001+Q1001&gt;=50,3,IF(P1001+Q1001&gt;=40,2,IF(P1001+Q1001&gt;=33,1,0)))))))</f>
        <v/>
      </c>
      <c r="AJ1001">
        <f>IF(R1001&lt;8.25,0,IF(R1001*2&gt;=80,5,IF(R1001*2&gt;=70,4,IF(R1001*2&gt;=60,3.5,IF(R1001*2&gt;=50,3,IF(R1001*2&gt;=40,2,IF(R1001*2&gt;=33,1,0)))))))</f>
        <v/>
      </c>
      <c r="AK1001">
        <f>IF(S1001&lt;33,0,IF(S1001&gt;=80,5,IF(S1001&gt;=70,4,IF(S1001&gt;=60,3.5,IF(S1001&gt;=50,3,IF(S1001&gt;=40,2,IF(S1001&gt;=33,1,0)))))))</f>
        <v/>
      </c>
      <c r="AL1001">
        <f>(AC1001+AD1001+AE1001+AF1001+AG1001+AH1001+AI1001+AJ1001)/8</f>
        <v/>
      </c>
      <c r="AM1001">
        <f>IF(AK1001&gt;=2,(AK1001-2)/8,0)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4" max="4"/>
    <col width="12" customWidth="1" min="5" max="5"/>
    <col width="18" customWidth="1" min="8" max="8"/>
  </cols>
  <sheetData>
    <row r="1">
      <c r="A1" s="9" t="inlineStr">
        <is>
          <t>📊 ACADEMIC RESULTS DASHBOARD</t>
        </is>
      </c>
    </row>
    <row r="2"/>
    <row r="4">
      <c r="A4" s="10" t="inlineStr">
        <is>
          <t>SUMMARY STATISTICS</t>
        </is>
      </c>
    </row>
    <row r="5">
      <c r="B5" s="11" t="inlineStr">
        <is>
          <t>Total Students:</t>
        </is>
      </c>
      <c r="C5" s="12">
        <f>COUNTA('Data Source'!B:B)-1</f>
        <v/>
      </c>
      <c r="E5" s="11" t="inlineStr">
        <is>
          <t>Average GPA:</t>
        </is>
      </c>
      <c r="F5" s="13">
        <f>IFERROR(ROUND(AVERAGE('Data Source'!W:W),2), 0)</f>
        <v/>
      </c>
      <c r="H5" s="11" t="inlineStr">
        <is>
          <t>Highest Total:</t>
        </is>
      </c>
      <c r="I5" s="12">
        <f>MAX('Data Source'!T:T)</f>
        <v/>
      </c>
      <c r="K5" s="11" t="inlineStr">
        <is>
          <t>Pass Rate:</t>
        </is>
      </c>
      <c r="L5" s="14">
        <f>IF(C5&gt;0,COUNTIF('Data Source'!W:W,"&gt;0")/C5,0)</f>
        <v/>
      </c>
    </row>
    <row r="7">
      <c r="A7" s="15" t="inlineStr">
        <is>
          <t>GRADE DISTRIBUTION</t>
        </is>
      </c>
      <c r="D7" s="15" t="inlineStr">
        <is>
          <t>SUBJECT-WISE AVERAGE</t>
        </is>
      </c>
      <c r="G7" s="15" t="inlineStr">
        <is>
          <t>TOP 5 STUDENTS</t>
        </is>
      </c>
    </row>
    <row r="8">
      <c r="A8" s="16" t="inlineStr">
        <is>
          <t>Grade</t>
        </is>
      </c>
      <c r="B8" s="16" t="inlineStr">
        <is>
          <t>Count</t>
        </is>
      </c>
      <c r="D8" s="11" t="inlineStr">
        <is>
          <t>Subject</t>
        </is>
      </c>
      <c r="E8" s="16" t="inlineStr">
        <is>
          <t>Avg</t>
        </is>
      </c>
      <c r="F8" s="16" t="inlineStr">
        <is>
          <t>%</t>
        </is>
      </c>
      <c r="G8" s="16" t="inlineStr">
        <is>
          <t>Rank</t>
        </is>
      </c>
      <c r="H8" s="11" t="inlineStr">
        <is>
          <t>Name</t>
        </is>
      </c>
      <c r="I8" s="16" t="inlineStr">
        <is>
          <t>GPA</t>
        </is>
      </c>
    </row>
    <row r="9">
      <c r="A9" s="8" t="inlineStr">
        <is>
          <t>A+</t>
        </is>
      </c>
      <c r="B9" s="8">
        <f>COUNTIF('Data Source'!X:X,"A+")</f>
        <v/>
      </c>
      <c r="D9" t="inlineStr">
        <is>
          <t>Quran Mazid</t>
        </is>
      </c>
      <c r="E9" s="7">
        <f>IFERROR(ROUND(AVERAGE('Data Source'!C:C),2),0)</f>
        <v/>
      </c>
      <c r="F9" s="17">
        <f>IFERROR(ROUND(E9/100*100,1),0)</f>
        <v/>
      </c>
      <c r="G9" s="8" t="n">
        <v>1</v>
      </c>
      <c r="H9" s="18">
        <f>IFERROR(INDEX('Data Source'!$B:$B,MATCH(I9,'Data Source'!$W:$W,0)),"")</f>
        <v/>
      </c>
      <c r="I9" s="7">
        <f>IFERROR(LARGE('Data Source'!$W:$W,1),"")</f>
        <v/>
      </c>
    </row>
    <row r="10">
      <c r="A10" s="8" t="inlineStr">
        <is>
          <t>A</t>
        </is>
      </c>
      <c r="B10" s="8">
        <f>COUNTIF('Data Source'!X:X,"A")</f>
        <v/>
      </c>
      <c r="D10" t="inlineStr">
        <is>
          <t>Arabic (Comb.)</t>
        </is>
      </c>
      <c r="E10" s="7">
        <f>IFERROR(ROUND(AVERAGE('Data Source'!E3:E22+'Data Source'!F3:F22),2),0)</f>
        <v/>
      </c>
      <c r="F10" s="17">
        <f>IFERROR(ROUND(E10/200*100,1),0)</f>
        <v/>
      </c>
      <c r="G10" s="8" t="n">
        <v>2</v>
      </c>
      <c r="H10" s="18">
        <f>IFERROR(INDEX('Data Source'!$B:$B,MATCH(I10,'Data Source'!$W:$W,0)),"")</f>
        <v/>
      </c>
      <c r="I10" s="7">
        <f>IFERROR(LARGE('Data Source'!$W:$W,2),"")</f>
        <v/>
      </c>
    </row>
    <row r="11">
      <c r="A11" s="8" t="inlineStr">
        <is>
          <t>A-</t>
        </is>
      </c>
      <c r="B11" s="8">
        <f>COUNTIF('Data Source'!X:X,"A-")</f>
        <v/>
      </c>
      <c r="D11" t="inlineStr">
        <is>
          <t>Aqaid</t>
        </is>
      </c>
      <c r="E11" s="7">
        <f>IFERROR(ROUND(AVERAGE('Data Source'!G:G),2),0)</f>
        <v/>
      </c>
      <c r="F11" s="17">
        <f>IFERROR(ROUND(E11/100*100,1),0)</f>
        <v/>
      </c>
      <c r="G11" s="8" t="n">
        <v>3</v>
      </c>
      <c r="H11" s="18">
        <f>IFERROR(INDEX('Data Source'!$B:$B,MATCH(I11,'Data Source'!$W:$W,0)),"")</f>
        <v/>
      </c>
      <c r="I11" s="7">
        <f>IFERROR(LARGE('Data Source'!$W:$W,3),"")</f>
        <v/>
      </c>
    </row>
    <row r="12">
      <c r="A12" s="8" t="inlineStr">
        <is>
          <t>B</t>
        </is>
      </c>
      <c r="B12" s="8">
        <f>COUNTIF('Data Source'!X:X,"B")</f>
        <v/>
      </c>
      <c r="D12" t="inlineStr">
        <is>
          <t>English (Comb.)</t>
        </is>
      </c>
      <c r="E12" s="7">
        <f>IFERROR(ROUND(AVERAGE('Data Source'!H3:H22+'Data Source'!I3:I22),2),0)</f>
        <v/>
      </c>
      <c r="F12" s="17">
        <f>IFERROR(ROUND(E12/200*100,1),0)</f>
        <v/>
      </c>
      <c r="G12" s="8" t="n">
        <v>4</v>
      </c>
      <c r="H12" s="18">
        <f>IFERROR(INDEX('Data Source'!$B:$B,MATCH(I12,'Data Source'!$W:$W,0)),"")</f>
        <v/>
      </c>
      <c r="I12" s="7">
        <f>IFERROR(LARGE('Data Source'!$W:$W,4),"")</f>
        <v/>
      </c>
    </row>
    <row r="13">
      <c r="A13" s="8" t="inlineStr">
        <is>
          <t>C</t>
        </is>
      </c>
      <c r="B13" s="8">
        <f>COUNTIF('Data Source'!X:X,"C")</f>
        <v/>
      </c>
      <c r="D13" t="inlineStr">
        <is>
          <t>Bangla (Comb.)</t>
        </is>
      </c>
      <c r="E13" s="7">
        <f>IFERROR(ROUND(AVERAGE('Data Source'!J3:J22+'Data Source'!K3:K22+'Data Source'!L3:L22+'Data Source'!M3:M22),2),0)</f>
        <v/>
      </c>
      <c r="F13" s="17">
        <f>IFERROR(ROUND(E13/200*100,1),0)</f>
        <v/>
      </c>
      <c r="G13" s="8" t="n">
        <v>5</v>
      </c>
      <c r="H13" s="18">
        <f>IFERROR(INDEX('Data Source'!$B:$B,MATCH(I13,'Data Source'!$W:$W,0)),"")</f>
        <v/>
      </c>
      <c r="I13" s="7">
        <f>IFERROR(LARGE('Data Source'!$W:$W,5),"")</f>
        <v/>
      </c>
    </row>
    <row r="14">
      <c r="A14" s="8" t="inlineStr">
        <is>
          <t>D</t>
        </is>
      </c>
      <c r="B14" s="8">
        <f>COUNTIF('Data Source'!X:X,"D")</f>
        <v/>
      </c>
      <c r="D14" t="inlineStr">
        <is>
          <t>Mathematics</t>
        </is>
      </c>
      <c r="E14" s="7">
        <f>IFERROR(ROUND(AVERAGE('Data Source'!N3:N22+'Data Source'!O3:O22),2),0)</f>
        <v/>
      </c>
      <c r="F14" s="17">
        <f>IFERROR(ROUND(E14/100*100,1),0)</f>
        <v/>
      </c>
    </row>
    <row r="15">
      <c r="A15" s="8" t="inlineStr">
        <is>
          <t>F</t>
        </is>
      </c>
      <c r="B15" s="8">
        <f>COUNTIF('Data Source'!X:X,"F")</f>
        <v/>
      </c>
      <c r="D15" t="inlineStr">
        <is>
          <t>Islamic History</t>
        </is>
      </c>
      <c r="E15" s="7">
        <f>IFERROR(ROUND(AVERAGE('Data Source'!P3:P22+'Data Source'!Q3:Q22),2),0)</f>
        <v/>
      </c>
      <c r="F15" s="17">
        <f>IFERROR(ROUND(E15/100*100,1),0)</f>
        <v/>
      </c>
    </row>
    <row r="16">
      <c r="D16" t="inlineStr">
        <is>
          <t>ICT</t>
        </is>
      </c>
      <c r="E16" s="7">
        <f>IFERROR(ROUND(AVERAGE('Data Source'!R:R),2),0)</f>
        <v/>
      </c>
      <c r="F16" s="17">
        <f>IFERROR(ROUND(E16/50*100,1),0)</f>
        <v/>
      </c>
    </row>
    <row r="17">
      <c r="D17" t="inlineStr">
        <is>
          <t>Agriculture</t>
        </is>
      </c>
      <c r="E17" s="7">
        <f>IFERROR(ROUND(AVERAGE('Data Source'!S:S),2),0)</f>
        <v/>
      </c>
      <c r="F17" s="17">
        <f>IFERROR(ROUND(E17/100*100,1),0)</f>
        <v/>
      </c>
    </row>
  </sheetData>
  <mergeCells count="1">
    <mergeCell ref="A1:L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 ht="30" customHeight="1">
      <c r="A1" s="19" t="inlineStr">
        <is>
          <t>SUBJECT-WISE GRADES</t>
        </is>
      </c>
    </row>
    <row r="2">
      <c r="A2" s="20" t="inlineStr">
        <is>
          <t>SL</t>
        </is>
      </c>
      <c r="B2" s="20" t="inlineStr">
        <is>
          <t>Name</t>
        </is>
      </c>
      <c r="C2" s="20" t="inlineStr">
        <is>
          <t>Quran+Hadith</t>
        </is>
      </c>
      <c r="D2" s="20" t="inlineStr">
        <is>
          <t>Arabic</t>
        </is>
      </c>
      <c r="E2" s="20" t="inlineStr">
        <is>
          <t>Aqaid</t>
        </is>
      </c>
      <c r="F2" s="20" t="inlineStr">
        <is>
          <t>English</t>
        </is>
      </c>
      <c r="G2" s="20" t="inlineStr">
        <is>
          <t>Bangla</t>
        </is>
      </c>
      <c r="H2" s="20" t="inlineStr">
        <is>
          <t>Math</t>
        </is>
      </c>
      <c r="I2" s="20" t="inlineStr">
        <is>
          <t>History</t>
        </is>
      </c>
      <c r="J2" s="20" t="inlineStr">
        <is>
          <t>ICT</t>
        </is>
      </c>
      <c r="K2" s="20" t="inlineStr">
        <is>
          <t>Agriculture</t>
        </is>
      </c>
      <c r="L2" s="20" t="inlineStr">
        <is>
          <t>Overall GPA</t>
        </is>
      </c>
      <c r="M2" s="20" t="inlineStr">
        <is>
          <t>Overall Grade</t>
        </is>
      </c>
    </row>
    <row r="3">
      <c r="A3" s="8">
        <f>'Data Source'!A2</f>
        <v/>
      </c>
      <c r="B3">
        <f>'Data Source'!B2</f>
        <v/>
      </c>
      <c r="C3" s="8">
        <f>IF('Data Source'!AC2&gt;=5,"A+",IF('Data Source'!AC2&gt;=4,"A",IF('Data Source'!AC2&gt;=3.5,"A-",IF('Data Source'!AC2&gt;=3,"B",IF('Data Source'!AC2&gt;=2,"C",IF('Data Source'!AC2&gt;=1,"D","F"))))))</f>
        <v/>
      </c>
      <c r="D3" s="8">
        <f>IF('Data Source'!AD2&gt;=5,"A+",IF('Data Source'!AD2&gt;=4,"A",IF('Data Source'!AD2&gt;=3.5,"A-",IF('Data Source'!AD2&gt;=3,"B",IF('Data Source'!AD2&gt;=2,"C",IF('Data Source'!AD2&gt;=1,"D","F"))))))</f>
        <v/>
      </c>
      <c r="E3" s="8">
        <f>IF('Data Source'!AE2&gt;=5,"A+",IF('Data Source'!AE2&gt;=4,"A",IF('Data Source'!AE2&gt;=3.5,"A-",IF('Data Source'!AE2&gt;=3,"B",IF('Data Source'!AE2&gt;=2,"C",IF('Data Source'!AE2&gt;=1,"D","F"))))))</f>
        <v/>
      </c>
      <c r="F3" s="8">
        <f>IF('Data Source'!AF2&gt;=5,"A+",IF('Data Source'!AF2&gt;=4,"A",IF('Data Source'!AF2&gt;=3.5,"A-",IF('Data Source'!AF2&gt;=3,"B",IF('Data Source'!AF2&gt;=2,"C",IF('Data Source'!AF2&gt;=1,"D","F"))))))</f>
        <v/>
      </c>
      <c r="G3" s="8">
        <f>IF('Data Source'!AG2&gt;=5,"A+",IF('Data Source'!AG2&gt;=4,"A",IF('Data Source'!AG2&gt;=3.5,"A-",IF('Data Source'!AG2&gt;=3,"B",IF('Data Source'!AG2&gt;=2,"C",IF('Data Source'!AG2&gt;=1,"D","F"))))))</f>
        <v/>
      </c>
      <c r="H3" s="8">
        <f>IF('Data Source'!AH2&gt;=5,"A+",IF('Data Source'!AH2&gt;=4,"A",IF('Data Source'!AH2&gt;=3.5,"A-",IF('Data Source'!AH2&gt;=3,"B",IF('Data Source'!AH2&gt;=2,"C",IF('Data Source'!AH2&gt;=1,"D","F"))))))</f>
        <v/>
      </c>
      <c r="I3" s="8">
        <f>IF('Data Source'!AI2&gt;=5,"A+",IF('Data Source'!AI2&gt;=4,"A",IF('Data Source'!AI2&gt;=3.5,"A-",IF('Data Source'!AI2&gt;=3,"B",IF('Data Source'!AI2&gt;=2,"C",IF('Data Source'!AI2&gt;=1,"D","F"))))))</f>
        <v/>
      </c>
      <c r="J3" s="8">
        <f>IF('Data Source'!AJ2&gt;=5,"A+",IF('Data Source'!AJ2&gt;=4,"A",IF('Data Source'!AJ2&gt;=3.5,"A-",IF('Data Source'!AJ2&gt;=3,"B",IF('Data Source'!AJ2&gt;=2,"C",IF('Data Source'!AJ2&gt;=1,"D","F"))))))</f>
        <v/>
      </c>
      <c r="K3" s="8">
        <f>IF('Data Source'!AK2&gt;=5,"A+",IF('Data Source'!AK2&gt;=4,"A",IF('Data Source'!AK2&gt;=3.5,"A-",IF('Data Source'!AK2&gt;=3,"B",IF('Data Source'!AK2&gt;=2,"C",IF('Data Source'!AK2&gt;=1,"D","F"))))))</f>
        <v/>
      </c>
      <c r="L3" s="7">
        <f>'Data Source'!W2</f>
        <v/>
      </c>
      <c r="M3" s="8">
        <f>'Data Source'!X2</f>
        <v/>
      </c>
    </row>
    <row r="4">
      <c r="A4" s="8">
        <f>'Data Source'!A3</f>
        <v/>
      </c>
      <c r="B4">
        <f>'Data Source'!B3</f>
        <v/>
      </c>
      <c r="C4" s="8">
        <f>IF('Data Source'!AC3&gt;=5,"A+",IF('Data Source'!AC3&gt;=4,"A",IF('Data Source'!AC3&gt;=3.5,"A-",IF('Data Source'!AC3&gt;=3,"B",IF('Data Source'!AC3&gt;=2,"C",IF('Data Source'!AC3&gt;=1,"D","F"))))))</f>
        <v/>
      </c>
      <c r="D4" s="8">
        <f>IF('Data Source'!AD3&gt;=5,"A+",IF('Data Source'!AD3&gt;=4,"A",IF('Data Source'!AD3&gt;=3.5,"A-",IF('Data Source'!AD3&gt;=3,"B",IF('Data Source'!AD3&gt;=2,"C",IF('Data Source'!AD3&gt;=1,"D","F"))))))</f>
        <v/>
      </c>
      <c r="E4" s="8">
        <f>IF('Data Source'!AE3&gt;=5,"A+",IF('Data Source'!AE3&gt;=4,"A",IF('Data Source'!AE3&gt;=3.5,"A-",IF('Data Source'!AE3&gt;=3,"B",IF('Data Source'!AE3&gt;=2,"C",IF('Data Source'!AE3&gt;=1,"D","F"))))))</f>
        <v/>
      </c>
      <c r="F4" s="8">
        <f>IF('Data Source'!AF3&gt;=5,"A+",IF('Data Source'!AF3&gt;=4,"A",IF('Data Source'!AF3&gt;=3.5,"A-",IF('Data Source'!AF3&gt;=3,"B",IF('Data Source'!AF3&gt;=2,"C",IF('Data Source'!AF3&gt;=1,"D","F"))))))</f>
        <v/>
      </c>
      <c r="G4" s="8">
        <f>IF('Data Source'!AG3&gt;=5,"A+",IF('Data Source'!AG3&gt;=4,"A",IF('Data Source'!AG3&gt;=3.5,"A-",IF('Data Source'!AG3&gt;=3,"B",IF('Data Source'!AG3&gt;=2,"C",IF('Data Source'!AG3&gt;=1,"D","F"))))))</f>
        <v/>
      </c>
      <c r="H4" s="8">
        <f>IF('Data Source'!AH3&gt;=5,"A+",IF('Data Source'!AH3&gt;=4,"A",IF('Data Source'!AH3&gt;=3.5,"A-",IF('Data Source'!AH3&gt;=3,"B",IF('Data Source'!AH3&gt;=2,"C",IF('Data Source'!AH3&gt;=1,"D","F"))))))</f>
        <v/>
      </c>
      <c r="I4" s="8">
        <f>IF('Data Source'!AI3&gt;=5,"A+",IF('Data Source'!AI3&gt;=4,"A",IF('Data Source'!AI3&gt;=3.5,"A-",IF('Data Source'!AI3&gt;=3,"B",IF('Data Source'!AI3&gt;=2,"C",IF('Data Source'!AI3&gt;=1,"D","F"))))))</f>
        <v/>
      </c>
      <c r="J4" s="8">
        <f>IF('Data Source'!AJ3&gt;=5,"A+",IF('Data Source'!AJ3&gt;=4,"A",IF('Data Source'!AJ3&gt;=3.5,"A-",IF('Data Source'!AJ3&gt;=3,"B",IF('Data Source'!AJ3&gt;=2,"C",IF('Data Source'!AJ3&gt;=1,"D","F"))))))</f>
        <v/>
      </c>
      <c r="K4" s="8">
        <f>IF('Data Source'!AK3&gt;=5,"A+",IF('Data Source'!AK3&gt;=4,"A",IF('Data Source'!AK3&gt;=3.5,"A-",IF('Data Source'!AK3&gt;=3,"B",IF('Data Source'!AK3&gt;=2,"C",IF('Data Source'!AK3&gt;=1,"D","F"))))))</f>
        <v/>
      </c>
      <c r="L4" s="7">
        <f>'Data Source'!W3</f>
        <v/>
      </c>
      <c r="M4" s="8">
        <f>'Data Source'!X3</f>
        <v/>
      </c>
    </row>
    <row r="5">
      <c r="A5" s="8">
        <f>'Data Source'!A4</f>
        <v/>
      </c>
      <c r="B5">
        <f>'Data Source'!B4</f>
        <v/>
      </c>
      <c r="C5" s="8">
        <f>IF('Data Source'!AC4&gt;=5,"A+",IF('Data Source'!AC4&gt;=4,"A",IF('Data Source'!AC4&gt;=3.5,"A-",IF('Data Source'!AC4&gt;=3,"B",IF('Data Source'!AC4&gt;=2,"C",IF('Data Source'!AC4&gt;=1,"D","F"))))))</f>
        <v/>
      </c>
      <c r="D5" s="8">
        <f>IF('Data Source'!AD4&gt;=5,"A+",IF('Data Source'!AD4&gt;=4,"A",IF('Data Source'!AD4&gt;=3.5,"A-",IF('Data Source'!AD4&gt;=3,"B",IF('Data Source'!AD4&gt;=2,"C",IF('Data Source'!AD4&gt;=1,"D","F"))))))</f>
        <v/>
      </c>
      <c r="E5" s="8">
        <f>IF('Data Source'!AE4&gt;=5,"A+",IF('Data Source'!AE4&gt;=4,"A",IF('Data Source'!AE4&gt;=3.5,"A-",IF('Data Source'!AE4&gt;=3,"B",IF('Data Source'!AE4&gt;=2,"C",IF('Data Source'!AE4&gt;=1,"D","F"))))))</f>
        <v/>
      </c>
      <c r="F5" s="8">
        <f>IF('Data Source'!AF4&gt;=5,"A+",IF('Data Source'!AF4&gt;=4,"A",IF('Data Source'!AF4&gt;=3.5,"A-",IF('Data Source'!AF4&gt;=3,"B",IF('Data Source'!AF4&gt;=2,"C",IF('Data Source'!AF4&gt;=1,"D","F"))))))</f>
        <v/>
      </c>
      <c r="G5" s="8">
        <f>IF('Data Source'!AG4&gt;=5,"A+",IF('Data Source'!AG4&gt;=4,"A",IF('Data Source'!AG4&gt;=3.5,"A-",IF('Data Source'!AG4&gt;=3,"B",IF('Data Source'!AG4&gt;=2,"C",IF('Data Source'!AG4&gt;=1,"D","F"))))))</f>
        <v/>
      </c>
      <c r="H5" s="8">
        <f>IF('Data Source'!AH4&gt;=5,"A+",IF('Data Source'!AH4&gt;=4,"A",IF('Data Source'!AH4&gt;=3.5,"A-",IF('Data Source'!AH4&gt;=3,"B",IF('Data Source'!AH4&gt;=2,"C",IF('Data Source'!AH4&gt;=1,"D","F"))))))</f>
        <v/>
      </c>
      <c r="I5" s="8">
        <f>IF('Data Source'!AI4&gt;=5,"A+",IF('Data Source'!AI4&gt;=4,"A",IF('Data Source'!AI4&gt;=3.5,"A-",IF('Data Source'!AI4&gt;=3,"B",IF('Data Source'!AI4&gt;=2,"C",IF('Data Source'!AI4&gt;=1,"D","F"))))))</f>
        <v/>
      </c>
      <c r="J5" s="8">
        <f>IF('Data Source'!AJ4&gt;=5,"A+",IF('Data Source'!AJ4&gt;=4,"A",IF('Data Source'!AJ4&gt;=3.5,"A-",IF('Data Source'!AJ4&gt;=3,"B",IF('Data Source'!AJ4&gt;=2,"C",IF('Data Source'!AJ4&gt;=1,"D","F"))))))</f>
        <v/>
      </c>
      <c r="K5" s="8">
        <f>IF('Data Source'!AK4&gt;=5,"A+",IF('Data Source'!AK4&gt;=4,"A",IF('Data Source'!AK4&gt;=3.5,"A-",IF('Data Source'!AK4&gt;=3,"B",IF('Data Source'!AK4&gt;=2,"C",IF('Data Source'!AK4&gt;=1,"D","F"))))))</f>
        <v/>
      </c>
      <c r="L5" s="7">
        <f>'Data Source'!W4</f>
        <v/>
      </c>
      <c r="M5" s="8">
        <f>'Data Source'!X4</f>
        <v/>
      </c>
    </row>
    <row r="6">
      <c r="A6" s="8">
        <f>'Data Source'!A5</f>
        <v/>
      </c>
      <c r="B6">
        <f>'Data Source'!B5</f>
        <v/>
      </c>
      <c r="C6" s="8">
        <f>IF('Data Source'!AC5&gt;=5,"A+",IF('Data Source'!AC5&gt;=4,"A",IF('Data Source'!AC5&gt;=3.5,"A-",IF('Data Source'!AC5&gt;=3,"B",IF('Data Source'!AC5&gt;=2,"C",IF('Data Source'!AC5&gt;=1,"D","F"))))))</f>
        <v/>
      </c>
      <c r="D6" s="8">
        <f>IF('Data Source'!AD5&gt;=5,"A+",IF('Data Source'!AD5&gt;=4,"A",IF('Data Source'!AD5&gt;=3.5,"A-",IF('Data Source'!AD5&gt;=3,"B",IF('Data Source'!AD5&gt;=2,"C",IF('Data Source'!AD5&gt;=1,"D","F"))))))</f>
        <v/>
      </c>
      <c r="E6" s="8">
        <f>IF('Data Source'!AE5&gt;=5,"A+",IF('Data Source'!AE5&gt;=4,"A",IF('Data Source'!AE5&gt;=3.5,"A-",IF('Data Source'!AE5&gt;=3,"B",IF('Data Source'!AE5&gt;=2,"C",IF('Data Source'!AE5&gt;=1,"D","F"))))))</f>
        <v/>
      </c>
      <c r="F6" s="8">
        <f>IF('Data Source'!AF5&gt;=5,"A+",IF('Data Source'!AF5&gt;=4,"A",IF('Data Source'!AF5&gt;=3.5,"A-",IF('Data Source'!AF5&gt;=3,"B",IF('Data Source'!AF5&gt;=2,"C",IF('Data Source'!AF5&gt;=1,"D","F"))))))</f>
        <v/>
      </c>
      <c r="G6" s="8">
        <f>IF('Data Source'!AG5&gt;=5,"A+",IF('Data Source'!AG5&gt;=4,"A",IF('Data Source'!AG5&gt;=3.5,"A-",IF('Data Source'!AG5&gt;=3,"B",IF('Data Source'!AG5&gt;=2,"C",IF('Data Source'!AG5&gt;=1,"D","F"))))))</f>
        <v/>
      </c>
      <c r="H6" s="8">
        <f>IF('Data Source'!AH5&gt;=5,"A+",IF('Data Source'!AH5&gt;=4,"A",IF('Data Source'!AH5&gt;=3.5,"A-",IF('Data Source'!AH5&gt;=3,"B",IF('Data Source'!AH5&gt;=2,"C",IF('Data Source'!AH5&gt;=1,"D","F"))))))</f>
        <v/>
      </c>
      <c r="I6" s="8">
        <f>IF('Data Source'!AI5&gt;=5,"A+",IF('Data Source'!AI5&gt;=4,"A",IF('Data Source'!AI5&gt;=3.5,"A-",IF('Data Source'!AI5&gt;=3,"B",IF('Data Source'!AI5&gt;=2,"C",IF('Data Source'!AI5&gt;=1,"D","F"))))))</f>
        <v/>
      </c>
      <c r="J6" s="8">
        <f>IF('Data Source'!AJ5&gt;=5,"A+",IF('Data Source'!AJ5&gt;=4,"A",IF('Data Source'!AJ5&gt;=3.5,"A-",IF('Data Source'!AJ5&gt;=3,"B",IF('Data Source'!AJ5&gt;=2,"C",IF('Data Source'!AJ5&gt;=1,"D","F"))))))</f>
        <v/>
      </c>
      <c r="K6" s="8">
        <f>IF('Data Source'!AK5&gt;=5,"A+",IF('Data Source'!AK5&gt;=4,"A",IF('Data Source'!AK5&gt;=3.5,"A-",IF('Data Source'!AK5&gt;=3,"B",IF('Data Source'!AK5&gt;=2,"C",IF('Data Source'!AK5&gt;=1,"D","F"))))))</f>
        <v/>
      </c>
      <c r="L6" s="7">
        <f>'Data Source'!W5</f>
        <v/>
      </c>
      <c r="M6" s="8">
        <f>'Data Source'!X5</f>
        <v/>
      </c>
    </row>
    <row r="7">
      <c r="A7" s="8">
        <f>'Data Source'!A6</f>
        <v/>
      </c>
      <c r="B7">
        <f>'Data Source'!B6</f>
        <v/>
      </c>
      <c r="C7" s="8">
        <f>IF('Data Source'!AC6&gt;=5,"A+",IF('Data Source'!AC6&gt;=4,"A",IF('Data Source'!AC6&gt;=3.5,"A-",IF('Data Source'!AC6&gt;=3,"B",IF('Data Source'!AC6&gt;=2,"C",IF('Data Source'!AC6&gt;=1,"D","F"))))))</f>
        <v/>
      </c>
      <c r="D7" s="8">
        <f>IF('Data Source'!AD6&gt;=5,"A+",IF('Data Source'!AD6&gt;=4,"A",IF('Data Source'!AD6&gt;=3.5,"A-",IF('Data Source'!AD6&gt;=3,"B",IF('Data Source'!AD6&gt;=2,"C",IF('Data Source'!AD6&gt;=1,"D","F"))))))</f>
        <v/>
      </c>
      <c r="E7" s="8">
        <f>IF('Data Source'!AE6&gt;=5,"A+",IF('Data Source'!AE6&gt;=4,"A",IF('Data Source'!AE6&gt;=3.5,"A-",IF('Data Source'!AE6&gt;=3,"B",IF('Data Source'!AE6&gt;=2,"C",IF('Data Source'!AE6&gt;=1,"D","F"))))))</f>
        <v/>
      </c>
      <c r="F7" s="8">
        <f>IF('Data Source'!AF6&gt;=5,"A+",IF('Data Source'!AF6&gt;=4,"A",IF('Data Source'!AF6&gt;=3.5,"A-",IF('Data Source'!AF6&gt;=3,"B",IF('Data Source'!AF6&gt;=2,"C",IF('Data Source'!AF6&gt;=1,"D","F"))))))</f>
        <v/>
      </c>
      <c r="G7" s="8">
        <f>IF('Data Source'!AG6&gt;=5,"A+",IF('Data Source'!AG6&gt;=4,"A",IF('Data Source'!AG6&gt;=3.5,"A-",IF('Data Source'!AG6&gt;=3,"B",IF('Data Source'!AG6&gt;=2,"C",IF('Data Source'!AG6&gt;=1,"D","F"))))))</f>
        <v/>
      </c>
      <c r="H7" s="8">
        <f>IF('Data Source'!AH6&gt;=5,"A+",IF('Data Source'!AH6&gt;=4,"A",IF('Data Source'!AH6&gt;=3.5,"A-",IF('Data Source'!AH6&gt;=3,"B",IF('Data Source'!AH6&gt;=2,"C",IF('Data Source'!AH6&gt;=1,"D","F"))))))</f>
        <v/>
      </c>
      <c r="I7" s="8">
        <f>IF('Data Source'!AI6&gt;=5,"A+",IF('Data Source'!AI6&gt;=4,"A",IF('Data Source'!AI6&gt;=3.5,"A-",IF('Data Source'!AI6&gt;=3,"B",IF('Data Source'!AI6&gt;=2,"C",IF('Data Source'!AI6&gt;=1,"D","F"))))))</f>
        <v/>
      </c>
      <c r="J7" s="8">
        <f>IF('Data Source'!AJ6&gt;=5,"A+",IF('Data Source'!AJ6&gt;=4,"A",IF('Data Source'!AJ6&gt;=3.5,"A-",IF('Data Source'!AJ6&gt;=3,"B",IF('Data Source'!AJ6&gt;=2,"C",IF('Data Source'!AJ6&gt;=1,"D","F"))))))</f>
        <v/>
      </c>
      <c r="K7" s="8">
        <f>IF('Data Source'!AK6&gt;=5,"A+",IF('Data Source'!AK6&gt;=4,"A",IF('Data Source'!AK6&gt;=3.5,"A-",IF('Data Source'!AK6&gt;=3,"B",IF('Data Source'!AK6&gt;=2,"C",IF('Data Source'!AK6&gt;=1,"D","F"))))))</f>
        <v/>
      </c>
      <c r="L7" s="7">
        <f>'Data Source'!W6</f>
        <v/>
      </c>
      <c r="M7" s="8">
        <f>'Data Source'!X6</f>
        <v/>
      </c>
    </row>
    <row r="8">
      <c r="A8" s="8">
        <f>'Data Source'!A7</f>
        <v/>
      </c>
      <c r="B8">
        <f>'Data Source'!B7</f>
        <v/>
      </c>
      <c r="C8" s="8">
        <f>IF('Data Source'!AC7&gt;=5,"A+",IF('Data Source'!AC7&gt;=4,"A",IF('Data Source'!AC7&gt;=3.5,"A-",IF('Data Source'!AC7&gt;=3,"B",IF('Data Source'!AC7&gt;=2,"C",IF('Data Source'!AC7&gt;=1,"D","F"))))))</f>
        <v/>
      </c>
      <c r="D8" s="8">
        <f>IF('Data Source'!AD7&gt;=5,"A+",IF('Data Source'!AD7&gt;=4,"A",IF('Data Source'!AD7&gt;=3.5,"A-",IF('Data Source'!AD7&gt;=3,"B",IF('Data Source'!AD7&gt;=2,"C",IF('Data Source'!AD7&gt;=1,"D","F"))))))</f>
        <v/>
      </c>
      <c r="E8" s="8">
        <f>IF('Data Source'!AE7&gt;=5,"A+",IF('Data Source'!AE7&gt;=4,"A",IF('Data Source'!AE7&gt;=3.5,"A-",IF('Data Source'!AE7&gt;=3,"B",IF('Data Source'!AE7&gt;=2,"C",IF('Data Source'!AE7&gt;=1,"D","F"))))))</f>
        <v/>
      </c>
      <c r="F8" s="8">
        <f>IF('Data Source'!AF7&gt;=5,"A+",IF('Data Source'!AF7&gt;=4,"A",IF('Data Source'!AF7&gt;=3.5,"A-",IF('Data Source'!AF7&gt;=3,"B",IF('Data Source'!AF7&gt;=2,"C",IF('Data Source'!AF7&gt;=1,"D","F"))))))</f>
        <v/>
      </c>
      <c r="G8" s="8">
        <f>IF('Data Source'!AG7&gt;=5,"A+",IF('Data Source'!AG7&gt;=4,"A",IF('Data Source'!AG7&gt;=3.5,"A-",IF('Data Source'!AG7&gt;=3,"B",IF('Data Source'!AG7&gt;=2,"C",IF('Data Source'!AG7&gt;=1,"D","F"))))))</f>
        <v/>
      </c>
      <c r="H8" s="8">
        <f>IF('Data Source'!AH7&gt;=5,"A+",IF('Data Source'!AH7&gt;=4,"A",IF('Data Source'!AH7&gt;=3.5,"A-",IF('Data Source'!AH7&gt;=3,"B",IF('Data Source'!AH7&gt;=2,"C",IF('Data Source'!AH7&gt;=1,"D","F"))))))</f>
        <v/>
      </c>
      <c r="I8" s="8">
        <f>IF('Data Source'!AI7&gt;=5,"A+",IF('Data Source'!AI7&gt;=4,"A",IF('Data Source'!AI7&gt;=3.5,"A-",IF('Data Source'!AI7&gt;=3,"B",IF('Data Source'!AI7&gt;=2,"C",IF('Data Source'!AI7&gt;=1,"D","F"))))))</f>
        <v/>
      </c>
      <c r="J8" s="8">
        <f>IF('Data Source'!AJ7&gt;=5,"A+",IF('Data Source'!AJ7&gt;=4,"A",IF('Data Source'!AJ7&gt;=3.5,"A-",IF('Data Source'!AJ7&gt;=3,"B",IF('Data Source'!AJ7&gt;=2,"C",IF('Data Source'!AJ7&gt;=1,"D","F"))))))</f>
        <v/>
      </c>
      <c r="K8" s="8">
        <f>IF('Data Source'!AK7&gt;=5,"A+",IF('Data Source'!AK7&gt;=4,"A",IF('Data Source'!AK7&gt;=3.5,"A-",IF('Data Source'!AK7&gt;=3,"B",IF('Data Source'!AK7&gt;=2,"C",IF('Data Source'!AK7&gt;=1,"D","F"))))))</f>
        <v/>
      </c>
      <c r="L8" s="7">
        <f>'Data Source'!W7</f>
        <v/>
      </c>
      <c r="M8" s="8">
        <f>'Data Source'!X7</f>
        <v/>
      </c>
    </row>
    <row r="9">
      <c r="A9" s="8">
        <f>'Data Source'!A8</f>
        <v/>
      </c>
      <c r="B9">
        <f>'Data Source'!B8</f>
        <v/>
      </c>
      <c r="C9" s="8">
        <f>IF('Data Source'!AC8&gt;=5,"A+",IF('Data Source'!AC8&gt;=4,"A",IF('Data Source'!AC8&gt;=3.5,"A-",IF('Data Source'!AC8&gt;=3,"B",IF('Data Source'!AC8&gt;=2,"C",IF('Data Source'!AC8&gt;=1,"D","F"))))))</f>
        <v/>
      </c>
      <c r="D9" s="8">
        <f>IF('Data Source'!AD8&gt;=5,"A+",IF('Data Source'!AD8&gt;=4,"A",IF('Data Source'!AD8&gt;=3.5,"A-",IF('Data Source'!AD8&gt;=3,"B",IF('Data Source'!AD8&gt;=2,"C",IF('Data Source'!AD8&gt;=1,"D","F"))))))</f>
        <v/>
      </c>
      <c r="E9" s="8">
        <f>IF('Data Source'!AE8&gt;=5,"A+",IF('Data Source'!AE8&gt;=4,"A",IF('Data Source'!AE8&gt;=3.5,"A-",IF('Data Source'!AE8&gt;=3,"B",IF('Data Source'!AE8&gt;=2,"C",IF('Data Source'!AE8&gt;=1,"D","F"))))))</f>
        <v/>
      </c>
      <c r="F9" s="8">
        <f>IF('Data Source'!AF8&gt;=5,"A+",IF('Data Source'!AF8&gt;=4,"A",IF('Data Source'!AF8&gt;=3.5,"A-",IF('Data Source'!AF8&gt;=3,"B",IF('Data Source'!AF8&gt;=2,"C",IF('Data Source'!AF8&gt;=1,"D","F"))))))</f>
        <v/>
      </c>
      <c r="G9" s="8">
        <f>IF('Data Source'!AG8&gt;=5,"A+",IF('Data Source'!AG8&gt;=4,"A",IF('Data Source'!AG8&gt;=3.5,"A-",IF('Data Source'!AG8&gt;=3,"B",IF('Data Source'!AG8&gt;=2,"C",IF('Data Source'!AG8&gt;=1,"D","F"))))))</f>
        <v/>
      </c>
      <c r="H9" s="8">
        <f>IF('Data Source'!AH8&gt;=5,"A+",IF('Data Source'!AH8&gt;=4,"A",IF('Data Source'!AH8&gt;=3.5,"A-",IF('Data Source'!AH8&gt;=3,"B",IF('Data Source'!AH8&gt;=2,"C",IF('Data Source'!AH8&gt;=1,"D","F"))))))</f>
        <v/>
      </c>
      <c r="I9" s="8">
        <f>IF('Data Source'!AI8&gt;=5,"A+",IF('Data Source'!AI8&gt;=4,"A",IF('Data Source'!AI8&gt;=3.5,"A-",IF('Data Source'!AI8&gt;=3,"B",IF('Data Source'!AI8&gt;=2,"C",IF('Data Source'!AI8&gt;=1,"D","F"))))))</f>
        <v/>
      </c>
      <c r="J9" s="8">
        <f>IF('Data Source'!AJ8&gt;=5,"A+",IF('Data Source'!AJ8&gt;=4,"A",IF('Data Source'!AJ8&gt;=3.5,"A-",IF('Data Source'!AJ8&gt;=3,"B",IF('Data Source'!AJ8&gt;=2,"C",IF('Data Source'!AJ8&gt;=1,"D","F"))))))</f>
        <v/>
      </c>
      <c r="K9" s="8">
        <f>IF('Data Source'!AK8&gt;=5,"A+",IF('Data Source'!AK8&gt;=4,"A",IF('Data Source'!AK8&gt;=3.5,"A-",IF('Data Source'!AK8&gt;=3,"B",IF('Data Source'!AK8&gt;=2,"C",IF('Data Source'!AK8&gt;=1,"D","F"))))))</f>
        <v/>
      </c>
      <c r="L9" s="7">
        <f>'Data Source'!W8</f>
        <v/>
      </c>
      <c r="M9" s="8">
        <f>'Data Source'!X8</f>
        <v/>
      </c>
    </row>
    <row r="10">
      <c r="A10" s="8">
        <f>'Data Source'!A9</f>
        <v/>
      </c>
      <c r="B10">
        <f>'Data Source'!B9</f>
        <v/>
      </c>
      <c r="C10" s="8">
        <f>IF('Data Source'!AC9&gt;=5,"A+",IF('Data Source'!AC9&gt;=4,"A",IF('Data Source'!AC9&gt;=3.5,"A-",IF('Data Source'!AC9&gt;=3,"B",IF('Data Source'!AC9&gt;=2,"C",IF('Data Source'!AC9&gt;=1,"D","F"))))))</f>
        <v/>
      </c>
      <c r="D10" s="8">
        <f>IF('Data Source'!AD9&gt;=5,"A+",IF('Data Source'!AD9&gt;=4,"A",IF('Data Source'!AD9&gt;=3.5,"A-",IF('Data Source'!AD9&gt;=3,"B",IF('Data Source'!AD9&gt;=2,"C",IF('Data Source'!AD9&gt;=1,"D","F"))))))</f>
        <v/>
      </c>
      <c r="E10" s="8">
        <f>IF('Data Source'!AE9&gt;=5,"A+",IF('Data Source'!AE9&gt;=4,"A",IF('Data Source'!AE9&gt;=3.5,"A-",IF('Data Source'!AE9&gt;=3,"B",IF('Data Source'!AE9&gt;=2,"C",IF('Data Source'!AE9&gt;=1,"D","F"))))))</f>
        <v/>
      </c>
      <c r="F10" s="8">
        <f>IF('Data Source'!AF9&gt;=5,"A+",IF('Data Source'!AF9&gt;=4,"A",IF('Data Source'!AF9&gt;=3.5,"A-",IF('Data Source'!AF9&gt;=3,"B",IF('Data Source'!AF9&gt;=2,"C",IF('Data Source'!AF9&gt;=1,"D","F"))))))</f>
        <v/>
      </c>
      <c r="G10" s="8">
        <f>IF('Data Source'!AG9&gt;=5,"A+",IF('Data Source'!AG9&gt;=4,"A",IF('Data Source'!AG9&gt;=3.5,"A-",IF('Data Source'!AG9&gt;=3,"B",IF('Data Source'!AG9&gt;=2,"C",IF('Data Source'!AG9&gt;=1,"D","F"))))))</f>
        <v/>
      </c>
      <c r="H10" s="8">
        <f>IF('Data Source'!AH9&gt;=5,"A+",IF('Data Source'!AH9&gt;=4,"A",IF('Data Source'!AH9&gt;=3.5,"A-",IF('Data Source'!AH9&gt;=3,"B",IF('Data Source'!AH9&gt;=2,"C",IF('Data Source'!AH9&gt;=1,"D","F"))))))</f>
        <v/>
      </c>
      <c r="I10" s="8">
        <f>IF('Data Source'!AI9&gt;=5,"A+",IF('Data Source'!AI9&gt;=4,"A",IF('Data Source'!AI9&gt;=3.5,"A-",IF('Data Source'!AI9&gt;=3,"B",IF('Data Source'!AI9&gt;=2,"C",IF('Data Source'!AI9&gt;=1,"D","F"))))))</f>
        <v/>
      </c>
      <c r="J10" s="8">
        <f>IF('Data Source'!AJ9&gt;=5,"A+",IF('Data Source'!AJ9&gt;=4,"A",IF('Data Source'!AJ9&gt;=3.5,"A-",IF('Data Source'!AJ9&gt;=3,"B",IF('Data Source'!AJ9&gt;=2,"C",IF('Data Source'!AJ9&gt;=1,"D","F"))))))</f>
        <v/>
      </c>
      <c r="K10" s="8">
        <f>IF('Data Source'!AK9&gt;=5,"A+",IF('Data Source'!AK9&gt;=4,"A",IF('Data Source'!AK9&gt;=3.5,"A-",IF('Data Source'!AK9&gt;=3,"B",IF('Data Source'!AK9&gt;=2,"C",IF('Data Source'!AK9&gt;=1,"D","F"))))))</f>
        <v/>
      </c>
      <c r="L10" s="7">
        <f>'Data Source'!W9</f>
        <v/>
      </c>
      <c r="M10" s="8">
        <f>'Data Source'!X9</f>
        <v/>
      </c>
    </row>
    <row r="11">
      <c r="A11" s="8">
        <f>'Data Source'!A10</f>
        <v/>
      </c>
      <c r="B11">
        <f>'Data Source'!B10</f>
        <v/>
      </c>
      <c r="C11" s="8">
        <f>IF('Data Source'!AC10&gt;=5,"A+",IF('Data Source'!AC10&gt;=4,"A",IF('Data Source'!AC10&gt;=3.5,"A-",IF('Data Source'!AC10&gt;=3,"B",IF('Data Source'!AC10&gt;=2,"C",IF('Data Source'!AC10&gt;=1,"D","F"))))))</f>
        <v/>
      </c>
      <c r="D11" s="8">
        <f>IF('Data Source'!AD10&gt;=5,"A+",IF('Data Source'!AD10&gt;=4,"A",IF('Data Source'!AD10&gt;=3.5,"A-",IF('Data Source'!AD10&gt;=3,"B",IF('Data Source'!AD10&gt;=2,"C",IF('Data Source'!AD10&gt;=1,"D","F"))))))</f>
        <v/>
      </c>
      <c r="E11" s="8">
        <f>IF('Data Source'!AE10&gt;=5,"A+",IF('Data Source'!AE10&gt;=4,"A",IF('Data Source'!AE10&gt;=3.5,"A-",IF('Data Source'!AE10&gt;=3,"B",IF('Data Source'!AE10&gt;=2,"C",IF('Data Source'!AE10&gt;=1,"D","F"))))))</f>
        <v/>
      </c>
      <c r="F11" s="8">
        <f>IF('Data Source'!AF10&gt;=5,"A+",IF('Data Source'!AF10&gt;=4,"A",IF('Data Source'!AF10&gt;=3.5,"A-",IF('Data Source'!AF10&gt;=3,"B",IF('Data Source'!AF10&gt;=2,"C",IF('Data Source'!AF10&gt;=1,"D","F"))))))</f>
        <v/>
      </c>
      <c r="G11" s="8">
        <f>IF('Data Source'!AG10&gt;=5,"A+",IF('Data Source'!AG10&gt;=4,"A",IF('Data Source'!AG10&gt;=3.5,"A-",IF('Data Source'!AG10&gt;=3,"B",IF('Data Source'!AG10&gt;=2,"C",IF('Data Source'!AG10&gt;=1,"D","F"))))))</f>
        <v/>
      </c>
      <c r="H11" s="8">
        <f>IF('Data Source'!AH10&gt;=5,"A+",IF('Data Source'!AH10&gt;=4,"A",IF('Data Source'!AH10&gt;=3.5,"A-",IF('Data Source'!AH10&gt;=3,"B",IF('Data Source'!AH10&gt;=2,"C",IF('Data Source'!AH10&gt;=1,"D","F"))))))</f>
        <v/>
      </c>
      <c r="I11" s="8">
        <f>IF('Data Source'!AI10&gt;=5,"A+",IF('Data Source'!AI10&gt;=4,"A",IF('Data Source'!AI10&gt;=3.5,"A-",IF('Data Source'!AI10&gt;=3,"B",IF('Data Source'!AI10&gt;=2,"C",IF('Data Source'!AI10&gt;=1,"D","F"))))))</f>
        <v/>
      </c>
      <c r="J11" s="8">
        <f>IF('Data Source'!AJ10&gt;=5,"A+",IF('Data Source'!AJ10&gt;=4,"A",IF('Data Source'!AJ10&gt;=3.5,"A-",IF('Data Source'!AJ10&gt;=3,"B",IF('Data Source'!AJ10&gt;=2,"C",IF('Data Source'!AJ10&gt;=1,"D","F"))))))</f>
        <v/>
      </c>
      <c r="K11" s="8">
        <f>IF('Data Source'!AK10&gt;=5,"A+",IF('Data Source'!AK10&gt;=4,"A",IF('Data Source'!AK10&gt;=3.5,"A-",IF('Data Source'!AK10&gt;=3,"B",IF('Data Source'!AK10&gt;=2,"C",IF('Data Source'!AK10&gt;=1,"D","F"))))))</f>
        <v/>
      </c>
      <c r="L11" s="7">
        <f>'Data Source'!W10</f>
        <v/>
      </c>
      <c r="M11" s="8">
        <f>'Data Source'!X10</f>
        <v/>
      </c>
    </row>
    <row r="12">
      <c r="A12" s="8">
        <f>'Data Source'!A11</f>
        <v/>
      </c>
      <c r="B12">
        <f>'Data Source'!B11</f>
        <v/>
      </c>
      <c r="C12" s="8">
        <f>IF('Data Source'!AC11&gt;=5,"A+",IF('Data Source'!AC11&gt;=4,"A",IF('Data Source'!AC11&gt;=3.5,"A-",IF('Data Source'!AC11&gt;=3,"B",IF('Data Source'!AC11&gt;=2,"C",IF('Data Source'!AC11&gt;=1,"D","F"))))))</f>
        <v/>
      </c>
      <c r="D12" s="8">
        <f>IF('Data Source'!AD11&gt;=5,"A+",IF('Data Source'!AD11&gt;=4,"A",IF('Data Source'!AD11&gt;=3.5,"A-",IF('Data Source'!AD11&gt;=3,"B",IF('Data Source'!AD11&gt;=2,"C",IF('Data Source'!AD11&gt;=1,"D","F"))))))</f>
        <v/>
      </c>
      <c r="E12" s="8">
        <f>IF('Data Source'!AE11&gt;=5,"A+",IF('Data Source'!AE11&gt;=4,"A",IF('Data Source'!AE11&gt;=3.5,"A-",IF('Data Source'!AE11&gt;=3,"B",IF('Data Source'!AE11&gt;=2,"C",IF('Data Source'!AE11&gt;=1,"D","F"))))))</f>
        <v/>
      </c>
      <c r="F12" s="8">
        <f>IF('Data Source'!AF11&gt;=5,"A+",IF('Data Source'!AF11&gt;=4,"A",IF('Data Source'!AF11&gt;=3.5,"A-",IF('Data Source'!AF11&gt;=3,"B",IF('Data Source'!AF11&gt;=2,"C",IF('Data Source'!AF11&gt;=1,"D","F"))))))</f>
        <v/>
      </c>
      <c r="G12" s="8">
        <f>IF('Data Source'!AG11&gt;=5,"A+",IF('Data Source'!AG11&gt;=4,"A",IF('Data Source'!AG11&gt;=3.5,"A-",IF('Data Source'!AG11&gt;=3,"B",IF('Data Source'!AG11&gt;=2,"C",IF('Data Source'!AG11&gt;=1,"D","F"))))))</f>
        <v/>
      </c>
      <c r="H12" s="8">
        <f>IF('Data Source'!AH11&gt;=5,"A+",IF('Data Source'!AH11&gt;=4,"A",IF('Data Source'!AH11&gt;=3.5,"A-",IF('Data Source'!AH11&gt;=3,"B",IF('Data Source'!AH11&gt;=2,"C",IF('Data Source'!AH11&gt;=1,"D","F"))))))</f>
        <v/>
      </c>
      <c r="I12" s="8">
        <f>IF('Data Source'!AI11&gt;=5,"A+",IF('Data Source'!AI11&gt;=4,"A",IF('Data Source'!AI11&gt;=3.5,"A-",IF('Data Source'!AI11&gt;=3,"B",IF('Data Source'!AI11&gt;=2,"C",IF('Data Source'!AI11&gt;=1,"D","F"))))))</f>
        <v/>
      </c>
      <c r="J12" s="8">
        <f>IF('Data Source'!AJ11&gt;=5,"A+",IF('Data Source'!AJ11&gt;=4,"A",IF('Data Source'!AJ11&gt;=3.5,"A-",IF('Data Source'!AJ11&gt;=3,"B",IF('Data Source'!AJ11&gt;=2,"C",IF('Data Source'!AJ11&gt;=1,"D","F"))))))</f>
        <v/>
      </c>
      <c r="K12" s="8">
        <f>IF('Data Source'!AK11&gt;=5,"A+",IF('Data Source'!AK11&gt;=4,"A",IF('Data Source'!AK11&gt;=3.5,"A-",IF('Data Source'!AK11&gt;=3,"B",IF('Data Source'!AK11&gt;=2,"C",IF('Data Source'!AK11&gt;=1,"D","F"))))))</f>
        <v/>
      </c>
      <c r="L12" s="7">
        <f>'Data Source'!W11</f>
        <v/>
      </c>
      <c r="M12" s="8">
        <f>'Data Source'!X11</f>
        <v/>
      </c>
    </row>
    <row r="13">
      <c r="A13" s="8">
        <f>'Data Source'!A12</f>
        <v/>
      </c>
      <c r="B13">
        <f>'Data Source'!B12</f>
        <v/>
      </c>
      <c r="C13" s="8">
        <f>IF('Data Source'!AC12&gt;=5,"A+",IF('Data Source'!AC12&gt;=4,"A",IF('Data Source'!AC12&gt;=3.5,"A-",IF('Data Source'!AC12&gt;=3,"B",IF('Data Source'!AC12&gt;=2,"C",IF('Data Source'!AC12&gt;=1,"D","F"))))))</f>
        <v/>
      </c>
      <c r="D13" s="8">
        <f>IF('Data Source'!AD12&gt;=5,"A+",IF('Data Source'!AD12&gt;=4,"A",IF('Data Source'!AD12&gt;=3.5,"A-",IF('Data Source'!AD12&gt;=3,"B",IF('Data Source'!AD12&gt;=2,"C",IF('Data Source'!AD12&gt;=1,"D","F"))))))</f>
        <v/>
      </c>
      <c r="E13" s="8">
        <f>IF('Data Source'!AE12&gt;=5,"A+",IF('Data Source'!AE12&gt;=4,"A",IF('Data Source'!AE12&gt;=3.5,"A-",IF('Data Source'!AE12&gt;=3,"B",IF('Data Source'!AE12&gt;=2,"C",IF('Data Source'!AE12&gt;=1,"D","F"))))))</f>
        <v/>
      </c>
      <c r="F13" s="8">
        <f>IF('Data Source'!AF12&gt;=5,"A+",IF('Data Source'!AF12&gt;=4,"A",IF('Data Source'!AF12&gt;=3.5,"A-",IF('Data Source'!AF12&gt;=3,"B",IF('Data Source'!AF12&gt;=2,"C",IF('Data Source'!AF12&gt;=1,"D","F"))))))</f>
        <v/>
      </c>
      <c r="G13" s="8">
        <f>IF('Data Source'!AG12&gt;=5,"A+",IF('Data Source'!AG12&gt;=4,"A",IF('Data Source'!AG12&gt;=3.5,"A-",IF('Data Source'!AG12&gt;=3,"B",IF('Data Source'!AG12&gt;=2,"C",IF('Data Source'!AG12&gt;=1,"D","F"))))))</f>
        <v/>
      </c>
      <c r="H13" s="8">
        <f>IF('Data Source'!AH12&gt;=5,"A+",IF('Data Source'!AH12&gt;=4,"A",IF('Data Source'!AH12&gt;=3.5,"A-",IF('Data Source'!AH12&gt;=3,"B",IF('Data Source'!AH12&gt;=2,"C",IF('Data Source'!AH12&gt;=1,"D","F"))))))</f>
        <v/>
      </c>
      <c r="I13" s="8">
        <f>IF('Data Source'!AI12&gt;=5,"A+",IF('Data Source'!AI12&gt;=4,"A",IF('Data Source'!AI12&gt;=3.5,"A-",IF('Data Source'!AI12&gt;=3,"B",IF('Data Source'!AI12&gt;=2,"C",IF('Data Source'!AI12&gt;=1,"D","F"))))))</f>
        <v/>
      </c>
      <c r="J13" s="8">
        <f>IF('Data Source'!AJ12&gt;=5,"A+",IF('Data Source'!AJ12&gt;=4,"A",IF('Data Source'!AJ12&gt;=3.5,"A-",IF('Data Source'!AJ12&gt;=3,"B",IF('Data Source'!AJ12&gt;=2,"C",IF('Data Source'!AJ12&gt;=1,"D","F"))))))</f>
        <v/>
      </c>
      <c r="K13" s="8">
        <f>IF('Data Source'!AK12&gt;=5,"A+",IF('Data Source'!AK12&gt;=4,"A",IF('Data Source'!AK12&gt;=3.5,"A-",IF('Data Source'!AK12&gt;=3,"B",IF('Data Source'!AK12&gt;=2,"C",IF('Data Source'!AK12&gt;=1,"D","F"))))))</f>
        <v/>
      </c>
      <c r="L13" s="7">
        <f>'Data Source'!W12</f>
        <v/>
      </c>
      <c r="M13" s="8">
        <f>'Data Source'!X12</f>
        <v/>
      </c>
    </row>
    <row r="14">
      <c r="A14" s="8">
        <f>'Data Source'!A13</f>
        <v/>
      </c>
      <c r="B14">
        <f>'Data Source'!B13</f>
        <v/>
      </c>
      <c r="C14" s="8">
        <f>IF('Data Source'!AC13&gt;=5,"A+",IF('Data Source'!AC13&gt;=4,"A",IF('Data Source'!AC13&gt;=3.5,"A-",IF('Data Source'!AC13&gt;=3,"B",IF('Data Source'!AC13&gt;=2,"C",IF('Data Source'!AC13&gt;=1,"D","F"))))))</f>
        <v/>
      </c>
      <c r="D14" s="8">
        <f>IF('Data Source'!AD13&gt;=5,"A+",IF('Data Source'!AD13&gt;=4,"A",IF('Data Source'!AD13&gt;=3.5,"A-",IF('Data Source'!AD13&gt;=3,"B",IF('Data Source'!AD13&gt;=2,"C",IF('Data Source'!AD13&gt;=1,"D","F"))))))</f>
        <v/>
      </c>
      <c r="E14" s="8">
        <f>IF('Data Source'!AE13&gt;=5,"A+",IF('Data Source'!AE13&gt;=4,"A",IF('Data Source'!AE13&gt;=3.5,"A-",IF('Data Source'!AE13&gt;=3,"B",IF('Data Source'!AE13&gt;=2,"C",IF('Data Source'!AE13&gt;=1,"D","F"))))))</f>
        <v/>
      </c>
      <c r="F14" s="8">
        <f>IF('Data Source'!AF13&gt;=5,"A+",IF('Data Source'!AF13&gt;=4,"A",IF('Data Source'!AF13&gt;=3.5,"A-",IF('Data Source'!AF13&gt;=3,"B",IF('Data Source'!AF13&gt;=2,"C",IF('Data Source'!AF13&gt;=1,"D","F"))))))</f>
        <v/>
      </c>
      <c r="G14" s="8">
        <f>IF('Data Source'!AG13&gt;=5,"A+",IF('Data Source'!AG13&gt;=4,"A",IF('Data Source'!AG13&gt;=3.5,"A-",IF('Data Source'!AG13&gt;=3,"B",IF('Data Source'!AG13&gt;=2,"C",IF('Data Source'!AG13&gt;=1,"D","F"))))))</f>
        <v/>
      </c>
      <c r="H14" s="8">
        <f>IF('Data Source'!AH13&gt;=5,"A+",IF('Data Source'!AH13&gt;=4,"A",IF('Data Source'!AH13&gt;=3.5,"A-",IF('Data Source'!AH13&gt;=3,"B",IF('Data Source'!AH13&gt;=2,"C",IF('Data Source'!AH13&gt;=1,"D","F"))))))</f>
        <v/>
      </c>
      <c r="I14" s="8">
        <f>IF('Data Source'!AI13&gt;=5,"A+",IF('Data Source'!AI13&gt;=4,"A",IF('Data Source'!AI13&gt;=3.5,"A-",IF('Data Source'!AI13&gt;=3,"B",IF('Data Source'!AI13&gt;=2,"C",IF('Data Source'!AI13&gt;=1,"D","F"))))))</f>
        <v/>
      </c>
      <c r="J14" s="8">
        <f>IF('Data Source'!AJ13&gt;=5,"A+",IF('Data Source'!AJ13&gt;=4,"A",IF('Data Source'!AJ13&gt;=3.5,"A-",IF('Data Source'!AJ13&gt;=3,"B",IF('Data Source'!AJ13&gt;=2,"C",IF('Data Source'!AJ13&gt;=1,"D","F"))))))</f>
        <v/>
      </c>
      <c r="K14" s="8">
        <f>IF('Data Source'!AK13&gt;=5,"A+",IF('Data Source'!AK13&gt;=4,"A",IF('Data Source'!AK13&gt;=3.5,"A-",IF('Data Source'!AK13&gt;=3,"B",IF('Data Source'!AK13&gt;=2,"C",IF('Data Source'!AK13&gt;=1,"D","F"))))))</f>
        <v/>
      </c>
      <c r="L14" s="7">
        <f>'Data Source'!W13</f>
        <v/>
      </c>
      <c r="M14" s="8">
        <f>'Data Source'!X13</f>
        <v/>
      </c>
    </row>
    <row r="15">
      <c r="A15" s="8">
        <f>'Data Source'!A14</f>
        <v/>
      </c>
      <c r="B15">
        <f>'Data Source'!B14</f>
        <v/>
      </c>
      <c r="C15" s="8">
        <f>IF('Data Source'!AC14&gt;=5,"A+",IF('Data Source'!AC14&gt;=4,"A",IF('Data Source'!AC14&gt;=3.5,"A-",IF('Data Source'!AC14&gt;=3,"B",IF('Data Source'!AC14&gt;=2,"C",IF('Data Source'!AC14&gt;=1,"D","F"))))))</f>
        <v/>
      </c>
      <c r="D15" s="8">
        <f>IF('Data Source'!AD14&gt;=5,"A+",IF('Data Source'!AD14&gt;=4,"A",IF('Data Source'!AD14&gt;=3.5,"A-",IF('Data Source'!AD14&gt;=3,"B",IF('Data Source'!AD14&gt;=2,"C",IF('Data Source'!AD14&gt;=1,"D","F"))))))</f>
        <v/>
      </c>
      <c r="E15" s="8">
        <f>IF('Data Source'!AE14&gt;=5,"A+",IF('Data Source'!AE14&gt;=4,"A",IF('Data Source'!AE14&gt;=3.5,"A-",IF('Data Source'!AE14&gt;=3,"B",IF('Data Source'!AE14&gt;=2,"C",IF('Data Source'!AE14&gt;=1,"D","F"))))))</f>
        <v/>
      </c>
      <c r="F15" s="8">
        <f>IF('Data Source'!AF14&gt;=5,"A+",IF('Data Source'!AF14&gt;=4,"A",IF('Data Source'!AF14&gt;=3.5,"A-",IF('Data Source'!AF14&gt;=3,"B",IF('Data Source'!AF14&gt;=2,"C",IF('Data Source'!AF14&gt;=1,"D","F"))))))</f>
        <v/>
      </c>
      <c r="G15" s="8">
        <f>IF('Data Source'!AG14&gt;=5,"A+",IF('Data Source'!AG14&gt;=4,"A",IF('Data Source'!AG14&gt;=3.5,"A-",IF('Data Source'!AG14&gt;=3,"B",IF('Data Source'!AG14&gt;=2,"C",IF('Data Source'!AG14&gt;=1,"D","F"))))))</f>
        <v/>
      </c>
      <c r="H15" s="8">
        <f>IF('Data Source'!AH14&gt;=5,"A+",IF('Data Source'!AH14&gt;=4,"A",IF('Data Source'!AH14&gt;=3.5,"A-",IF('Data Source'!AH14&gt;=3,"B",IF('Data Source'!AH14&gt;=2,"C",IF('Data Source'!AH14&gt;=1,"D","F"))))))</f>
        <v/>
      </c>
      <c r="I15" s="8">
        <f>IF('Data Source'!AI14&gt;=5,"A+",IF('Data Source'!AI14&gt;=4,"A",IF('Data Source'!AI14&gt;=3.5,"A-",IF('Data Source'!AI14&gt;=3,"B",IF('Data Source'!AI14&gt;=2,"C",IF('Data Source'!AI14&gt;=1,"D","F"))))))</f>
        <v/>
      </c>
      <c r="J15" s="8">
        <f>IF('Data Source'!AJ14&gt;=5,"A+",IF('Data Source'!AJ14&gt;=4,"A",IF('Data Source'!AJ14&gt;=3.5,"A-",IF('Data Source'!AJ14&gt;=3,"B",IF('Data Source'!AJ14&gt;=2,"C",IF('Data Source'!AJ14&gt;=1,"D","F"))))))</f>
        <v/>
      </c>
      <c r="K15" s="8">
        <f>IF('Data Source'!AK14&gt;=5,"A+",IF('Data Source'!AK14&gt;=4,"A",IF('Data Source'!AK14&gt;=3.5,"A-",IF('Data Source'!AK14&gt;=3,"B",IF('Data Source'!AK14&gt;=2,"C",IF('Data Source'!AK14&gt;=1,"D","F"))))))</f>
        <v/>
      </c>
      <c r="L15" s="7">
        <f>'Data Source'!W14</f>
        <v/>
      </c>
      <c r="M15" s="8">
        <f>'Data Source'!X14</f>
        <v/>
      </c>
    </row>
    <row r="16">
      <c r="A16" s="8">
        <f>'Data Source'!A15</f>
        <v/>
      </c>
      <c r="B16">
        <f>'Data Source'!B15</f>
        <v/>
      </c>
      <c r="C16" s="8">
        <f>IF('Data Source'!AC15&gt;=5,"A+",IF('Data Source'!AC15&gt;=4,"A",IF('Data Source'!AC15&gt;=3.5,"A-",IF('Data Source'!AC15&gt;=3,"B",IF('Data Source'!AC15&gt;=2,"C",IF('Data Source'!AC15&gt;=1,"D","F"))))))</f>
        <v/>
      </c>
      <c r="D16" s="8">
        <f>IF('Data Source'!AD15&gt;=5,"A+",IF('Data Source'!AD15&gt;=4,"A",IF('Data Source'!AD15&gt;=3.5,"A-",IF('Data Source'!AD15&gt;=3,"B",IF('Data Source'!AD15&gt;=2,"C",IF('Data Source'!AD15&gt;=1,"D","F"))))))</f>
        <v/>
      </c>
      <c r="E16" s="8">
        <f>IF('Data Source'!AE15&gt;=5,"A+",IF('Data Source'!AE15&gt;=4,"A",IF('Data Source'!AE15&gt;=3.5,"A-",IF('Data Source'!AE15&gt;=3,"B",IF('Data Source'!AE15&gt;=2,"C",IF('Data Source'!AE15&gt;=1,"D","F"))))))</f>
        <v/>
      </c>
      <c r="F16" s="8">
        <f>IF('Data Source'!AF15&gt;=5,"A+",IF('Data Source'!AF15&gt;=4,"A",IF('Data Source'!AF15&gt;=3.5,"A-",IF('Data Source'!AF15&gt;=3,"B",IF('Data Source'!AF15&gt;=2,"C",IF('Data Source'!AF15&gt;=1,"D","F"))))))</f>
        <v/>
      </c>
      <c r="G16" s="8">
        <f>IF('Data Source'!AG15&gt;=5,"A+",IF('Data Source'!AG15&gt;=4,"A",IF('Data Source'!AG15&gt;=3.5,"A-",IF('Data Source'!AG15&gt;=3,"B",IF('Data Source'!AG15&gt;=2,"C",IF('Data Source'!AG15&gt;=1,"D","F"))))))</f>
        <v/>
      </c>
      <c r="H16" s="8">
        <f>IF('Data Source'!AH15&gt;=5,"A+",IF('Data Source'!AH15&gt;=4,"A",IF('Data Source'!AH15&gt;=3.5,"A-",IF('Data Source'!AH15&gt;=3,"B",IF('Data Source'!AH15&gt;=2,"C",IF('Data Source'!AH15&gt;=1,"D","F"))))))</f>
        <v/>
      </c>
      <c r="I16" s="8">
        <f>IF('Data Source'!AI15&gt;=5,"A+",IF('Data Source'!AI15&gt;=4,"A",IF('Data Source'!AI15&gt;=3.5,"A-",IF('Data Source'!AI15&gt;=3,"B",IF('Data Source'!AI15&gt;=2,"C",IF('Data Source'!AI15&gt;=1,"D","F"))))))</f>
        <v/>
      </c>
      <c r="J16" s="8">
        <f>IF('Data Source'!AJ15&gt;=5,"A+",IF('Data Source'!AJ15&gt;=4,"A",IF('Data Source'!AJ15&gt;=3.5,"A-",IF('Data Source'!AJ15&gt;=3,"B",IF('Data Source'!AJ15&gt;=2,"C",IF('Data Source'!AJ15&gt;=1,"D","F"))))))</f>
        <v/>
      </c>
      <c r="K16" s="8">
        <f>IF('Data Source'!AK15&gt;=5,"A+",IF('Data Source'!AK15&gt;=4,"A",IF('Data Source'!AK15&gt;=3.5,"A-",IF('Data Source'!AK15&gt;=3,"B",IF('Data Source'!AK15&gt;=2,"C",IF('Data Source'!AK15&gt;=1,"D","F"))))))</f>
        <v/>
      </c>
      <c r="L16" s="7">
        <f>'Data Source'!W15</f>
        <v/>
      </c>
      <c r="M16" s="8">
        <f>'Data Source'!X15</f>
        <v/>
      </c>
    </row>
    <row r="17">
      <c r="A17" s="8">
        <f>'Data Source'!A16</f>
        <v/>
      </c>
      <c r="B17">
        <f>'Data Source'!B16</f>
        <v/>
      </c>
      <c r="C17" s="8">
        <f>IF('Data Source'!AC16&gt;=5,"A+",IF('Data Source'!AC16&gt;=4,"A",IF('Data Source'!AC16&gt;=3.5,"A-",IF('Data Source'!AC16&gt;=3,"B",IF('Data Source'!AC16&gt;=2,"C",IF('Data Source'!AC16&gt;=1,"D","F"))))))</f>
        <v/>
      </c>
      <c r="D17" s="8">
        <f>IF('Data Source'!AD16&gt;=5,"A+",IF('Data Source'!AD16&gt;=4,"A",IF('Data Source'!AD16&gt;=3.5,"A-",IF('Data Source'!AD16&gt;=3,"B",IF('Data Source'!AD16&gt;=2,"C",IF('Data Source'!AD16&gt;=1,"D","F"))))))</f>
        <v/>
      </c>
      <c r="E17" s="8">
        <f>IF('Data Source'!AE16&gt;=5,"A+",IF('Data Source'!AE16&gt;=4,"A",IF('Data Source'!AE16&gt;=3.5,"A-",IF('Data Source'!AE16&gt;=3,"B",IF('Data Source'!AE16&gt;=2,"C",IF('Data Source'!AE16&gt;=1,"D","F"))))))</f>
        <v/>
      </c>
      <c r="F17" s="8">
        <f>IF('Data Source'!AF16&gt;=5,"A+",IF('Data Source'!AF16&gt;=4,"A",IF('Data Source'!AF16&gt;=3.5,"A-",IF('Data Source'!AF16&gt;=3,"B",IF('Data Source'!AF16&gt;=2,"C",IF('Data Source'!AF16&gt;=1,"D","F"))))))</f>
        <v/>
      </c>
      <c r="G17" s="8">
        <f>IF('Data Source'!AG16&gt;=5,"A+",IF('Data Source'!AG16&gt;=4,"A",IF('Data Source'!AG16&gt;=3.5,"A-",IF('Data Source'!AG16&gt;=3,"B",IF('Data Source'!AG16&gt;=2,"C",IF('Data Source'!AG16&gt;=1,"D","F"))))))</f>
        <v/>
      </c>
      <c r="H17" s="8">
        <f>IF('Data Source'!AH16&gt;=5,"A+",IF('Data Source'!AH16&gt;=4,"A",IF('Data Source'!AH16&gt;=3.5,"A-",IF('Data Source'!AH16&gt;=3,"B",IF('Data Source'!AH16&gt;=2,"C",IF('Data Source'!AH16&gt;=1,"D","F"))))))</f>
        <v/>
      </c>
      <c r="I17" s="8">
        <f>IF('Data Source'!AI16&gt;=5,"A+",IF('Data Source'!AI16&gt;=4,"A",IF('Data Source'!AI16&gt;=3.5,"A-",IF('Data Source'!AI16&gt;=3,"B",IF('Data Source'!AI16&gt;=2,"C",IF('Data Source'!AI16&gt;=1,"D","F"))))))</f>
        <v/>
      </c>
      <c r="J17" s="8">
        <f>IF('Data Source'!AJ16&gt;=5,"A+",IF('Data Source'!AJ16&gt;=4,"A",IF('Data Source'!AJ16&gt;=3.5,"A-",IF('Data Source'!AJ16&gt;=3,"B",IF('Data Source'!AJ16&gt;=2,"C",IF('Data Source'!AJ16&gt;=1,"D","F"))))))</f>
        <v/>
      </c>
      <c r="K17" s="8">
        <f>IF('Data Source'!AK16&gt;=5,"A+",IF('Data Source'!AK16&gt;=4,"A",IF('Data Source'!AK16&gt;=3.5,"A-",IF('Data Source'!AK16&gt;=3,"B",IF('Data Source'!AK16&gt;=2,"C",IF('Data Source'!AK16&gt;=1,"D","F"))))))</f>
        <v/>
      </c>
      <c r="L17" s="7">
        <f>'Data Source'!W16</f>
        <v/>
      </c>
      <c r="M17" s="8">
        <f>'Data Source'!X16</f>
        <v/>
      </c>
    </row>
    <row r="18">
      <c r="A18" s="8">
        <f>'Data Source'!A17</f>
        <v/>
      </c>
      <c r="B18">
        <f>'Data Source'!B17</f>
        <v/>
      </c>
      <c r="C18" s="8">
        <f>IF('Data Source'!AC17&gt;=5,"A+",IF('Data Source'!AC17&gt;=4,"A",IF('Data Source'!AC17&gt;=3.5,"A-",IF('Data Source'!AC17&gt;=3,"B",IF('Data Source'!AC17&gt;=2,"C",IF('Data Source'!AC17&gt;=1,"D","F"))))))</f>
        <v/>
      </c>
      <c r="D18" s="8">
        <f>IF('Data Source'!AD17&gt;=5,"A+",IF('Data Source'!AD17&gt;=4,"A",IF('Data Source'!AD17&gt;=3.5,"A-",IF('Data Source'!AD17&gt;=3,"B",IF('Data Source'!AD17&gt;=2,"C",IF('Data Source'!AD17&gt;=1,"D","F"))))))</f>
        <v/>
      </c>
      <c r="E18" s="8">
        <f>IF('Data Source'!AE17&gt;=5,"A+",IF('Data Source'!AE17&gt;=4,"A",IF('Data Source'!AE17&gt;=3.5,"A-",IF('Data Source'!AE17&gt;=3,"B",IF('Data Source'!AE17&gt;=2,"C",IF('Data Source'!AE17&gt;=1,"D","F"))))))</f>
        <v/>
      </c>
      <c r="F18" s="8">
        <f>IF('Data Source'!AF17&gt;=5,"A+",IF('Data Source'!AF17&gt;=4,"A",IF('Data Source'!AF17&gt;=3.5,"A-",IF('Data Source'!AF17&gt;=3,"B",IF('Data Source'!AF17&gt;=2,"C",IF('Data Source'!AF17&gt;=1,"D","F"))))))</f>
        <v/>
      </c>
      <c r="G18" s="8">
        <f>IF('Data Source'!AG17&gt;=5,"A+",IF('Data Source'!AG17&gt;=4,"A",IF('Data Source'!AG17&gt;=3.5,"A-",IF('Data Source'!AG17&gt;=3,"B",IF('Data Source'!AG17&gt;=2,"C",IF('Data Source'!AG17&gt;=1,"D","F"))))))</f>
        <v/>
      </c>
      <c r="H18" s="8">
        <f>IF('Data Source'!AH17&gt;=5,"A+",IF('Data Source'!AH17&gt;=4,"A",IF('Data Source'!AH17&gt;=3.5,"A-",IF('Data Source'!AH17&gt;=3,"B",IF('Data Source'!AH17&gt;=2,"C",IF('Data Source'!AH17&gt;=1,"D","F"))))))</f>
        <v/>
      </c>
      <c r="I18" s="8">
        <f>IF('Data Source'!AI17&gt;=5,"A+",IF('Data Source'!AI17&gt;=4,"A",IF('Data Source'!AI17&gt;=3.5,"A-",IF('Data Source'!AI17&gt;=3,"B",IF('Data Source'!AI17&gt;=2,"C",IF('Data Source'!AI17&gt;=1,"D","F"))))))</f>
        <v/>
      </c>
      <c r="J18" s="8">
        <f>IF('Data Source'!AJ17&gt;=5,"A+",IF('Data Source'!AJ17&gt;=4,"A",IF('Data Source'!AJ17&gt;=3.5,"A-",IF('Data Source'!AJ17&gt;=3,"B",IF('Data Source'!AJ17&gt;=2,"C",IF('Data Source'!AJ17&gt;=1,"D","F"))))))</f>
        <v/>
      </c>
      <c r="K18" s="8">
        <f>IF('Data Source'!AK17&gt;=5,"A+",IF('Data Source'!AK17&gt;=4,"A",IF('Data Source'!AK17&gt;=3.5,"A-",IF('Data Source'!AK17&gt;=3,"B",IF('Data Source'!AK17&gt;=2,"C",IF('Data Source'!AK17&gt;=1,"D","F"))))))</f>
        <v/>
      </c>
      <c r="L18" s="7">
        <f>'Data Source'!W17</f>
        <v/>
      </c>
      <c r="M18" s="8">
        <f>'Data Source'!X17</f>
        <v/>
      </c>
    </row>
    <row r="19">
      <c r="A19" s="8">
        <f>'Data Source'!A18</f>
        <v/>
      </c>
      <c r="B19">
        <f>'Data Source'!B18</f>
        <v/>
      </c>
      <c r="C19" s="8">
        <f>IF('Data Source'!AC18&gt;=5,"A+",IF('Data Source'!AC18&gt;=4,"A",IF('Data Source'!AC18&gt;=3.5,"A-",IF('Data Source'!AC18&gt;=3,"B",IF('Data Source'!AC18&gt;=2,"C",IF('Data Source'!AC18&gt;=1,"D","F"))))))</f>
        <v/>
      </c>
      <c r="D19" s="8">
        <f>IF('Data Source'!AD18&gt;=5,"A+",IF('Data Source'!AD18&gt;=4,"A",IF('Data Source'!AD18&gt;=3.5,"A-",IF('Data Source'!AD18&gt;=3,"B",IF('Data Source'!AD18&gt;=2,"C",IF('Data Source'!AD18&gt;=1,"D","F"))))))</f>
        <v/>
      </c>
      <c r="E19" s="8">
        <f>IF('Data Source'!AE18&gt;=5,"A+",IF('Data Source'!AE18&gt;=4,"A",IF('Data Source'!AE18&gt;=3.5,"A-",IF('Data Source'!AE18&gt;=3,"B",IF('Data Source'!AE18&gt;=2,"C",IF('Data Source'!AE18&gt;=1,"D","F"))))))</f>
        <v/>
      </c>
      <c r="F19" s="8">
        <f>IF('Data Source'!AF18&gt;=5,"A+",IF('Data Source'!AF18&gt;=4,"A",IF('Data Source'!AF18&gt;=3.5,"A-",IF('Data Source'!AF18&gt;=3,"B",IF('Data Source'!AF18&gt;=2,"C",IF('Data Source'!AF18&gt;=1,"D","F"))))))</f>
        <v/>
      </c>
      <c r="G19" s="8">
        <f>IF('Data Source'!AG18&gt;=5,"A+",IF('Data Source'!AG18&gt;=4,"A",IF('Data Source'!AG18&gt;=3.5,"A-",IF('Data Source'!AG18&gt;=3,"B",IF('Data Source'!AG18&gt;=2,"C",IF('Data Source'!AG18&gt;=1,"D","F"))))))</f>
        <v/>
      </c>
      <c r="H19" s="8">
        <f>IF('Data Source'!AH18&gt;=5,"A+",IF('Data Source'!AH18&gt;=4,"A",IF('Data Source'!AH18&gt;=3.5,"A-",IF('Data Source'!AH18&gt;=3,"B",IF('Data Source'!AH18&gt;=2,"C",IF('Data Source'!AH18&gt;=1,"D","F"))))))</f>
        <v/>
      </c>
      <c r="I19" s="8">
        <f>IF('Data Source'!AI18&gt;=5,"A+",IF('Data Source'!AI18&gt;=4,"A",IF('Data Source'!AI18&gt;=3.5,"A-",IF('Data Source'!AI18&gt;=3,"B",IF('Data Source'!AI18&gt;=2,"C",IF('Data Source'!AI18&gt;=1,"D","F"))))))</f>
        <v/>
      </c>
      <c r="J19" s="8">
        <f>IF('Data Source'!AJ18&gt;=5,"A+",IF('Data Source'!AJ18&gt;=4,"A",IF('Data Source'!AJ18&gt;=3.5,"A-",IF('Data Source'!AJ18&gt;=3,"B",IF('Data Source'!AJ18&gt;=2,"C",IF('Data Source'!AJ18&gt;=1,"D","F"))))))</f>
        <v/>
      </c>
      <c r="K19" s="8">
        <f>IF('Data Source'!AK18&gt;=5,"A+",IF('Data Source'!AK18&gt;=4,"A",IF('Data Source'!AK18&gt;=3.5,"A-",IF('Data Source'!AK18&gt;=3,"B",IF('Data Source'!AK18&gt;=2,"C",IF('Data Source'!AK18&gt;=1,"D","F"))))))</f>
        <v/>
      </c>
      <c r="L19" s="7">
        <f>'Data Source'!W18</f>
        <v/>
      </c>
      <c r="M19" s="8">
        <f>'Data Source'!X18</f>
        <v/>
      </c>
    </row>
    <row r="20">
      <c r="A20" s="8">
        <f>'Data Source'!A19</f>
        <v/>
      </c>
      <c r="B20">
        <f>'Data Source'!B19</f>
        <v/>
      </c>
      <c r="C20" s="8">
        <f>IF('Data Source'!AC19&gt;=5,"A+",IF('Data Source'!AC19&gt;=4,"A",IF('Data Source'!AC19&gt;=3.5,"A-",IF('Data Source'!AC19&gt;=3,"B",IF('Data Source'!AC19&gt;=2,"C",IF('Data Source'!AC19&gt;=1,"D","F"))))))</f>
        <v/>
      </c>
      <c r="D20" s="8">
        <f>IF('Data Source'!AD19&gt;=5,"A+",IF('Data Source'!AD19&gt;=4,"A",IF('Data Source'!AD19&gt;=3.5,"A-",IF('Data Source'!AD19&gt;=3,"B",IF('Data Source'!AD19&gt;=2,"C",IF('Data Source'!AD19&gt;=1,"D","F"))))))</f>
        <v/>
      </c>
      <c r="E20" s="8">
        <f>IF('Data Source'!AE19&gt;=5,"A+",IF('Data Source'!AE19&gt;=4,"A",IF('Data Source'!AE19&gt;=3.5,"A-",IF('Data Source'!AE19&gt;=3,"B",IF('Data Source'!AE19&gt;=2,"C",IF('Data Source'!AE19&gt;=1,"D","F"))))))</f>
        <v/>
      </c>
      <c r="F20" s="8">
        <f>IF('Data Source'!AF19&gt;=5,"A+",IF('Data Source'!AF19&gt;=4,"A",IF('Data Source'!AF19&gt;=3.5,"A-",IF('Data Source'!AF19&gt;=3,"B",IF('Data Source'!AF19&gt;=2,"C",IF('Data Source'!AF19&gt;=1,"D","F"))))))</f>
        <v/>
      </c>
      <c r="G20" s="8">
        <f>IF('Data Source'!AG19&gt;=5,"A+",IF('Data Source'!AG19&gt;=4,"A",IF('Data Source'!AG19&gt;=3.5,"A-",IF('Data Source'!AG19&gt;=3,"B",IF('Data Source'!AG19&gt;=2,"C",IF('Data Source'!AG19&gt;=1,"D","F"))))))</f>
        <v/>
      </c>
      <c r="H20" s="8">
        <f>IF('Data Source'!AH19&gt;=5,"A+",IF('Data Source'!AH19&gt;=4,"A",IF('Data Source'!AH19&gt;=3.5,"A-",IF('Data Source'!AH19&gt;=3,"B",IF('Data Source'!AH19&gt;=2,"C",IF('Data Source'!AH19&gt;=1,"D","F"))))))</f>
        <v/>
      </c>
      <c r="I20" s="8">
        <f>IF('Data Source'!AI19&gt;=5,"A+",IF('Data Source'!AI19&gt;=4,"A",IF('Data Source'!AI19&gt;=3.5,"A-",IF('Data Source'!AI19&gt;=3,"B",IF('Data Source'!AI19&gt;=2,"C",IF('Data Source'!AI19&gt;=1,"D","F"))))))</f>
        <v/>
      </c>
      <c r="J20" s="8">
        <f>IF('Data Source'!AJ19&gt;=5,"A+",IF('Data Source'!AJ19&gt;=4,"A",IF('Data Source'!AJ19&gt;=3.5,"A-",IF('Data Source'!AJ19&gt;=3,"B",IF('Data Source'!AJ19&gt;=2,"C",IF('Data Source'!AJ19&gt;=1,"D","F"))))))</f>
        <v/>
      </c>
      <c r="K20" s="8">
        <f>IF('Data Source'!AK19&gt;=5,"A+",IF('Data Source'!AK19&gt;=4,"A",IF('Data Source'!AK19&gt;=3.5,"A-",IF('Data Source'!AK19&gt;=3,"B",IF('Data Source'!AK19&gt;=2,"C",IF('Data Source'!AK19&gt;=1,"D","F"))))))</f>
        <v/>
      </c>
      <c r="L20" s="7">
        <f>'Data Source'!W19</f>
        <v/>
      </c>
      <c r="M20" s="8">
        <f>'Data Source'!X19</f>
        <v/>
      </c>
    </row>
    <row r="21">
      <c r="A21" s="8">
        <f>'Data Source'!A20</f>
        <v/>
      </c>
      <c r="B21">
        <f>'Data Source'!B20</f>
        <v/>
      </c>
      <c r="C21" s="8">
        <f>IF('Data Source'!AC20&gt;=5,"A+",IF('Data Source'!AC20&gt;=4,"A",IF('Data Source'!AC20&gt;=3.5,"A-",IF('Data Source'!AC20&gt;=3,"B",IF('Data Source'!AC20&gt;=2,"C",IF('Data Source'!AC20&gt;=1,"D","F"))))))</f>
        <v/>
      </c>
      <c r="D21" s="8">
        <f>IF('Data Source'!AD20&gt;=5,"A+",IF('Data Source'!AD20&gt;=4,"A",IF('Data Source'!AD20&gt;=3.5,"A-",IF('Data Source'!AD20&gt;=3,"B",IF('Data Source'!AD20&gt;=2,"C",IF('Data Source'!AD20&gt;=1,"D","F"))))))</f>
        <v/>
      </c>
      <c r="E21" s="8">
        <f>IF('Data Source'!AE20&gt;=5,"A+",IF('Data Source'!AE20&gt;=4,"A",IF('Data Source'!AE20&gt;=3.5,"A-",IF('Data Source'!AE20&gt;=3,"B",IF('Data Source'!AE20&gt;=2,"C",IF('Data Source'!AE20&gt;=1,"D","F"))))))</f>
        <v/>
      </c>
      <c r="F21" s="8">
        <f>IF('Data Source'!AF20&gt;=5,"A+",IF('Data Source'!AF20&gt;=4,"A",IF('Data Source'!AF20&gt;=3.5,"A-",IF('Data Source'!AF20&gt;=3,"B",IF('Data Source'!AF20&gt;=2,"C",IF('Data Source'!AF20&gt;=1,"D","F"))))))</f>
        <v/>
      </c>
      <c r="G21" s="8">
        <f>IF('Data Source'!AG20&gt;=5,"A+",IF('Data Source'!AG20&gt;=4,"A",IF('Data Source'!AG20&gt;=3.5,"A-",IF('Data Source'!AG20&gt;=3,"B",IF('Data Source'!AG20&gt;=2,"C",IF('Data Source'!AG20&gt;=1,"D","F"))))))</f>
        <v/>
      </c>
      <c r="H21" s="8">
        <f>IF('Data Source'!AH20&gt;=5,"A+",IF('Data Source'!AH20&gt;=4,"A",IF('Data Source'!AH20&gt;=3.5,"A-",IF('Data Source'!AH20&gt;=3,"B",IF('Data Source'!AH20&gt;=2,"C",IF('Data Source'!AH20&gt;=1,"D","F"))))))</f>
        <v/>
      </c>
      <c r="I21" s="8">
        <f>IF('Data Source'!AI20&gt;=5,"A+",IF('Data Source'!AI20&gt;=4,"A",IF('Data Source'!AI20&gt;=3.5,"A-",IF('Data Source'!AI20&gt;=3,"B",IF('Data Source'!AI20&gt;=2,"C",IF('Data Source'!AI20&gt;=1,"D","F"))))))</f>
        <v/>
      </c>
      <c r="J21" s="8">
        <f>IF('Data Source'!AJ20&gt;=5,"A+",IF('Data Source'!AJ20&gt;=4,"A",IF('Data Source'!AJ20&gt;=3.5,"A-",IF('Data Source'!AJ20&gt;=3,"B",IF('Data Source'!AJ20&gt;=2,"C",IF('Data Source'!AJ20&gt;=1,"D","F"))))))</f>
        <v/>
      </c>
      <c r="K21" s="8">
        <f>IF('Data Source'!AK20&gt;=5,"A+",IF('Data Source'!AK20&gt;=4,"A",IF('Data Source'!AK20&gt;=3.5,"A-",IF('Data Source'!AK20&gt;=3,"B",IF('Data Source'!AK20&gt;=2,"C",IF('Data Source'!AK20&gt;=1,"D","F"))))))</f>
        <v/>
      </c>
      <c r="L21" s="7">
        <f>'Data Source'!W20</f>
        <v/>
      </c>
      <c r="M21" s="8">
        <f>'Data Source'!X20</f>
        <v/>
      </c>
    </row>
    <row r="22">
      <c r="A22" s="8">
        <f>'Data Source'!A21</f>
        <v/>
      </c>
      <c r="B22">
        <f>'Data Source'!B21</f>
        <v/>
      </c>
      <c r="C22" s="8">
        <f>IF('Data Source'!AC21&gt;=5,"A+",IF('Data Source'!AC21&gt;=4,"A",IF('Data Source'!AC21&gt;=3.5,"A-",IF('Data Source'!AC21&gt;=3,"B",IF('Data Source'!AC21&gt;=2,"C",IF('Data Source'!AC21&gt;=1,"D","F"))))))</f>
        <v/>
      </c>
      <c r="D22" s="8">
        <f>IF('Data Source'!AD21&gt;=5,"A+",IF('Data Source'!AD21&gt;=4,"A",IF('Data Source'!AD21&gt;=3.5,"A-",IF('Data Source'!AD21&gt;=3,"B",IF('Data Source'!AD21&gt;=2,"C",IF('Data Source'!AD21&gt;=1,"D","F"))))))</f>
        <v/>
      </c>
      <c r="E22" s="8">
        <f>IF('Data Source'!AE21&gt;=5,"A+",IF('Data Source'!AE21&gt;=4,"A",IF('Data Source'!AE21&gt;=3.5,"A-",IF('Data Source'!AE21&gt;=3,"B",IF('Data Source'!AE21&gt;=2,"C",IF('Data Source'!AE21&gt;=1,"D","F"))))))</f>
        <v/>
      </c>
      <c r="F22" s="8">
        <f>IF('Data Source'!AF21&gt;=5,"A+",IF('Data Source'!AF21&gt;=4,"A",IF('Data Source'!AF21&gt;=3.5,"A-",IF('Data Source'!AF21&gt;=3,"B",IF('Data Source'!AF21&gt;=2,"C",IF('Data Source'!AF21&gt;=1,"D","F"))))))</f>
        <v/>
      </c>
      <c r="G22" s="8">
        <f>IF('Data Source'!AG21&gt;=5,"A+",IF('Data Source'!AG21&gt;=4,"A",IF('Data Source'!AG21&gt;=3.5,"A-",IF('Data Source'!AG21&gt;=3,"B",IF('Data Source'!AG21&gt;=2,"C",IF('Data Source'!AG21&gt;=1,"D","F"))))))</f>
        <v/>
      </c>
      <c r="H22" s="8">
        <f>IF('Data Source'!AH21&gt;=5,"A+",IF('Data Source'!AH21&gt;=4,"A",IF('Data Source'!AH21&gt;=3.5,"A-",IF('Data Source'!AH21&gt;=3,"B",IF('Data Source'!AH21&gt;=2,"C",IF('Data Source'!AH21&gt;=1,"D","F"))))))</f>
        <v/>
      </c>
      <c r="I22" s="8">
        <f>IF('Data Source'!AI21&gt;=5,"A+",IF('Data Source'!AI21&gt;=4,"A",IF('Data Source'!AI21&gt;=3.5,"A-",IF('Data Source'!AI21&gt;=3,"B",IF('Data Source'!AI21&gt;=2,"C",IF('Data Source'!AI21&gt;=1,"D","F"))))))</f>
        <v/>
      </c>
      <c r="J22" s="8">
        <f>IF('Data Source'!AJ21&gt;=5,"A+",IF('Data Source'!AJ21&gt;=4,"A",IF('Data Source'!AJ21&gt;=3.5,"A-",IF('Data Source'!AJ21&gt;=3,"B",IF('Data Source'!AJ21&gt;=2,"C",IF('Data Source'!AJ21&gt;=1,"D","F"))))))</f>
        <v/>
      </c>
      <c r="K22" s="8">
        <f>IF('Data Source'!AK21&gt;=5,"A+",IF('Data Source'!AK21&gt;=4,"A",IF('Data Source'!AK21&gt;=3.5,"A-",IF('Data Source'!AK21&gt;=3,"B",IF('Data Source'!AK21&gt;=2,"C",IF('Data Source'!AK21&gt;=1,"D","F"))))))</f>
        <v/>
      </c>
      <c r="L22" s="7">
        <f>'Data Source'!W21</f>
        <v/>
      </c>
      <c r="M22" s="8">
        <f>'Data Source'!X21</f>
        <v/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0" customWidth="1" min="14" max="14"/>
  </cols>
  <sheetData>
    <row r="1" ht="30" customHeight="1">
      <c r="A1" s="19" t="inlineStr">
        <is>
          <t>SUBJECT-WISE GPA (GRADE POINTS)</t>
        </is>
      </c>
    </row>
    <row r="2">
      <c r="A2" s="20" t="inlineStr">
        <is>
          <t>SL</t>
        </is>
      </c>
      <c r="B2" s="20" t="inlineStr">
        <is>
          <t>Name</t>
        </is>
      </c>
      <c r="C2" s="20" t="inlineStr">
        <is>
          <t>Quran+Hadith GP</t>
        </is>
      </c>
      <c r="D2" s="20" t="inlineStr">
        <is>
          <t>Arabic GP</t>
        </is>
      </c>
      <c r="E2" s="20" t="inlineStr">
        <is>
          <t>Aqaid GP</t>
        </is>
      </c>
      <c r="F2" s="20" t="inlineStr">
        <is>
          <t>English GP</t>
        </is>
      </c>
      <c r="G2" s="20" t="inlineStr">
        <is>
          <t>Bangla GP</t>
        </is>
      </c>
      <c r="H2" s="20" t="inlineStr">
        <is>
          <t>Math GP</t>
        </is>
      </c>
      <c r="I2" s="20" t="inlineStr">
        <is>
          <t>History GP</t>
        </is>
      </c>
      <c r="J2" s="20" t="inlineStr">
        <is>
          <t>ICT GP</t>
        </is>
      </c>
      <c r="K2" s="20" t="inlineStr">
        <is>
          <t>Agriculture GP</t>
        </is>
      </c>
      <c r="L2" s="20" t="inlineStr">
        <is>
          <t>Base GPA</t>
        </is>
      </c>
      <c r="M2" s="20" t="inlineStr">
        <is>
          <t>Final GPA</t>
        </is>
      </c>
      <c r="N2" s="20" t="inlineStr">
        <is>
          <t>Grade</t>
        </is>
      </c>
    </row>
    <row r="3">
      <c r="A3" s="8">
        <f>'Data Source'!A2</f>
        <v/>
      </c>
      <c r="B3">
        <f>'Data Source'!B2</f>
        <v/>
      </c>
      <c r="C3" s="7">
        <f>'Data Source'!AC2</f>
        <v/>
      </c>
      <c r="D3" s="7">
        <f>'Data Source'!AD2</f>
        <v/>
      </c>
      <c r="E3" s="7">
        <f>'Data Source'!AE2</f>
        <v/>
      </c>
      <c r="F3" s="7">
        <f>'Data Source'!AF2</f>
        <v/>
      </c>
      <c r="G3" s="7">
        <f>'Data Source'!AG2</f>
        <v/>
      </c>
      <c r="H3" s="7">
        <f>'Data Source'!AH2</f>
        <v/>
      </c>
      <c r="I3" s="7">
        <f>'Data Source'!AI2</f>
        <v/>
      </c>
      <c r="J3" s="7">
        <f>'Data Source'!AJ2</f>
        <v/>
      </c>
      <c r="K3" s="7">
        <f>'Data Source'!AK2</f>
        <v/>
      </c>
      <c r="L3" s="7">
        <f>'Data Source'!AL2</f>
        <v/>
      </c>
      <c r="M3" s="7">
        <f>'Data Source'!W2</f>
        <v/>
      </c>
      <c r="N3" s="8">
        <f>'Data Source'!X2</f>
        <v/>
      </c>
    </row>
    <row r="4">
      <c r="A4" s="8">
        <f>'Data Source'!A3</f>
        <v/>
      </c>
      <c r="B4">
        <f>'Data Source'!B3</f>
        <v/>
      </c>
      <c r="C4" s="7">
        <f>'Data Source'!AC3</f>
        <v/>
      </c>
      <c r="D4" s="7">
        <f>'Data Source'!AD3</f>
        <v/>
      </c>
      <c r="E4" s="7">
        <f>'Data Source'!AE3</f>
        <v/>
      </c>
      <c r="F4" s="7">
        <f>'Data Source'!AF3</f>
        <v/>
      </c>
      <c r="G4" s="7">
        <f>'Data Source'!AG3</f>
        <v/>
      </c>
      <c r="H4" s="7">
        <f>'Data Source'!AH3</f>
        <v/>
      </c>
      <c r="I4" s="7">
        <f>'Data Source'!AI3</f>
        <v/>
      </c>
      <c r="J4" s="7">
        <f>'Data Source'!AJ3</f>
        <v/>
      </c>
      <c r="K4" s="7">
        <f>'Data Source'!AK3</f>
        <v/>
      </c>
      <c r="L4" s="7">
        <f>'Data Source'!AL3</f>
        <v/>
      </c>
      <c r="M4" s="7">
        <f>'Data Source'!W3</f>
        <v/>
      </c>
      <c r="N4" s="8">
        <f>'Data Source'!X3</f>
        <v/>
      </c>
    </row>
    <row r="5">
      <c r="A5" s="8">
        <f>'Data Source'!A4</f>
        <v/>
      </c>
      <c r="B5">
        <f>'Data Source'!B4</f>
        <v/>
      </c>
      <c r="C5" s="7">
        <f>'Data Source'!AC4</f>
        <v/>
      </c>
      <c r="D5" s="7">
        <f>'Data Source'!AD4</f>
        <v/>
      </c>
      <c r="E5" s="7">
        <f>'Data Source'!AE4</f>
        <v/>
      </c>
      <c r="F5" s="7">
        <f>'Data Source'!AF4</f>
        <v/>
      </c>
      <c r="G5" s="7">
        <f>'Data Source'!AG4</f>
        <v/>
      </c>
      <c r="H5" s="7">
        <f>'Data Source'!AH4</f>
        <v/>
      </c>
      <c r="I5" s="7">
        <f>'Data Source'!AI4</f>
        <v/>
      </c>
      <c r="J5" s="7">
        <f>'Data Source'!AJ4</f>
        <v/>
      </c>
      <c r="K5" s="7">
        <f>'Data Source'!AK4</f>
        <v/>
      </c>
      <c r="L5" s="7">
        <f>'Data Source'!AL4</f>
        <v/>
      </c>
      <c r="M5" s="7">
        <f>'Data Source'!W4</f>
        <v/>
      </c>
      <c r="N5" s="8">
        <f>'Data Source'!X4</f>
        <v/>
      </c>
    </row>
    <row r="6">
      <c r="A6" s="8">
        <f>'Data Source'!A5</f>
        <v/>
      </c>
      <c r="B6">
        <f>'Data Source'!B5</f>
        <v/>
      </c>
      <c r="C6" s="7">
        <f>'Data Source'!AC5</f>
        <v/>
      </c>
      <c r="D6" s="7">
        <f>'Data Source'!AD5</f>
        <v/>
      </c>
      <c r="E6" s="7">
        <f>'Data Source'!AE5</f>
        <v/>
      </c>
      <c r="F6" s="7">
        <f>'Data Source'!AF5</f>
        <v/>
      </c>
      <c r="G6" s="7">
        <f>'Data Source'!AG5</f>
        <v/>
      </c>
      <c r="H6" s="7">
        <f>'Data Source'!AH5</f>
        <v/>
      </c>
      <c r="I6" s="7">
        <f>'Data Source'!AI5</f>
        <v/>
      </c>
      <c r="J6" s="7">
        <f>'Data Source'!AJ5</f>
        <v/>
      </c>
      <c r="K6" s="7">
        <f>'Data Source'!AK5</f>
        <v/>
      </c>
      <c r="L6" s="7">
        <f>'Data Source'!AL5</f>
        <v/>
      </c>
      <c r="M6" s="7">
        <f>'Data Source'!W5</f>
        <v/>
      </c>
      <c r="N6" s="8">
        <f>'Data Source'!X5</f>
        <v/>
      </c>
    </row>
    <row r="7">
      <c r="A7" s="8">
        <f>'Data Source'!A6</f>
        <v/>
      </c>
      <c r="B7">
        <f>'Data Source'!B6</f>
        <v/>
      </c>
      <c r="C7" s="7">
        <f>'Data Source'!AC6</f>
        <v/>
      </c>
      <c r="D7" s="7">
        <f>'Data Source'!AD6</f>
        <v/>
      </c>
      <c r="E7" s="7">
        <f>'Data Source'!AE6</f>
        <v/>
      </c>
      <c r="F7" s="7">
        <f>'Data Source'!AF6</f>
        <v/>
      </c>
      <c r="G7" s="7">
        <f>'Data Source'!AG6</f>
        <v/>
      </c>
      <c r="H7" s="7">
        <f>'Data Source'!AH6</f>
        <v/>
      </c>
      <c r="I7" s="7">
        <f>'Data Source'!AI6</f>
        <v/>
      </c>
      <c r="J7" s="7">
        <f>'Data Source'!AJ6</f>
        <v/>
      </c>
      <c r="K7" s="7">
        <f>'Data Source'!AK6</f>
        <v/>
      </c>
      <c r="L7" s="7">
        <f>'Data Source'!AL6</f>
        <v/>
      </c>
      <c r="M7" s="7">
        <f>'Data Source'!W6</f>
        <v/>
      </c>
      <c r="N7" s="8">
        <f>'Data Source'!X6</f>
        <v/>
      </c>
    </row>
    <row r="8">
      <c r="A8" s="8">
        <f>'Data Source'!A7</f>
        <v/>
      </c>
      <c r="B8">
        <f>'Data Source'!B7</f>
        <v/>
      </c>
      <c r="C8" s="7">
        <f>'Data Source'!AC7</f>
        <v/>
      </c>
      <c r="D8" s="7">
        <f>'Data Source'!AD7</f>
        <v/>
      </c>
      <c r="E8" s="7">
        <f>'Data Source'!AE7</f>
        <v/>
      </c>
      <c r="F8" s="7">
        <f>'Data Source'!AF7</f>
        <v/>
      </c>
      <c r="G8" s="7">
        <f>'Data Source'!AG7</f>
        <v/>
      </c>
      <c r="H8" s="7">
        <f>'Data Source'!AH7</f>
        <v/>
      </c>
      <c r="I8" s="7">
        <f>'Data Source'!AI7</f>
        <v/>
      </c>
      <c r="J8" s="7">
        <f>'Data Source'!AJ7</f>
        <v/>
      </c>
      <c r="K8" s="7">
        <f>'Data Source'!AK7</f>
        <v/>
      </c>
      <c r="L8" s="7">
        <f>'Data Source'!AL7</f>
        <v/>
      </c>
      <c r="M8" s="7">
        <f>'Data Source'!W7</f>
        <v/>
      </c>
      <c r="N8" s="8">
        <f>'Data Source'!X7</f>
        <v/>
      </c>
    </row>
    <row r="9">
      <c r="A9" s="8">
        <f>'Data Source'!A8</f>
        <v/>
      </c>
      <c r="B9">
        <f>'Data Source'!B8</f>
        <v/>
      </c>
      <c r="C9" s="7">
        <f>'Data Source'!AC8</f>
        <v/>
      </c>
      <c r="D9" s="7">
        <f>'Data Source'!AD8</f>
        <v/>
      </c>
      <c r="E9" s="7">
        <f>'Data Source'!AE8</f>
        <v/>
      </c>
      <c r="F9" s="7">
        <f>'Data Source'!AF8</f>
        <v/>
      </c>
      <c r="G9" s="7">
        <f>'Data Source'!AG8</f>
        <v/>
      </c>
      <c r="H9" s="7">
        <f>'Data Source'!AH8</f>
        <v/>
      </c>
      <c r="I9" s="7">
        <f>'Data Source'!AI8</f>
        <v/>
      </c>
      <c r="J9" s="7">
        <f>'Data Source'!AJ8</f>
        <v/>
      </c>
      <c r="K9" s="7">
        <f>'Data Source'!AK8</f>
        <v/>
      </c>
      <c r="L9" s="7">
        <f>'Data Source'!AL8</f>
        <v/>
      </c>
      <c r="M9" s="7">
        <f>'Data Source'!W8</f>
        <v/>
      </c>
      <c r="N9" s="8">
        <f>'Data Source'!X8</f>
        <v/>
      </c>
    </row>
    <row r="10">
      <c r="A10" s="8">
        <f>'Data Source'!A9</f>
        <v/>
      </c>
      <c r="B10">
        <f>'Data Source'!B9</f>
        <v/>
      </c>
      <c r="C10" s="7">
        <f>'Data Source'!AC9</f>
        <v/>
      </c>
      <c r="D10" s="7">
        <f>'Data Source'!AD9</f>
        <v/>
      </c>
      <c r="E10" s="7">
        <f>'Data Source'!AE9</f>
        <v/>
      </c>
      <c r="F10" s="7">
        <f>'Data Source'!AF9</f>
        <v/>
      </c>
      <c r="G10" s="7">
        <f>'Data Source'!AG9</f>
        <v/>
      </c>
      <c r="H10" s="7">
        <f>'Data Source'!AH9</f>
        <v/>
      </c>
      <c r="I10" s="7">
        <f>'Data Source'!AI9</f>
        <v/>
      </c>
      <c r="J10" s="7">
        <f>'Data Source'!AJ9</f>
        <v/>
      </c>
      <c r="K10" s="7">
        <f>'Data Source'!AK9</f>
        <v/>
      </c>
      <c r="L10" s="7">
        <f>'Data Source'!AL9</f>
        <v/>
      </c>
      <c r="M10" s="7">
        <f>'Data Source'!W9</f>
        <v/>
      </c>
      <c r="N10" s="8">
        <f>'Data Source'!X9</f>
        <v/>
      </c>
    </row>
    <row r="11">
      <c r="A11" s="8">
        <f>'Data Source'!A10</f>
        <v/>
      </c>
      <c r="B11">
        <f>'Data Source'!B10</f>
        <v/>
      </c>
      <c r="C11" s="7">
        <f>'Data Source'!AC10</f>
        <v/>
      </c>
      <c r="D11" s="7">
        <f>'Data Source'!AD10</f>
        <v/>
      </c>
      <c r="E11" s="7">
        <f>'Data Source'!AE10</f>
        <v/>
      </c>
      <c r="F11" s="7">
        <f>'Data Source'!AF10</f>
        <v/>
      </c>
      <c r="G11" s="7">
        <f>'Data Source'!AG10</f>
        <v/>
      </c>
      <c r="H11" s="7">
        <f>'Data Source'!AH10</f>
        <v/>
      </c>
      <c r="I11" s="7">
        <f>'Data Source'!AI10</f>
        <v/>
      </c>
      <c r="J11" s="7">
        <f>'Data Source'!AJ10</f>
        <v/>
      </c>
      <c r="K11" s="7">
        <f>'Data Source'!AK10</f>
        <v/>
      </c>
      <c r="L11" s="7">
        <f>'Data Source'!AL10</f>
        <v/>
      </c>
      <c r="M11" s="7">
        <f>'Data Source'!W10</f>
        <v/>
      </c>
      <c r="N11" s="8">
        <f>'Data Source'!X10</f>
        <v/>
      </c>
    </row>
    <row r="12">
      <c r="A12" s="8">
        <f>'Data Source'!A11</f>
        <v/>
      </c>
      <c r="B12">
        <f>'Data Source'!B11</f>
        <v/>
      </c>
      <c r="C12" s="7">
        <f>'Data Source'!AC11</f>
        <v/>
      </c>
      <c r="D12" s="7">
        <f>'Data Source'!AD11</f>
        <v/>
      </c>
      <c r="E12" s="7">
        <f>'Data Source'!AE11</f>
        <v/>
      </c>
      <c r="F12" s="7">
        <f>'Data Source'!AF11</f>
        <v/>
      </c>
      <c r="G12" s="7">
        <f>'Data Source'!AG11</f>
        <v/>
      </c>
      <c r="H12" s="7">
        <f>'Data Source'!AH11</f>
        <v/>
      </c>
      <c r="I12" s="7">
        <f>'Data Source'!AI11</f>
        <v/>
      </c>
      <c r="J12" s="7">
        <f>'Data Source'!AJ11</f>
        <v/>
      </c>
      <c r="K12" s="7">
        <f>'Data Source'!AK11</f>
        <v/>
      </c>
      <c r="L12" s="7">
        <f>'Data Source'!AL11</f>
        <v/>
      </c>
      <c r="M12" s="7">
        <f>'Data Source'!W11</f>
        <v/>
      </c>
      <c r="N12" s="8">
        <f>'Data Source'!X11</f>
        <v/>
      </c>
    </row>
    <row r="13">
      <c r="A13" s="8">
        <f>'Data Source'!A12</f>
        <v/>
      </c>
      <c r="B13">
        <f>'Data Source'!B12</f>
        <v/>
      </c>
      <c r="C13" s="7">
        <f>'Data Source'!AC12</f>
        <v/>
      </c>
      <c r="D13" s="7">
        <f>'Data Source'!AD12</f>
        <v/>
      </c>
      <c r="E13" s="7">
        <f>'Data Source'!AE12</f>
        <v/>
      </c>
      <c r="F13" s="7">
        <f>'Data Source'!AF12</f>
        <v/>
      </c>
      <c r="G13" s="7">
        <f>'Data Source'!AG12</f>
        <v/>
      </c>
      <c r="H13" s="7">
        <f>'Data Source'!AH12</f>
        <v/>
      </c>
      <c r="I13" s="7">
        <f>'Data Source'!AI12</f>
        <v/>
      </c>
      <c r="J13" s="7">
        <f>'Data Source'!AJ12</f>
        <v/>
      </c>
      <c r="K13" s="7">
        <f>'Data Source'!AK12</f>
        <v/>
      </c>
      <c r="L13" s="7">
        <f>'Data Source'!AL12</f>
        <v/>
      </c>
      <c r="M13" s="7">
        <f>'Data Source'!W12</f>
        <v/>
      </c>
      <c r="N13" s="8">
        <f>'Data Source'!X12</f>
        <v/>
      </c>
    </row>
    <row r="14">
      <c r="A14" s="8">
        <f>'Data Source'!A13</f>
        <v/>
      </c>
      <c r="B14">
        <f>'Data Source'!B13</f>
        <v/>
      </c>
      <c r="C14" s="7">
        <f>'Data Source'!AC13</f>
        <v/>
      </c>
      <c r="D14" s="7">
        <f>'Data Source'!AD13</f>
        <v/>
      </c>
      <c r="E14" s="7">
        <f>'Data Source'!AE13</f>
        <v/>
      </c>
      <c r="F14" s="7">
        <f>'Data Source'!AF13</f>
        <v/>
      </c>
      <c r="G14" s="7">
        <f>'Data Source'!AG13</f>
        <v/>
      </c>
      <c r="H14" s="7">
        <f>'Data Source'!AH13</f>
        <v/>
      </c>
      <c r="I14" s="7">
        <f>'Data Source'!AI13</f>
        <v/>
      </c>
      <c r="J14" s="7">
        <f>'Data Source'!AJ13</f>
        <v/>
      </c>
      <c r="K14" s="7">
        <f>'Data Source'!AK13</f>
        <v/>
      </c>
      <c r="L14" s="7">
        <f>'Data Source'!AL13</f>
        <v/>
      </c>
      <c r="M14" s="7">
        <f>'Data Source'!W13</f>
        <v/>
      </c>
      <c r="N14" s="8">
        <f>'Data Source'!X13</f>
        <v/>
      </c>
    </row>
    <row r="15">
      <c r="A15" s="8">
        <f>'Data Source'!A14</f>
        <v/>
      </c>
      <c r="B15">
        <f>'Data Source'!B14</f>
        <v/>
      </c>
      <c r="C15" s="7">
        <f>'Data Source'!AC14</f>
        <v/>
      </c>
      <c r="D15" s="7">
        <f>'Data Source'!AD14</f>
        <v/>
      </c>
      <c r="E15" s="7">
        <f>'Data Source'!AE14</f>
        <v/>
      </c>
      <c r="F15" s="7">
        <f>'Data Source'!AF14</f>
        <v/>
      </c>
      <c r="G15" s="7">
        <f>'Data Source'!AG14</f>
        <v/>
      </c>
      <c r="H15" s="7">
        <f>'Data Source'!AH14</f>
        <v/>
      </c>
      <c r="I15" s="7">
        <f>'Data Source'!AI14</f>
        <v/>
      </c>
      <c r="J15" s="7">
        <f>'Data Source'!AJ14</f>
        <v/>
      </c>
      <c r="K15" s="7">
        <f>'Data Source'!AK14</f>
        <v/>
      </c>
      <c r="L15" s="7">
        <f>'Data Source'!AL14</f>
        <v/>
      </c>
      <c r="M15" s="7">
        <f>'Data Source'!W14</f>
        <v/>
      </c>
      <c r="N15" s="8">
        <f>'Data Source'!X14</f>
        <v/>
      </c>
    </row>
    <row r="16">
      <c r="A16" s="8">
        <f>'Data Source'!A15</f>
        <v/>
      </c>
      <c r="B16">
        <f>'Data Source'!B15</f>
        <v/>
      </c>
      <c r="C16" s="7">
        <f>'Data Source'!AC15</f>
        <v/>
      </c>
      <c r="D16" s="7">
        <f>'Data Source'!AD15</f>
        <v/>
      </c>
      <c r="E16" s="7">
        <f>'Data Source'!AE15</f>
        <v/>
      </c>
      <c r="F16" s="7">
        <f>'Data Source'!AF15</f>
        <v/>
      </c>
      <c r="G16" s="7">
        <f>'Data Source'!AG15</f>
        <v/>
      </c>
      <c r="H16" s="7">
        <f>'Data Source'!AH15</f>
        <v/>
      </c>
      <c r="I16" s="7">
        <f>'Data Source'!AI15</f>
        <v/>
      </c>
      <c r="J16" s="7">
        <f>'Data Source'!AJ15</f>
        <v/>
      </c>
      <c r="K16" s="7">
        <f>'Data Source'!AK15</f>
        <v/>
      </c>
      <c r="L16" s="7">
        <f>'Data Source'!AL15</f>
        <v/>
      </c>
      <c r="M16" s="7">
        <f>'Data Source'!W15</f>
        <v/>
      </c>
      <c r="N16" s="8">
        <f>'Data Source'!X15</f>
        <v/>
      </c>
    </row>
    <row r="17">
      <c r="A17" s="8">
        <f>'Data Source'!A16</f>
        <v/>
      </c>
      <c r="B17">
        <f>'Data Source'!B16</f>
        <v/>
      </c>
      <c r="C17" s="7">
        <f>'Data Source'!AC16</f>
        <v/>
      </c>
      <c r="D17" s="7">
        <f>'Data Source'!AD16</f>
        <v/>
      </c>
      <c r="E17" s="7">
        <f>'Data Source'!AE16</f>
        <v/>
      </c>
      <c r="F17" s="7">
        <f>'Data Source'!AF16</f>
        <v/>
      </c>
      <c r="G17" s="7">
        <f>'Data Source'!AG16</f>
        <v/>
      </c>
      <c r="H17" s="7">
        <f>'Data Source'!AH16</f>
        <v/>
      </c>
      <c r="I17" s="7">
        <f>'Data Source'!AI16</f>
        <v/>
      </c>
      <c r="J17" s="7">
        <f>'Data Source'!AJ16</f>
        <v/>
      </c>
      <c r="K17" s="7">
        <f>'Data Source'!AK16</f>
        <v/>
      </c>
      <c r="L17" s="7">
        <f>'Data Source'!AL16</f>
        <v/>
      </c>
      <c r="M17" s="7">
        <f>'Data Source'!W16</f>
        <v/>
      </c>
      <c r="N17" s="8">
        <f>'Data Source'!X16</f>
        <v/>
      </c>
    </row>
    <row r="18">
      <c r="A18" s="8">
        <f>'Data Source'!A17</f>
        <v/>
      </c>
      <c r="B18">
        <f>'Data Source'!B17</f>
        <v/>
      </c>
      <c r="C18" s="7">
        <f>'Data Source'!AC17</f>
        <v/>
      </c>
      <c r="D18" s="7">
        <f>'Data Source'!AD17</f>
        <v/>
      </c>
      <c r="E18" s="7">
        <f>'Data Source'!AE17</f>
        <v/>
      </c>
      <c r="F18" s="7">
        <f>'Data Source'!AF17</f>
        <v/>
      </c>
      <c r="G18" s="7">
        <f>'Data Source'!AG17</f>
        <v/>
      </c>
      <c r="H18" s="7">
        <f>'Data Source'!AH17</f>
        <v/>
      </c>
      <c r="I18" s="7">
        <f>'Data Source'!AI17</f>
        <v/>
      </c>
      <c r="J18" s="7">
        <f>'Data Source'!AJ17</f>
        <v/>
      </c>
      <c r="K18" s="7">
        <f>'Data Source'!AK17</f>
        <v/>
      </c>
      <c r="L18" s="7">
        <f>'Data Source'!AL17</f>
        <v/>
      </c>
      <c r="M18" s="7">
        <f>'Data Source'!W17</f>
        <v/>
      </c>
      <c r="N18" s="8">
        <f>'Data Source'!X17</f>
        <v/>
      </c>
    </row>
    <row r="19">
      <c r="A19" s="8">
        <f>'Data Source'!A18</f>
        <v/>
      </c>
      <c r="B19">
        <f>'Data Source'!B18</f>
        <v/>
      </c>
      <c r="C19" s="7">
        <f>'Data Source'!AC18</f>
        <v/>
      </c>
      <c r="D19" s="7">
        <f>'Data Source'!AD18</f>
        <v/>
      </c>
      <c r="E19" s="7">
        <f>'Data Source'!AE18</f>
        <v/>
      </c>
      <c r="F19" s="7">
        <f>'Data Source'!AF18</f>
        <v/>
      </c>
      <c r="G19" s="7">
        <f>'Data Source'!AG18</f>
        <v/>
      </c>
      <c r="H19" s="7">
        <f>'Data Source'!AH18</f>
        <v/>
      </c>
      <c r="I19" s="7">
        <f>'Data Source'!AI18</f>
        <v/>
      </c>
      <c r="J19" s="7">
        <f>'Data Source'!AJ18</f>
        <v/>
      </c>
      <c r="K19" s="7">
        <f>'Data Source'!AK18</f>
        <v/>
      </c>
      <c r="L19" s="7">
        <f>'Data Source'!AL18</f>
        <v/>
      </c>
      <c r="M19" s="7">
        <f>'Data Source'!W18</f>
        <v/>
      </c>
      <c r="N19" s="8">
        <f>'Data Source'!X18</f>
        <v/>
      </c>
    </row>
    <row r="20">
      <c r="A20" s="8">
        <f>'Data Source'!A19</f>
        <v/>
      </c>
      <c r="B20">
        <f>'Data Source'!B19</f>
        <v/>
      </c>
      <c r="C20" s="7">
        <f>'Data Source'!AC19</f>
        <v/>
      </c>
      <c r="D20" s="7">
        <f>'Data Source'!AD19</f>
        <v/>
      </c>
      <c r="E20" s="7">
        <f>'Data Source'!AE19</f>
        <v/>
      </c>
      <c r="F20" s="7">
        <f>'Data Source'!AF19</f>
        <v/>
      </c>
      <c r="G20" s="7">
        <f>'Data Source'!AG19</f>
        <v/>
      </c>
      <c r="H20" s="7">
        <f>'Data Source'!AH19</f>
        <v/>
      </c>
      <c r="I20" s="7">
        <f>'Data Source'!AI19</f>
        <v/>
      </c>
      <c r="J20" s="7">
        <f>'Data Source'!AJ19</f>
        <v/>
      </c>
      <c r="K20" s="7">
        <f>'Data Source'!AK19</f>
        <v/>
      </c>
      <c r="L20" s="7">
        <f>'Data Source'!AL19</f>
        <v/>
      </c>
      <c r="M20" s="7">
        <f>'Data Source'!W19</f>
        <v/>
      </c>
      <c r="N20" s="8">
        <f>'Data Source'!X19</f>
        <v/>
      </c>
    </row>
    <row r="21">
      <c r="A21" s="8">
        <f>'Data Source'!A20</f>
        <v/>
      </c>
      <c r="B21">
        <f>'Data Source'!B20</f>
        <v/>
      </c>
      <c r="C21" s="7">
        <f>'Data Source'!AC20</f>
        <v/>
      </c>
      <c r="D21" s="7">
        <f>'Data Source'!AD20</f>
        <v/>
      </c>
      <c r="E21" s="7">
        <f>'Data Source'!AE20</f>
        <v/>
      </c>
      <c r="F21" s="7">
        <f>'Data Source'!AF20</f>
        <v/>
      </c>
      <c r="G21" s="7">
        <f>'Data Source'!AG20</f>
        <v/>
      </c>
      <c r="H21" s="7">
        <f>'Data Source'!AH20</f>
        <v/>
      </c>
      <c r="I21" s="7">
        <f>'Data Source'!AI20</f>
        <v/>
      </c>
      <c r="J21" s="7">
        <f>'Data Source'!AJ20</f>
        <v/>
      </c>
      <c r="K21" s="7">
        <f>'Data Source'!AK20</f>
        <v/>
      </c>
      <c r="L21" s="7">
        <f>'Data Source'!AL20</f>
        <v/>
      </c>
      <c r="M21" s="7">
        <f>'Data Source'!W20</f>
        <v/>
      </c>
      <c r="N21" s="8">
        <f>'Data Source'!X20</f>
        <v/>
      </c>
    </row>
    <row r="22">
      <c r="A22" s="8">
        <f>'Data Source'!A21</f>
        <v/>
      </c>
      <c r="B22">
        <f>'Data Source'!B21</f>
        <v/>
      </c>
      <c r="C22" s="7">
        <f>'Data Source'!AC21</f>
        <v/>
      </c>
      <c r="D22" s="7">
        <f>'Data Source'!AD21</f>
        <v/>
      </c>
      <c r="E22" s="7">
        <f>'Data Source'!AE21</f>
        <v/>
      </c>
      <c r="F22" s="7">
        <f>'Data Source'!AF21</f>
        <v/>
      </c>
      <c r="G22" s="7">
        <f>'Data Source'!AG21</f>
        <v/>
      </c>
      <c r="H22" s="7">
        <f>'Data Source'!AH21</f>
        <v/>
      </c>
      <c r="I22" s="7">
        <f>'Data Source'!AI21</f>
        <v/>
      </c>
      <c r="J22" s="7">
        <f>'Data Source'!AJ21</f>
        <v/>
      </c>
      <c r="K22" s="7">
        <f>'Data Source'!AK21</f>
        <v/>
      </c>
      <c r="L22" s="7">
        <f>'Data Source'!AL21</f>
        <v/>
      </c>
      <c r="M22" s="7">
        <f>'Data Source'!W21</f>
        <v/>
      </c>
      <c r="N22" s="8">
        <f>'Data Source'!X21</f>
        <v/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tables can be created manually in Excel</t>
        </is>
      </c>
    </row>
    <row r="2">
      <c r="A2" t="inlineStr">
        <is>
          <t>Use Insert &gt; PivotTable from the Data Source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2025-11-23T17:08:20Z</dcterms:created>
  <dcterms:modified xsi:type="dcterms:W3CDTF">2025-11-23T17:09:10Z</dcterms:modified>
</cp:coreProperties>
</file>